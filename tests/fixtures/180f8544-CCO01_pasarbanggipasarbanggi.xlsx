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CO-01" state="visible" r:id="rId4"/>
  </sheets>
  <definedNames>
    <definedName name="_xlnm.Print_Titles" localSheetId="0">'CCO-01'!$8:$9</definedName>
  </definedNames>
  <calcPr calcId="171027" fullCalcOnLoad="1"/>
</workbook>
</file>

<file path=xl/sharedStrings.xml><?xml version="1.0" encoding="utf-8"?>
<sst xmlns="http://schemas.openxmlformats.org/spreadsheetml/2006/main" count="3620" uniqueCount="951">
  <si>
    <t>CONTRACT CHANGE ORDER - 01 (CCO - 01)</t>
  </si>
  <si>
    <t>NAMA PAKET</t>
  </si>
  <si>
    <t>:  Pekerjaan Konstruksi Pembangunan Kampung Nelayan Merah Putih di Provinsi Jawa Tengah dan Provinsi DIY</t>
  </si>
  <si>
    <t>LOKASI</t>
  </si>
  <si>
    <t>:  Pasar Banggi – Pasar Banggi, Rembang, Jawa Tengah</t>
  </si>
  <si>
    <t>PENYEDIA JASA</t>
  </si>
  <si>
    <t>:  PT Kurnia Alam Sentosa</t>
  </si>
  <si>
    <t>NOMOR KONTRAK</t>
  </si>
  <si>
    <t>:  B.17105/DJPT.6/PI.420/PPK/VI/2026</t>
  </si>
  <si>
    <t>NO</t>
  </si>
  <si>
    <t>URAIAN PEKERJAAN</t>
  </si>
  <si>
    <t>MC - 0</t>
  </si>
  <si>
    <t>PEKERJAAN TAMBAH</t>
  </si>
  <si>
    <t>PEKERJAAN KURANG</t>
  </si>
  <si>
    <t>CCO - 01</t>
  </si>
  <si>
    <t>KET</t>
  </si>
  <si>
    <t>VOLUME</t>
  </si>
  <si>
    <t>REALISASI</t>
  </si>
  <si>
    <t>SATUAN</t>
  </si>
  <si>
    <t>HARGA SATUAN (Rp)</t>
  </si>
  <si>
    <t>JUMLAH HARGA (Rp)</t>
  </si>
  <si>
    <t>BOBOT (%)</t>
  </si>
  <si>
    <t>I</t>
  </si>
  <si>
    <t>PEKERJAAN PERSIAPAN</t>
  </si>
  <si>
    <t>1</t>
  </si>
  <si>
    <t>Buat Bedeng Pekerja Dan Gudang</t>
  </si>
  <si>
    <t>m²</t>
  </si>
  <si>
    <t>2</t>
  </si>
  <si>
    <t>Pekerjaan Sewa Rumah untuk Direksi Keetz</t>
  </si>
  <si>
    <t>bln</t>
  </si>
  <si>
    <t>3</t>
  </si>
  <si>
    <t>Papan Nama Proyek</t>
  </si>
  <si>
    <t>bh</t>
  </si>
  <si>
    <t>4</t>
  </si>
  <si>
    <t>Listrik Kerja</t>
  </si>
  <si>
    <t>5</t>
  </si>
  <si>
    <t>Pekerjaan Pagar Sementara</t>
  </si>
  <si>
    <t>m¹</t>
  </si>
  <si>
    <t>6</t>
  </si>
  <si>
    <t>Pekerjaan Pengadaan SMK3K</t>
  </si>
  <si>
    <t>6.1</t>
  </si>
  <si>
    <t>Penyiapan RK3K, terdiri atas :</t>
  </si>
  <si>
    <t>6.1.a</t>
  </si>
  <si>
    <t>Pembuatan Manual, Prosedur, Instruksi Kerja, Ijin Kerja dan Formulir</t>
  </si>
  <si>
    <t>set</t>
  </si>
  <si>
    <t>6.1.b</t>
  </si>
  <si>
    <t>Pembuatan Kartu Identitas Pekerja (KIP)</t>
  </si>
  <si>
    <t>org</t>
  </si>
  <si>
    <t>6.2</t>
  </si>
  <si>
    <t>Sosialisasi dan Promosi K3, terdiri atas :</t>
  </si>
  <si>
    <t>6.2.a</t>
  </si>
  <si>
    <t>Induksi K3 (Safety Induction) ; khusus untuk pekerja baru</t>
  </si>
  <si>
    <t>6.2.b</t>
  </si>
  <si>
    <t>Pengarahan K3 (Safety Briefing) :</t>
  </si>
  <si>
    <t>6.3</t>
  </si>
  <si>
    <t>Alat Pelindung Kerja, terdiri atas :</t>
  </si>
  <si>
    <t>6.3.a</t>
  </si>
  <si>
    <t>Pembatas Area (Restricted Area)</t>
  </si>
  <si>
    <t>ls</t>
  </si>
  <si>
    <t>6.4</t>
  </si>
  <si>
    <t>Alat Pelindung Diri, terdiri atas :</t>
  </si>
  <si>
    <t>6.4.a</t>
  </si>
  <si>
    <t>Topi Pelindung (Safety Helmet)</t>
  </si>
  <si>
    <t>6.4.b</t>
  </si>
  <si>
    <t>Pelindung Pernapasan dan Mulut (Masker)</t>
  </si>
  <si>
    <t>6.4.c</t>
  </si>
  <si>
    <t>Sarung Tangan (Safety Gloves)</t>
  </si>
  <si>
    <t>psg</t>
  </si>
  <si>
    <t>6.4.d</t>
  </si>
  <si>
    <t>Sepatu Keselamatan (Rubber Safety Shoes and Toe Cap)</t>
  </si>
  <si>
    <t>6.4.e</t>
  </si>
  <si>
    <t>Rompi Keselamatan ( Safety vest)</t>
  </si>
  <si>
    <t>6.5</t>
  </si>
  <si>
    <t>Asuransi dan Perijinan, terdiri atas :</t>
  </si>
  <si>
    <t>6.5.a</t>
  </si>
  <si>
    <t>BPJS Ketenagakerjaan dan Kesehatan Kerja ; (BERDASARKAN KEPMENAKER NOMOR 44 TAHUN 2015 tentang</t>
  </si>
  <si>
    <t>6.5.2</t>
  </si>
  <si>
    <t>Program JK bagi pekerja harian lepas, borongan</t>
  </si>
  <si>
    <t>6.6</t>
  </si>
  <si>
    <t>Personil K3, terdiri atas :</t>
  </si>
  <si>
    <t>6.6.a</t>
  </si>
  <si>
    <t>Petugas K3</t>
  </si>
  <si>
    <t>6.7</t>
  </si>
  <si>
    <t>Fasilitas Sarana Kesehatan, terdiri atas :</t>
  </si>
  <si>
    <t>6.7.1</t>
  </si>
  <si>
    <t>Peralatan P3K (Kotak P3K, Tandu, Tabung Oksigen, Obat Luka, Perban, dll)</t>
  </si>
  <si>
    <t>6.8</t>
  </si>
  <si>
    <t>Rambu-rambu ukuran min. 90x90, terdiri atas :</t>
  </si>
  <si>
    <t>6.8.a</t>
  </si>
  <si>
    <t>Rambu Petunjuk</t>
  </si>
  <si>
    <t>6.8.b</t>
  </si>
  <si>
    <t>Rambu Larangan</t>
  </si>
  <si>
    <t>6.8.c</t>
  </si>
  <si>
    <t>Rambu Peringatan</t>
  </si>
  <si>
    <t>6.8.d</t>
  </si>
  <si>
    <t>Rambu Kewajiban</t>
  </si>
  <si>
    <t>6.9</t>
  </si>
  <si>
    <t>Lain-lain Terkait Pengendalian Resiko K3, terdiri atas :</t>
  </si>
  <si>
    <t>6.9.a</t>
  </si>
  <si>
    <t>Alat Pemadam Api Ringan (APAR) ; 3 kg</t>
  </si>
  <si>
    <t>6.9.b</t>
  </si>
  <si>
    <t>Bendera K3</t>
  </si>
  <si>
    <t>6.9.c</t>
  </si>
  <si>
    <t>Jalur Evakuasi (Escape Route)</t>
  </si>
  <si>
    <t>6.9.d</t>
  </si>
  <si>
    <t>Lampu Darurat (Emergency Lamp)</t>
  </si>
  <si>
    <t>6.9.e</t>
  </si>
  <si>
    <t>Pelaporan K3 dan Program Inspeksi</t>
  </si>
  <si>
    <t>7</t>
  </si>
  <si>
    <t>Pekerjaan Pembersihan Lokasi dari Pohon dan Rumput (Land Clearing)</t>
  </si>
  <si>
    <t>8</t>
  </si>
  <si>
    <t>Pekerjaan Stake Out Posisi Trase Saluran/Infrastruktur</t>
  </si>
  <si>
    <t>9</t>
  </si>
  <si>
    <t>Pekerjaan Sondir termasuk Pelaporan termasuk mobilisasi Alat dan Personil</t>
  </si>
  <si>
    <t>ttk</t>
  </si>
  <si>
    <t>10</t>
  </si>
  <si>
    <t>Mobilisasi dan Demobilisasi</t>
  </si>
  <si>
    <t>10.a</t>
  </si>
  <si>
    <t>Bulldozer</t>
  </si>
  <si>
    <t>unit</t>
  </si>
  <si>
    <t>10.b</t>
  </si>
  <si>
    <t>Roller Vibrator 12 Ton</t>
  </si>
  <si>
    <t>10.c</t>
  </si>
  <si>
    <t>Excavator</t>
  </si>
  <si>
    <t>10.d</t>
  </si>
  <si>
    <t>Concrete Mixer 0,35 m³</t>
  </si>
  <si>
    <t>10.e</t>
  </si>
  <si>
    <t>Concrete Mixer Pump</t>
  </si>
  <si>
    <t>10.f</t>
  </si>
  <si>
    <t>Stamper</t>
  </si>
  <si>
    <t>10.g</t>
  </si>
  <si>
    <t>Mesin las</t>
  </si>
  <si>
    <t>11</t>
  </si>
  <si>
    <t>Pekerjaan Sambungan Daya Baru Gudang Beku</t>
  </si>
  <si>
    <t>11.a</t>
  </si>
  <si>
    <t>Pendaftaran NIDI + SLO Daya 41,5 Kva</t>
  </si>
  <si>
    <t>11.b</t>
  </si>
  <si>
    <t>Biaya Pasang Baru Daya 41,5 Kva</t>
  </si>
  <si>
    <t>12</t>
  </si>
  <si>
    <t>Pekerjaan Sambungan Daya Baru Pabrik Es</t>
  </si>
  <si>
    <t>12.a</t>
  </si>
  <si>
    <t>Pendaftaran NIDI + SLO Daya 23 Kva</t>
  </si>
  <si>
    <t>12.b</t>
  </si>
  <si>
    <t>Biaya Pasang Baru Daya 23 Kva</t>
  </si>
  <si>
    <t>13</t>
  </si>
  <si>
    <t>Pekerjaan Sambungan Daya Baru Kawasan</t>
  </si>
  <si>
    <t>13.a</t>
  </si>
  <si>
    <t>Pendaftaran NIDI + SLO Daya 21 Kva</t>
  </si>
  <si>
    <t>13.b</t>
  </si>
  <si>
    <t>Biaya Pasang Baru Daya 21 Kva</t>
  </si>
  <si>
    <t>14</t>
  </si>
  <si>
    <t>Pekerjaan Panel Distribusi Kawasan, LVMDP/PDTR 25KVA, termasuk pengiriman dan instalasi</t>
  </si>
  <si>
    <t>15</t>
  </si>
  <si>
    <t>Pekerjaan Pengadaan Tempat Sampah Portable 1100 L ex. Krisbow + Pengiriman</t>
  </si>
  <si>
    <t>II</t>
  </si>
  <si>
    <t>PEKERJAAN REVETMENT</t>
  </si>
  <si>
    <t>Pekerjaan Pondasi</t>
  </si>
  <si>
    <t>1.a</t>
  </si>
  <si>
    <t>Pekerjaan Galian Tanah s/d 1 m</t>
  </si>
  <si>
    <t>m³</t>
  </si>
  <si>
    <t>1.b</t>
  </si>
  <si>
    <t>Pekerjaan Batu Kosong (Aanstamping)</t>
  </si>
  <si>
    <t>1.c</t>
  </si>
  <si>
    <t>Pekerjaan Batu Belah 1 : 2</t>
  </si>
  <si>
    <t>Pekerjaan Trap Tangga Beton lebar 60 cm</t>
  </si>
  <si>
    <t>2.a</t>
  </si>
  <si>
    <t>Pekerjaan Bekesting Tangga</t>
  </si>
  <si>
    <t>2.b</t>
  </si>
  <si>
    <t>Pembesian Besi Beton D13-150 mm secara semi mekanis</t>
  </si>
  <si>
    <t>kg</t>
  </si>
  <si>
    <t>2.c</t>
  </si>
  <si>
    <t>Pembesian Besi Beton Ø 10-150 mm</t>
  </si>
  <si>
    <t>2.d</t>
  </si>
  <si>
    <t>Pekerjaan beton semi mekanis setara fc = 25</t>
  </si>
  <si>
    <t>Pekerjaan Trap Tangga Beton lebar 30 cm</t>
  </si>
  <si>
    <t>3.a</t>
  </si>
  <si>
    <t>3.b</t>
  </si>
  <si>
    <t>Pembesian Besi Beton D13-100 mm secara semi mekanis</t>
  </si>
  <si>
    <t>3.c</t>
  </si>
  <si>
    <t>Pembesian Besi Beton D10-100 mm</t>
  </si>
  <si>
    <t>3.d</t>
  </si>
  <si>
    <t>3.e</t>
  </si>
  <si>
    <t>Pekerjaan Acian</t>
  </si>
  <si>
    <t>3.f</t>
  </si>
  <si>
    <t>Pekerjaan Skonengan</t>
  </si>
  <si>
    <t>Pekerjaan Dinding Beton Penutup Trap t = 20 cm</t>
  </si>
  <si>
    <t>4.a</t>
  </si>
  <si>
    <t>Pekerjaan Kayu Bekesting Sloof</t>
  </si>
  <si>
    <t>4.b</t>
  </si>
  <si>
    <t>4.c</t>
  </si>
  <si>
    <t>Pembesian Besi Beton Ø10-150 mm</t>
  </si>
  <si>
    <t>4.d</t>
  </si>
  <si>
    <t>Pekerjaan Pondasi Tapak (untuk ddg Landing Stair)</t>
  </si>
  <si>
    <t>5.a</t>
  </si>
  <si>
    <t>Pekerjaan Cerucuk Kayu Dolken Ø 6 - 8 cm</t>
  </si>
  <si>
    <t>5.b</t>
  </si>
  <si>
    <t>Pekerjaan Kayu Bekesting Pondasi</t>
  </si>
  <si>
    <t>5.c</t>
  </si>
  <si>
    <t>5.d</t>
  </si>
  <si>
    <t>Pekerjaan Tapak Beton Menerus 30 x 200 cm</t>
  </si>
  <si>
    <t>6.a</t>
  </si>
  <si>
    <t>Pekerjaan Galian Tanah sampai dengan 1 m</t>
  </si>
  <si>
    <t>6.b</t>
  </si>
  <si>
    <t>6.c</t>
  </si>
  <si>
    <t>6.d</t>
  </si>
  <si>
    <t>Pekerjaan Pembesian Besi Beton D 13 mm - 150</t>
  </si>
  <si>
    <t>6.e</t>
  </si>
  <si>
    <t>Pekerjaan Pembesian Besi Beton D 10 mm - 150</t>
  </si>
  <si>
    <t>6.f</t>
  </si>
  <si>
    <t>6.g</t>
  </si>
  <si>
    <t>Pekerjaan Pemadatan Beton dengan Vibrator</t>
  </si>
  <si>
    <t>Pekerjaan Dinding Beton t = 20 cm</t>
  </si>
  <si>
    <t>7.a</t>
  </si>
  <si>
    <t>Pekerjaan Bekesting Dinding 5 kali pakai (2 sisi)</t>
  </si>
  <si>
    <t>7.b</t>
  </si>
  <si>
    <t>Pek. Pembesian Besi Beton D 13 mm - 200 (Vertikal)</t>
  </si>
  <si>
    <t>7.c</t>
  </si>
  <si>
    <t>Pek. Pembesian Besi Beton D 10 mm - 200 (Horisontal)</t>
  </si>
  <si>
    <t>7.d</t>
  </si>
  <si>
    <t>7.e</t>
  </si>
  <si>
    <t>III</t>
  </si>
  <si>
    <t>PEKERJAAN TAMBATAN PERAHU</t>
  </si>
  <si>
    <t>III.1</t>
  </si>
  <si>
    <t>Pekerjaan Perancah Dan Bongkaran</t>
  </si>
  <si>
    <t>Pekerjaan Perancah untuk Jalan Kerja Tambatan Perahu (badan kontruksi &amp; 1 sisi Jalan bantu L = 1,2 m), dengan dolken dan multiplek 12 mm</t>
  </si>
  <si>
    <t>Pekerjaan Bongkaran Perancah</t>
  </si>
  <si>
    <t>III.2</t>
  </si>
  <si>
    <t>Pekerjaan Struktur</t>
  </si>
  <si>
    <t>Pekerjaan Tapak dan Kolom Precast</t>
  </si>
  <si>
    <t>1.1</t>
  </si>
  <si>
    <t>Pekerjaan Pondasi Tapak Precast 25x80x80 cm</t>
  </si>
  <si>
    <t>1.1.a</t>
  </si>
  <si>
    <t>Pekerjaan Bekesting Pondasi</t>
  </si>
  <si>
    <t>1.1.b</t>
  </si>
  <si>
    <t>Pembesian Besi Beton D 13 mm secara semi mekanis</t>
  </si>
  <si>
    <t>1.1.c</t>
  </si>
  <si>
    <t>1.1.d</t>
  </si>
  <si>
    <t>1.1.e</t>
  </si>
  <si>
    <t>Pekerjaan Pancang Kayu Dolken</t>
  </si>
  <si>
    <t>1.2</t>
  </si>
  <si>
    <t>Pekerjaan Kolom Precast 25/25 cm</t>
  </si>
  <si>
    <t>1.2.a</t>
  </si>
  <si>
    <t>Pekerjaan Bekesting Kolom</t>
  </si>
  <si>
    <t>1.2.b</t>
  </si>
  <si>
    <t>Pembesian Besi Beton 5 D 13 mm termasuk stek secara semi mekanis</t>
  </si>
  <si>
    <t>1.2.c</t>
  </si>
  <si>
    <t>Pembesian Besi Beton Ø 8 mm - 150</t>
  </si>
  <si>
    <t>1.2.d</t>
  </si>
  <si>
    <t>1.2.e</t>
  </si>
  <si>
    <t>1.3</t>
  </si>
  <si>
    <t>Pekerjaan Demobilisasi Kolom Dan Tapak Precast termasuk pasang Penyokong/Pengaku Tiang</t>
  </si>
  <si>
    <t>Pekerjaan Balok Bawah 25/30</t>
  </si>
  <si>
    <t>Pekerjaan Bekesting Balok</t>
  </si>
  <si>
    <t>Pembesian Besi Beton 5 D 13 mm secara semi mekanis</t>
  </si>
  <si>
    <t>Pembesian Besi Beton Ø 8 mm - 100/150</t>
  </si>
  <si>
    <t>2.e</t>
  </si>
  <si>
    <t>2.f</t>
  </si>
  <si>
    <t>Pekerjaan Langsir Cor</t>
  </si>
  <si>
    <t>Pekerjaan Balok Atas 25/30 - Melintang</t>
  </si>
  <si>
    <t>Pekerjaan Balok Atas 25/30 - Memanjang</t>
  </si>
  <si>
    <t>4.e</t>
  </si>
  <si>
    <t>4.f</t>
  </si>
  <si>
    <t>Pekerjaan Balok Anak 25/25</t>
  </si>
  <si>
    <t>Pembesian Besi Beton 4 D 10 mm</t>
  </si>
  <si>
    <t>5.e</t>
  </si>
  <si>
    <t>5.f</t>
  </si>
  <si>
    <t>Pekerjaan Lantai Beton t = 12 cm</t>
  </si>
  <si>
    <t>Pekerjaan Bekesting Lantai</t>
  </si>
  <si>
    <t>Pembesian Besi Beton D 10 mm - 200</t>
  </si>
  <si>
    <t>Pek. Umpak Beton Tiang Lampu T = 35 cm</t>
  </si>
  <si>
    <t>Pembesian Besi Beton 8 D 10 mm</t>
  </si>
  <si>
    <t>Pembesian Besi Beton Ø 6 mm - 100</t>
  </si>
  <si>
    <t>7.f</t>
  </si>
  <si>
    <t>Cat Umpak Tiang Lampu</t>
  </si>
  <si>
    <t>Pekerjaan Bollard 15/15 cm</t>
  </si>
  <si>
    <t>8.a</t>
  </si>
  <si>
    <t>8.b</t>
  </si>
  <si>
    <t>Pembesian Besi Beton D 25 mm secara semi mekanis</t>
  </si>
  <si>
    <t>8.c</t>
  </si>
  <si>
    <t>8.d</t>
  </si>
  <si>
    <t>Pembesian Besi Beton Ø 8 mm - 100</t>
  </si>
  <si>
    <t>8.e</t>
  </si>
  <si>
    <t>8.f</t>
  </si>
  <si>
    <t>8.g</t>
  </si>
  <si>
    <t>8.h</t>
  </si>
  <si>
    <t>Cat Bollard</t>
  </si>
  <si>
    <t>Pekerjaan Kanstin Tambatan</t>
  </si>
  <si>
    <t>9.a</t>
  </si>
  <si>
    <t>9.b</t>
  </si>
  <si>
    <t>9.c</t>
  </si>
  <si>
    <t>9.d</t>
  </si>
  <si>
    <t>9.e</t>
  </si>
  <si>
    <t>9.f</t>
  </si>
  <si>
    <t>Pekerjaan Cat Luar Kanstin (Sealer+Weather Shield) ex. Jotun</t>
  </si>
  <si>
    <t>III.3</t>
  </si>
  <si>
    <t>Pekerjaan Tangga Pendaratan</t>
  </si>
  <si>
    <t>III.3.1</t>
  </si>
  <si>
    <t>Pekerjaan Perancah untuk Jalan Kerja Tangga Pendaratan</t>
  </si>
  <si>
    <t>2.1</t>
  </si>
  <si>
    <t>2.1.a</t>
  </si>
  <si>
    <t>2.1.b</t>
  </si>
  <si>
    <t>2.1.c</t>
  </si>
  <si>
    <t>2.1.d</t>
  </si>
  <si>
    <t>2.1.e</t>
  </si>
  <si>
    <t>Cerucuk Dolken</t>
  </si>
  <si>
    <t>2.2</t>
  </si>
  <si>
    <t>2.2.a</t>
  </si>
  <si>
    <t>2.2.b</t>
  </si>
  <si>
    <t>2.2.c</t>
  </si>
  <si>
    <t>2.2.d</t>
  </si>
  <si>
    <t>2.2.e</t>
  </si>
  <si>
    <t>2.3</t>
  </si>
  <si>
    <t>Pekerjaan Balok Anak 25/25 - Bordes Bawah</t>
  </si>
  <si>
    <t>Pekerjaan Balok Anak 25/25 - Bordes Atas</t>
  </si>
  <si>
    <t>Pembesian Besi Beton D 10 - 200 mm</t>
  </si>
  <si>
    <t>Pembesian Besi Beton D10 mm</t>
  </si>
  <si>
    <t>Pekerjaan Trap Tangga Pendaratan</t>
  </si>
  <si>
    <t>8.1</t>
  </si>
  <si>
    <t>Pekerjaan Lantai (Bordes) Trap Tangga Beton</t>
  </si>
  <si>
    <t>8.1.a</t>
  </si>
  <si>
    <t>Pekerjaan Kayu Bekesting Lantai</t>
  </si>
  <si>
    <t>8.1.b</t>
  </si>
  <si>
    <t>Pekerjaan Pembesian Besi Beton D10 - 200</t>
  </si>
  <si>
    <t>8.1.c</t>
  </si>
  <si>
    <t>8.1.d</t>
  </si>
  <si>
    <t>8.1.e</t>
  </si>
  <si>
    <t>8.2</t>
  </si>
  <si>
    <t>Pekerjaan Anak Trap Tangga Beton</t>
  </si>
  <si>
    <t>8.2.a</t>
  </si>
  <si>
    <t>Pekerjaan Kayu Bekesting Tangga</t>
  </si>
  <si>
    <t>8.2.b</t>
  </si>
  <si>
    <t>Pekerjaan Pembesian Besi Beton D10 - 100</t>
  </si>
  <si>
    <t>8.2.c</t>
  </si>
  <si>
    <t>8.2.d</t>
  </si>
  <si>
    <t>8.2.e</t>
  </si>
  <si>
    <t>IV</t>
  </si>
  <si>
    <t>PEKERJAAN DINDING PENAHAN TANAH</t>
  </si>
  <si>
    <t>IV.1</t>
  </si>
  <si>
    <t>Pekerjaan Turap Beton</t>
  </si>
  <si>
    <t>Pekerjaan Tapak Beton Menerus 30 x 140 cm</t>
  </si>
  <si>
    <t>1.d</t>
  </si>
  <si>
    <t>1.e</t>
  </si>
  <si>
    <t>1.f</t>
  </si>
  <si>
    <t>1.g</t>
  </si>
  <si>
    <t>V</t>
  </si>
  <si>
    <t>PEKERJAAN BANGUNAN SHELTER PENDARATAN IKAN</t>
  </si>
  <si>
    <t>V.1</t>
  </si>
  <si>
    <t>Pekerjaan Struktural</t>
  </si>
  <si>
    <t>Pekerjaan Bouwplank dan Uitzet</t>
  </si>
  <si>
    <t>Pekerjaan Tapak Beton 30x80x80 cm</t>
  </si>
  <si>
    <t>Pekerjaan Urugan Pasir t = 7 cm</t>
  </si>
  <si>
    <t>Pekerjaan Lantai Kerja t = 3 cm</t>
  </si>
  <si>
    <t>Pekerjaan Bekesting Pasangan Batako</t>
  </si>
  <si>
    <t>Pekerjaan Pembesian Besi Beton D10 mm - 150</t>
  </si>
  <si>
    <t>Pekerjaan beton semi mekanis setara fc = 20</t>
  </si>
  <si>
    <t>2.g</t>
  </si>
  <si>
    <t>Pekerjaan Pondasi Batu Belah</t>
  </si>
  <si>
    <t>Pekerjaan Galian Tanah keras s.d 1 m</t>
  </si>
  <si>
    <t>Pekerjaan Pancang Cerucuk Dolken</t>
  </si>
  <si>
    <t>Pekerjaan Urugan Pasir urug t = 7 cm</t>
  </si>
  <si>
    <t>Pekerjaan Pondasi Batu Belah 1 : 5</t>
  </si>
  <si>
    <t>Pekerjaan Angkur Sloof ke pondasi batu kali</t>
  </si>
  <si>
    <t>Pekerjaan Sloof Beton 25/30</t>
  </si>
  <si>
    <t>Pekerjaan Pembesian Besi Beton 5 D 10 mm</t>
  </si>
  <si>
    <t>Pekerjaan Pembesian Besi Beton Ø 8 mm - 100/150</t>
  </si>
  <si>
    <t>Pekerjaan Lantai</t>
  </si>
  <si>
    <t>Pekerjaan Urugan Tanah Urug</t>
  </si>
  <si>
    <t>Pekerjaan pemadatan tanah urug</t>
  </si>
  <si>
    <t>Pekerjaan Urugan Pasir t = 5 cm</t>
  </si>
  <si>
    <t>Pekerjaan Rabat Beton t = 7 cm</t>
  </si>
  <si>
    <t>Pekerjaan Kolom Beton Pedestal 25/25</t>
  </si>
  <si>
    <t>Pekerjaan Kayu Bekesting Kolom</t>
  </si>
  <si>
    <t>Pekerjaan Pembesian Besi Beton 8 D 10 mm</t>
  </si>
  <si>
    <t>Pekerjaan Pembesian Besi Beton Ø 8 mm - 150</t>
  </si>
  <si>
    <t>Pekerjaan Beton Semi Mekanis setara fc = 20</t>
  </si>
  <si>
    <t>Pekerjaan Kolom Beton 25/25</t>
  </si>
  <si>
    <t>Pekerjaan Balok Beton RB-1 20/35</t>
  </si>
  <si>
    <t>Pekerjaan Kayu Bekesting Balok</t>
  </si>
  <si>
    <t>Pekerjaan Balok Beton B-1 20/35</t>
  </si>
  <si>
    <t>Pekerjaan Balok Beton Praktis 15/15</t>
  </si>
  <si>
    <t>Pekerjaan Pembesian Besi Beton 4 D 10 mm</t>
  </si>
  <si>
    <t>11.c</t>
  </si>
  <si>
    <t>11.d</t>
  </si>
  <si>
    <t>Pekerjaan Kuda-Kuda Beton Atap</t>
  </si>
  <si>
    <t>12.1</t>
  </si>
  <si>
    <t>Balok Beton Utama 15/20</t>
  </si>
  <si>
    <t>12.1.a</t>
  </si>
  <si>
    <t>12.1.b</t>
  </si>
  <si>
    <t>Pekerjaan Pembesian Besi Beton 4 D 10</t>
  </si>
  <si>
    <t>12.1.c</t>
  </si>
  <si>
    <t>Pekerjaan Pembesian Besi Beton Ø 8 - 100/150</t>
  </si>
  <si>
    <t>12.1.d</t>
  </si>
  <si>
    <t>Pekerjaan Beton Site Mix setara fc = 20</t>
  </si>
  <si>
    <t>12.2</t>
  </si>
  <si>
    <t>Kolom Beton 15/20</t>
  </si>
  <si>
    <t>12.2.a</t>
  </si>
  <si>
    <t>12.2.b</t>
  </si>
  <si>
    <t>12.2.c</t>
  </si>
  <si>
    <t>12.2.d</t>
  </si>
  <si>
    <t>V.2</t>
  </si>
  <si>
    <t>Pekerjaan Arsitektural</t>
  </si>
  <si>
    <t>Pekerjaan Pasangan Dinding Bata Merah 1 : 5</t>
  </si>
  <si>
    <t>Pekerjaan Plesteran</t>
  </si>
  <si>
    <t>Pekerjaan Acian Beton</t>
  </si>
  <si>
    <t>Pekerjaan Dinding Sopi-Sopi GRC</t>
  </si>
  <si>
    <t>Pekerjaan Trap Entrance</t>
  </si>
  <si>
    <t>Pekerjaan Galian Tanah</t>
  </si>
  <si>
    <t>Pekerjaan Pondasi Rolaag Bata</t>
  </si>
  <si>
    <t>Pekerjaan Urugan Tanah</t>
  </si>
  <si>
    <t>Pekerjaan Urugan Pasir t = 3 cm</t>
  </si>
  <si>
    <t>Pekerjaan Plesteran Dinding Samping Trap</t>
  </si>
  <si>
    <t>Pekerjaan Rangka Atap Baja Ringan</t>
  </si>
  <si>
    <t>Pekerjaan Pemasangan Atap Pelana Rangka Atap Baja Ringan (Canai Dingin) profil C75 (AZ 100)</t>
  </si>
  <si>
    <t>Pekerjaan Pemasangan Reng Baja Ringan R32 t = 0,45 mm (AZ 100)</t>
  </si>
  <si>
    <t>Pekerjaan Pemasangan Atap Spandek Berpasir t = 0,45</t>
  </si>
  <si>
    <t>Pekerjaan Pemasangan Nok Spandek Berpasir</t>
  </si>
  <si>
    <t>Pekerjaan Plafond GRC t = 6 mm,termasuk rangka besi hollow Galvalum 40/40 modul 60x60 cm</t>
  </si>
  <si>
    <t>Pekerjaan Dinding GRC Motif Lokal Finishing Cat termasuk dudukan besi hollow Galvanis 40/40</t>
  </si>
  <si>
    <t>Pekerjaan Cat Dinding Luar (sealer+extreme Jotun)</t>
  </si>
  <si>
    <t>Pekerjaan Pengecatan Plafond</t>
  </si>
  <si>
    <t>Pekerjaan Listplank GRC L = 30 cm, t = 8 mm</t>
  </si>
  <si>
    <t>Pengecatan Listplank GRC (Wheatershield)</t>
  </si>
  <si>
    <t>Pek. Logo KKP plate galvanis Finish Cat Duco dia.40 cm</t>
  </si>
  <si>
    <t>Pekerjaan Huruf Timbul plate galvanis finish cat duco, SHELTER PENDARATAN IKAN uk. 20x25 cm</t>
  </si>
  <si>
    <t>V.3</t>
  </si>
  <si>
    <t>Pekerjaan Elektrikal</t>
  </si>
  <si>
    <t>Pekerjaan Instalasi Penerangan NYM 2 x 1 ½ mm²</t>
  </si>
  <si>
    <t>Instalasi Stop Kontak, kabel NYM 2 x 2 ½ mm²</t>
  </si>
  <si>
    <t>Pasang Saklar Dobel</t>
  </si>
  <si>
    <t>Pasang Stop Kontak</t>
  </si>
  <si>
    <t>Pekerjaan Pasang Lampu Downlight 5 Inch LED 9 Watt</t>
  </si>
  <si>
    <t>Pekerjaan Box Panel Listrik (MCB) 4 Group</t>
  </si>
  <si>
    <t>VI</t>
  </si>
  <si>
    <t>PEKERJAAN PONDASI GUDANG BEKU PORTABLE</t>
  </si>
  <si>
    <t>VI.1</t>
  </si>
  <si>
    <t>Pekerjaan Struktural Pondasi</t>
  </si>
  <si>
    <t>Pekerjaan Pondasi Batu Belah (Bangunan)</t>
  </si>
  <si>
    <t>Pekerjaan Galian Tanah Biasa sedalam 1-2 m</t>
  </si>
  <si>
    <t>Pekerjaan Aanstamping/ Batu Kosong</t>
  </si>
  <si>
    <t>Pekerjaan Urugan Tanah Kembali</t>
  </si>
  <si>
    <t>Pekerjaan Pemadatan Tanah Urug</t>
  </si>
  <si>
    <t>2.h</t>
  </si>
  <si>
    <t>Pekerjaan Pondasi Batu Belah (Teras)</t>
  </si>
  <si>
    <t>Pekerjaan Galian Tanah Biasa sedalam 1 m</t>
  </si>
  <si>
    <t>Pekerjaan Sloof Beton 30/30</t>
  </si>
  <si>
    <t>Pekerjaan Pembesian Besi Beton Tulangan Utama</t>
  </si>
  <si>
    <t>Pekerjaan Pembesian Besi Beton Sengkang</t>
  </si>
  <si>
    <t>Pekerjaan Sloof Beton 15/20</t>
  </si>
  <si>
    <t>Pekerjaan Lantai Beton t = 15 cm</t>
  </si>
  <si>
    <t>Pekerjaan Urugan Pasir</t>
  </si>
  <si>
    <t>Pekerjaan Lantai Kerja</t>
  </si>
  <si>
    <t>Pekerjaan Pembesian Plat Lantai Besi Beton D10 - 150</t>
  </si>
  <si>
    <t>7.g</t>
  </si>
  <si>
    <t>Pekerjaan Tanggul Keliling t = 10 cm</t>
  </si>
  <si>
    <t>Pekerjaan Roolag Bata</t>
  </si>
  <si>
    <t>Pekerjaan Screeding Lantai Beton</t>
  </si>
  <si>
    <t>VII</t>
  </si>
  <si>
    <t>PEKERJAAN PONDASI PABRIK ES PORTABLE</t>
  </si>
  <si>
    <t>VII.1</t>
  </si>
  <si>
    <t>Pekerjaan Galian Tanah keras sedalam 1 m</t>
  </si>
  <si>
    <t>Pekerjaan Pembesian Besi Lantai</t>
  </si>
  <si>
    <t>5.g</t>
  </si>
  <si>
    <t>VII.2</t>
  </si>
  <si>
    <t>Pekerjaan Struktural Ground Water Tank Beton</t>
  </si>
  <si>
    <t>Pekerjaan Galian Tanah Sedalam 1 s/d 2 m</t>
  </si>
  <si>
    <t>Pekerjaan Lantai Kerja t = 5 cm</t>
  </si>
  <si>
    <t>Pekerjaan Balok Beton 15/20</t>
  </si>
  <si>
    <t>Pekerjaan Pembesian Besi Beton Ø 6 mm - 150</t>
  </si>
  <si>
    <t>Pekerjaan Beton Semi Mekanis setara fc = 25</t>
  </si>
  <si>
    <t>Pekerjaan Balok Beton 15/15</t>
  </si>
  <si>
    <t>Pekerjaan Lantai Beton t = 20 cm</t>
  </si>
  <si>
    <t>Pekerjaan Dinding Beton t = 15 cm</t>
  </si>
  <si>
    <t>Pekerjaan Bekesting Dinding</t>
  </si>
  <si>
    <t>Pekerjaan Pembesian Besi Beton D10 - 150</t>
  </si>
  <si>
    <t>Pekerjaan Dak Beton Beton t = 15 cm</t>
  </si>
  <si>
    <t>Pekerjaan Manhole Cover Beton t = 10 cm</t>
  </si>
  <si>
    <t>Pekerjaan Pembesian Besi Beton Ø 8 mm (kupingan)</t>
  </si>
  <si>
    <t>Pekerjaan Waterproofing Coating ex.No Drop anti Panas</t>
  </si>
  <si>
    <t>Pekerjaan PVC Waterstop lebar 200 mm</t>
  </si>
  <si>
    <t>Pekerjaan Pompa Dorong Marine Grade</t>
  </si>
  <si>
    <t>Pekerjaan Pemasangan Pipa HDPE Ø 2 Inch</t>
  </si>
  <si>
    <t>VIII</t>
  </si>
  <si>
    <t>PEKERJAAN AREA PARKIR</t>
  </si>
  <si>
    <t>Pekerjaan Urugan Makadam t = 20 cm</t>
  </si>
  <si>
    <t>Pekerjaan Pemadatan Makadam</t>
  </si>
  <si>
    <t>Pekerjaan Urugan Sirtu t = 10 cm</t>
  </si>
  <si>
    <t>Pekerjaan Pemadatan Sirtu</t>
  </si>
  <si>
    <t>Pekerjaan Lantai Paving Block t = 6 cm</t>
  </si>
  <si>
    <t>Pekerjaan Kanstin 15.25.40</t>
  </si>
  <si>
    <t>IX</t>
  </si>
  <si>
    <t>PEKERJAAN BANGUNAN KIOS PERBEKALAN</t>
  </si>
  <si>
    <t>IX.1</t>
  </si>
  <si>
    <t>Pekerjaan Pondasi Pas. Batu Belah</t>
  </si>
  <si>
    <t>Pekerjaan Kolom Beton Praktis 15/15</t>
  </si>
  <si>
    <t>Pekerjaan Galian Tanah (Roolag Teras)</t>
  </si>
  <si>
    <t>Pekerjaan Pondasi Rolaag Bata (Teras)</t>
  </si>
  <si>
    <t>13.c</t>
  </si>
  <si>
    <t>13.d</t>
  </si>
  <si>
    <t>13.e</t>
  </si>
  <si>
    <t>13.f</t>
  </si>
  <si>
    <t>Pekerjaan Lantai Kerja = 5 cm</t>
  </si>
  <si>
    <t>IX.2</t>
  </si>
  <si>
    <t>Pekerjaan Pasangan Dinding Bata Merah</t>
  </si>
  <si>
    <t>Pekerjaan Skonengan (Opening Kusen)</t>
  </si>
  <si>
    <t>Pekerjaan Pintu Rooling Door Aluminium 200 x 250 m², t = 0,6 mm komplit terpasang</t>
  </si>
  <si>
    <t>Pekerjaan Kusen Pintu UPVC P-03, termasuk kusen, daun pintu, hadle (1 set), engsel, baut pasang/baut skrup dan kunci</t>
  </si>
  <si>
    <t>Pekerjaan Kusen Jendela BV (2 bh)</t>
  </si>
  <si>
    <t>Pekerjaan Kusen Aluminium 4 inch</t>
  </si>
  <si>
    <t>Pasang Kaca Es t = 5 mm</t>
  </si>
  <si>
    <t>Pas. Lantai Keramik 40x40 cm Polished</t>
  </si>
  <si>
    <t>Pas. Lantai Keramik 40x40 cm Matte</t>
  </si>
  <si>
    <t>Pas. Dinding Keramik 20x20 cm Polished</t>
  </si>
  <si>
    <t>12.c</t>
  </si>
  <si>
    <t>Pekerjaan Pemasangan Atap Spandek Berpasir</t>
  </si>
  <si>
    <t>12.d</t>
  </si>
  <si>
    <t>Pekerjaan Atap Kanopi 32,5 x 25,2 cm</t>
  </si>
  <si>
    <t>14.a</t>
  </si>
  <si>
    <t>Pekerjaan Pondasi Kolom Pedestal</t>
  </si>
  <si>
    <t>14.2</t>
  </si>
  <si>
    <t>~ Pekerjaan Galian Tanah</t>
  </si>
  <si>
    <t>14.3</t>
  </si>
  <si>
    <t>~ Pekerjaan Bekesting Kolom</t>
  </si>
  <si>
    <t>14.4</t>
  </si>
  <si>
    <t>~ Pekerjaan Beton Site Mix setara fc = 20</t>
  </si>
  <si>
    <t>14.5</t>
  </si>
  <si>
    <t>~ Pekerjaan Dynabolt Ø 10 mm</t>
  </si>
  <si>
    <t>14.b</t>
  </si>
  <si>
    <t>Pekerjaan Rangka Atap Kanopi Besi Hollow 40/60, modul 85/80, termasuk kolom kanopi</t>
  </si>
  <si>
    <t>14.c</t>
  </si>
  <si>
    <t>Pekerjaan Pemasangan Atap Spandek</t>
  </si>
  <si>
    <t>Pekerjaan Cat Dinding Luar</t>
  </si>
  <si>
    <t>16</t>
  </si>
  <si>
    <t>Pekerjaan Cat Plafond</t>
  </si>
  <si>
    <t>17</t>
  </si>
  <si>
    <t>18</t>
  </si>
  <si>
    <t>Pekerjaan Logo KKP plate galvanis Finish Cat Duco</t>
  </si>
  <si>
    <t>Pekerjaan Huruf Timbul plate galvanis finish cat duco, KIOS PERBEKALAN uk. 20x25 cm</t>
  </si>
  <si>
    <t>IX.3</t>
  </si>
  <si>
    <t>Pekerjaan Mekanikal Elektrikal</t>
  </si>
  <si>
    <t>Pekerjaan Instalasi Air Bersih Pipa PVC Ø ½ Inch</t>
  </si>
  <si>
    <t>Pekerjaan Instalasi Air Bersih Pipa PVC Ø 1 Inch</t>
  </si>
  <si>
    <t>Pekerjaan Instalasi Air Buangan Pipa PVC Ø 3 Inch</t>
  </si>
  <si>
    <t>Pekerjaan Instalasi Air Buangan Pipa PVC Ø 4 Inch</t>
  </si>
  <si>
    <t>Pekerjaan Pemasangan Closet Duduk</t>
  </si>
  <si>
    <t>Pekerjaan Pemasangan Jet Washer</t>
  </si>
  <si>
    <t>Pekerjaan Pemasangan Kran Air</t>
  </si>
  <si>
    <t>Pekerjaan Pemasangan Floor Drain</t>
  </si>
  <si>
    <t>Pekerjaan Pompa Dorong</t>
  </si>
  <si>
    <t>Tiang Menara Toren Tangki Air 600 liter, T = 4 m</t>
  </si>
  <si>
    <t>Pengadaan Barang</t>
  </si>
  <si>
    <t>Pengiriman</t>
  </si>
  <si>
    <t>Pekerjaan Pondasi Tapak 30x60x60 cm</t>
  </si>
  <si>
    <t>10.4</t>
  </si>
  <si>
    <t>~ Galian Tanah</t>
  </si>
  <si>
    <t>10.5</t>
  </si>
  <si>
    <t>~ Pekerjaan Bekesting Pasangan Batako</t>
  </si>
  <si>
    <t>10.6</t>
  </si>
  <si>
    <t>~ Pembesian Besi D 13 - 150</t>
  </si>
  <si>
    <t>10.7</t>
  </si>
  <si>
    <t>~ Pekerjaan Beton Semi Mekanis setara fc = 20</t>
  </si>
  <si>
    <t>Pekerjaan Kolom Pedestal 25/25</t>
  </si>
  <si>
    <t>10.9</t>
  </si>
  <si>
    <t>~ Pekerjaan Kayu Bekesting Kolom</t>
  </si>
  <si>
    <t>10.10</t>
  </si>
  <si>
    <t>~ Pekerjaan Pembesian Besi Beton 8 D 13</t>
  </si>
  <si>
    <t>10.11</t>
  </si>
  <si>
    <t>~ Pekerjaan Pembesian Besi Beton Ø 8 - 100/150</t>
  </si>
  <si>
    <t>10.12</t>
  </si>
  <si>
    <t>10.13</t>
  </si>
  <si>
    <t>~ Pekerjaan Angkur D13</t>
  </si>
  <si>
    <t>Pekerjaan Pengadaan dan Pemasangan Tangki Toren Kap.600 liter ex.Penguin TD60</t>
  </si>
  <si>
    <t>Pekerjaan Septiktank Bio Tech 1 m³</t>
  </si>
  <si>
    <t>Pekerjaan Galian Tanah s/d 2 m</t>
  </si>
  <si>
    <t>Pekerjaan Pasir Urug t = 10 cm</t>
  </si>
  <si>
    <t>Pekerjaan Pengadaan Dan Setting Bio-Tech 1 m³</t>
  </si>
  <si>
    <t>Instalasi Penerangan, kabel NYY 2 x 1 ½ mm²</t>
  </si>
  <si>
    <t>Pasang Downlight Ø 5 Inch+ LED 9 watt</t>
  </si>
  <si>
    <t>Pekerjaan Saklar Ganda</t>
  </si>
  <si>
    <t>Pekerjaan Saklar Tunggal</t>
  </si>
  <si>
    <t>Pekerjaan Stop Kontak</t>
  </si>
  <si>
    <t>19</t>
  </si>
  <si>
    <t>Pasang Kipas Angin Plafond</t>
  </si>
  <si>
    <t>20</t>
  </si>
  <si>
    <t>X</t>
  </si>
  <si>
    <t>PEKERJAAN BANGUNAN KANTOR PENGELOLA</t>
  </si>
  <si>
    <t>X.1</t>
  </si>
  <si>
    <t>Pekerjaan Pasir Urug t = 7 cm</t>
  </si>
  <si>
    <t>Pekerjaan Beton Site Mix 1:2:3 setara fc = 20</t>
  </si>
  <si>
    <t>Pekerjaan Lantai Rabat Keliling Bangunan</t>
  </si>
  <si>
    <t>Pekerjaan Lantai Rabat Beton t = 7 cm</t>
  </si>
  <si>
    <t>Pekerjaan Topi Jendela Beton t = 10 cm</t>
  </si>
  <si>
    <t>Pekerjaan Waterproofing Coating ex.Nodrop anti panas</t>
  </si>
  <si>
    <t>X.2</t>
  </si>
  <si>
    <t>Pekerjaan Arsitektural Dan ME</t>
  </si>
  <si>
    <t>Pasangan Dinding Bata Merah</t>
  </si>
  <si>
    <t>Plesteran</t>
  </si>
  <si>
    <t>Acian Finish</t>
  </si>
  <si>
    <t>Pekerjaan Kusen</t>
  </si>
  <si>
    <t>4.1</t>
  </si>
  <si>
    <t>Pekerjaan Kusen Pintu P-01</t>
  </si>
  <si>
    <t>4.1.a</t>
  </si>
  <si>
    <t>4.1.b</t>
  </si>
  <si>
    <t>Pek. Daun Pintu Multiplex 2x18mm + Rangka Kayu, lapis HPL (Engineering Door)</t>
  </si>
  <si>
    <t>4.1.c</t>
  </si>
  <si>
    <t>Pasang Engsel Pintu 4 Inch</t>
  </si>
  <si>
    <t>4.1.d</t>
  </si>
  <si>
    <t>Pasang Door Closer</t>
  </si>
  <si>
    <t>4.1.e</t>
  </si>
  <si>
    <t>Pasang Handel + Kunci Swing</t>
  </si>
  <si>
    <t>4.2</t>
  </si>
  <si>
    <t>4.3</t>
  </si>
  <si>
    <t>Pekerjaan Kusen Jendela J-01</t>
  </si>
  <si>
    <t>4.3.a</t>
  </si>
  <si>
    <t>4.3.b</t>
  </si>
  <si>
    <t>Pekerjaan Daun Jendela Aluminium tanpa Kaca</t>
  </si>
  <si>
    <t>4.3.c</t>
  </si>
  <si>
    <t>Pasang Kaca Polos t = 5 mm</t>
  </si>
  <si>
    <t>4.3.d</t>
  </si>
  <si>
    <t>Pasang Engsel Jendela 3 Inch</t>
  </si>
  <si>
    <t>4.3.e</t>
  </si>
  <si>
    <t>Casement</t>
  </si>
  <si>
    <t>4.3.f</t>
  </si>
  <si>
    <t>Rambuncis</t>
  </si>
  <si>
    <t>4.4</t>
  </si>
  <si>
    <t>Pekerjaan Kusen Jendela J-02</t>
  </si>
  <si>
    <t>4.4.a</t>
  </si>
  <si>
    <t>4.4.b</t>
  </si>
  <si>
    <t>4.4.c</t>
  </si>
  <si>
    <t>4.4.d</t>
  </si>
  <si>
    <t>4.4.e</t>
  </si>
  <si>
    <t>4.4.f</t>
  </si>
  <si>
    <t>4.5</t>
  </si>
  <si>
    <t>Pekerjaan Kusen Jendela BV</t>
  </si>
  <si>
    <t>4.5.a</t>
  </si>
  <si>
    <t>4.5.b</t>
  </si>
  <si>
    <t>Pekerjaan Cat Dinding</t>
  </si>
  <si>
    <t>Cat Dinding (Interior)</t>
  </si>
  <si>
    <t>Cat Dinding (Exterior)</t>
  </si>
  <si>
    <t>Pekerjaan Cat Listplank GRC</t>
  </si>
  <si>
    <t>Pekerjaan Pemasangan Atap Jurai/Limasan Rangka Atap Baja Ringan (Canai Dingin) profil C75 (AZ 100)</t>
  </si>
  <si>
    <t>Pekerjaan Logo KKP plate galvanis Finish Cat Duco dia.40 cm</t>
  </si>
  <si>
    <t>Pekerjaan Huruf Timbul plate galvanis finish cat duco, KANTOR PENGELOLA uk. 20x25 cm</t>
  </si>
  <si>
    <t>21</t>
  </si>
  <si>
    <t>22</t>
  </si>
  <si>
    <t>23</t>
  </si>
  <si>
    <t>24</t>
  </si>
  <si>
    <t>25</t>
  </si>
  <si>
    <t>26</t>
  </si>
  <si>
    <t>26.a</t>
  </si>
  <si>
    <t>26.b</t>
  </si>
  <si>
    <t>26.c</t>
  </si>
  <si>
    <t>26.4</t>
  </si>
  <si>
    <t>26.5</t>
  </si>
  <si>
    <t>26.6</t>
  </si>
  <si>
    <t>26.7</t>
  </si>
  <si>
    <t>26.d</t>
  </si>
  <si>
    <t>26.9</t>
  </si>
  <si>
    <t>26.10</t>
  </si>
  <si>
    <t>26.11</t>
  </si>
  <si>
    <t>26.12</t>
  </si>
  <si>
    <t>26.13</t>
  </si>
  <si>
    <t>27</t>
  </si>
  <si>
    <t>Pekerjaan Septiktank Bio-Tech 1 m³</t>
  </si>
  <si>
    <t>27.a</t>
  </si>
  <si>
    <t>27.b</t>
  </si>
  <si>
    <t>27.c</t>
  </si>
  <si>
    <t>27.d</t>
  </si>
  <si>
    <t>28</t>
  </si>
  <si>
    <t>Pekerjaan Instalasi Penerangan, kabel NYY 2 x 1 ½ mm²</t>
  </si>
  <si>
    <t>29</t>
  </si>
  <si>
    <t>Pekerjaan Instalasi Stop Kontak, kabel NYY 2 x 2 ½ mm²</t>
  </si>
  <si>
    <t>30</t>
  </si>
  <si>
    <t>Pekerjaan Instalasi TV</t>
  </si>
  <si>
    <t>31</t>
  </si>
  <si>
    <t>32</t>
  </si>
  <si>
    <t>Pekerjaan Saklar Dobel</t>
  </si>
  <si>
    <t>33</t>
  </si>
  <si>
    <t>34</t>
  </si>
  <si>
    <t>Pekerjaan Stop Kontak AC</t>
  </si>
  <si>
    <t>35</t>
  </si>
  <si>
    <t>Pekerjaan Stop Kontak Antena</t>
  </si>
  <si>
    <t>36</t>
  </si>
  <si>
    <t>37</t>
  </si>
  <si>
    <t>Pekerjaan AC Split 3/4 PK - std</t>
  </si>
  <si>
    <t>38</t>
  </si>
  <si>
    <t>Pekerjaan Box Panel Listrik (MCB) 8 Group</t>
  </si>
  <si>
    <t>XI</t>
  </si>
  <si>
    <t>PEKERJAAN BANGUNAN TANGKI AIR DAN SUMUR BOR</t>
  </si>
  <si>
    <t>XI.1</t>
  </si>
  <si>
    <t>Pekerjaan Pile Cap 60x100x100 cm</t>
  </si>
  <si>
    <t>Pekerjaan Galian Tanah Keras s/d 1 m</t>
  </si>
  <si>
    <t>Pekerjaan Urugan Pasir Urug t = 5 cm</t>
  </si>
  <si>
    <t>Pekerjaan Pembesian Besi Beton D16 - 150</t>
  </si>
  <si>
    <t>Pekerjaan Pembesian Besi Beton Ties D13 - 400</t>
  </si>
  <si>
    <t>2.i</t>
  </si>
  <si>
    <t>Pekerjaan Pengecoran dengan Concrete Vibrator</t>
  </si>
  <si>
    <t>Pekerjaan Tie Beam TB-1 25/30</t>
  </si>
  <si>
    <t>Pekerjaan Pembesian Besi Beton 5 D 13</t>
  </si>
  <si>
    <t>Pekerjaan Pembesian Besi Beton Ø 8 - 100/200</t>
  </si>
  <si>
    <t>3.g</t>
  </si>
  <si>
    <t>3.h</t>
  </si>
  <si>
    <t>Pekerjaan Kolom Beton 30/30</t>
  </si>
  <si>
    <t>Pekerjaan Pembesian Besi Beton 12 D13</t>
  </si>
  <si>
    <t>Pekerjaan Pembesian Besi Beton Ties D 10 - 200</t>
  </si>
  <si>
    <t>Pekerjaan Pembesian Besi Beton D10 - 100/200</t>
  </si>
  <si>
    <t>Pekerjaan Perancah/Scafolding</t>
  </si>
  <si>
    <t>Pekerjaan Balok Beton B-1 20/40</t>
  </si>
  <si>
    <t>Pekerjaan Pembesian Besi Beton 6 D 13</t>
  </si>
  <si>
    <t>Pekerjaan Balok Beton B-2 20/30</t>
  </si>
  <si>
    <t>Pekerjaan Pembesian Besi Beton 5 D 10</t>
  </si>
  <si>
    <t>Pekerjaan Balok Beton B-3 15/40</t>
  </si>
  <si>
    <t>Pekerjaan Pembesian Besi Beton 10 D 10</t>
  </si>
  <si>
    <t>Pekerjaan Pembesian Besi Wiremesh M8-150, 2 lapis</t>
  </si>
  <si>
    <t>XI.2</t>
  </si>
  <si>
    <t>Pekerjaan Tangki FRP 18 m³ Dan Plumbing</t>
  </si>
  <si>
    <t>Pekerjaan Tangki Fiber Reinforced Plastic (FRP) 18 m³</t>
  </si>
  <si>
    <t>Pekerjaan Pengiriman Bahan (On Site) dan Tenaga Perakitan</t>
  </si>
  <si>
    <t>Pekerjaan Pengadaan dan Setting Tangki Air FRP 18.000 liter (Inlet, Outlet, Drain, Vent, Overflow dan Vent Flanges Ø 2 Inch, Man Hole dia.50 cm, Bolt+Nuts M10x40 Galvanis, Base Frame UNP 80</t>
  </si>
  <si>
    <t>Pekerjaan Pembagian Pemipaan Distribusi</t>
  </si>
  <si>
    <t>Pekerjaan Tee Pipa Galvanis Ø 2 Inch</t>
  </si>
  <si>
    <t>Pekerjaan Flange Gate Valve Galvanis Ø 2 Inch</t>
  </si>
  <si>
    <t>Pekerjaan Sambungan Pipa, Sock Ø 2 Inch, Pipa Galvanis dan Pipa HDPE</t>
  </si>
  <si>
    <t>Pekerjaan Sambungan Pipa, Sock Ø 2 Inch, Pipa PVC dan Pipa HDPE</t>
  </si>
  <si>
    <t>Pekerjaan Distribusi Air Bersih Instalasi Pipa HDPE Ø 2 Inch</t>
  </si>
  <si>
    <t>Shelter Pendaratan Ikan - Pabrik Es - Gd. Beku</t>
  </si>
  <si>
    <t>Bangunan Kantor - Kios Perbekalan</t>
  </si>
  <si>
    <t>Pekerjaan Instalasi Air Bersih Shelter Pendaratan Ikan</t>
  </si>
  <si>
    <t>Pekerjaan Instalasi Air Bersih Pipa PVC AW Ø ½ Inch</t>
  </si>
  <si>
    <t>Pekerjaan Kran Air Ø ½ Inch</t>
  </si>
  <si>
    <t>Pekerjaan Instalasi Air Bersih Gudang Beku Portable</t>
  </si>
  <si>
    <t>Pekerjaan Instalasi Air Bersih Bangunan Pabrik Es</t>
  </si>
  <si>
    <t>Pekerjaan Instalasi Air Bersih Bangunan Kios Perbekalan</t>
  </si>
  <si>
    <t>Pekerjaan Instalasi Air Bersih Bangunan Kantor</t>
  </si>
  <si>
    <t>Pekerjaan Tangga Monyet (Maintanance), Pipa Galvanis Ø 2 Inch + Ø 1 ½ Inch, Finish Cat Dasar dan Penutup, T = 3 m</t>
  </si>
  <si>
    <t>XI.3</t>
  </si>
  <si>
    <t>Pekerjaan Deep Well</t>
  </si>
  <si>
    <t>XI.3.1</t>
  </si>
  <si>
    <t>Pekerjaan Pengeboran</t>
  </si>
  <si>
    <t>Pekerjaan Geo-listrik</t>
  </si>
  <si>
    <t>Pekerjaan Penyelidikan Geolistrik</t>
  </si>
  <si>
    <t>Pekerjaan Pemasangan Pipa Casing dan Pipa Perfoated Screen</t>
  </si>
  <si>
    <t>Pengeboran Lubang Awal Ø 6 Inch termasuk mobilisasi alat dan Personil</t>
  </si>
  <si>
    <t>Pekerjaan setting Pipa Galvanis Ø 6 Inch, t = 3 mm</t>
  </si>
  <si>
    <t>Pekerjaan Pengelasan sambungan pipa</t>
  </si>
  <si>
    <t>Pipa Galvanis Perfoated Screen Ø 3 Inch, t = 2 mm</t>
  </si>
  <si>
    <t>Pengisian Gravel Pack</t>
  </si>
  <si>
    <t>Pekerjaan Semen Grouting Bag (atas dinding Sumur)</t>
  </si>
  <si>
    <t>Pekerjaan Rumah Pompa 80x150 cm</t>
  </si>
  <si>
    <t>5.3</t>
  </si>
  <si>
    <t>5.4</t>
  </si>
  <si>
    <t>~ Pekerjaan Pembesian Wiremseh M8-150</t>
  </si>
  <si>
    <t>5.5</t>
  </si>
  <si>
    <t>Pekerjaan Pasangan Bata Merah</t>
  </si>
  <si>
    <t>Pekerjaan Tutup Rumah Pompa, plat Bordes t = 2,3 mm rangka siku besi 50.50.5 mm + 40.40.4 mm, Fin. Cat</t>
  </si>
  <si>
    <t>XI.3.2</t>
  </si>
  <si>
    <t>Pekerjaan Pengadaan Dan Material</t>
  </si>
  <si>
    <t>Pekerjaan Pemasangan Pompa Air Submersible Deepwell Well SP 9-10 ex.Grundfos</t>
  </si>
  <si>
    <t>Pekerjaan Pemasangan Panel Kontrol Pompa 3 Phase</t>
  </si>
  <si>
    <t>Pekerjaan tarik Kabel Pompa NYYHY 3 x 1 ½ mm²</t>
  </si>
  <si>
    <t>Pekerjaan tarik Kabel Elektroda NYYHY 3 x 2 ½ mm²</t>
  </si>
  <si>
    <t>Pekerjaan Pemasangan Elektroda - Water Level Switch Control (Vertical Float Level Switch VSM)</t>
  </si>
  <si>
    <t>Pekerjaan Pipa Isap/Hantar - PVC AW = 2 Inch SNI</t>
  </si>
  <si>
    <t>XII</t>
  </si>
  <si>
    <t>PEKERJAAN PENERANGAN KAWASAN</t>
  </si>
  <si>
    <t>XII.1</t>
  </si>
  <si>
    <t>Pekerjaan Penerangan Tiang T = 7 m Dan T = 4 m</t>
  </si>
  <si>
    <t>Pekerjaan Tapak Beton 30x100x100 cm</t>
  </si>
  <si>
    <t>Pekerjaan Bekesting pasangan Batako</t>
  </si>
  <si>
    <t>Pekerjaan Pembesian Besi Beton D 10 - 150</t>
  </si>
  <si>
    <t>Pekerjaan Kolom Pedestal 50/50</t>
  </si>
  <si>
    <t>Pekerjaan Pembesian Besi Beton 8 D 10</t>
  </si>
  <si>
    <t>Pekerjaan Pembesian Besi Beton Ø 8 - 150</t>
  </si>
  <si>
    <t>Pekerjaan Pengadaan dan Pemasangan Tiang PJU 7 meter (Oktagonal Dobel Arm Hot Deep Galvanis) serta Lampu LED 40 Watt</t>
  </si>
  <si>
    <t>Pekerjaan Pengadaan dan Pemasangan Tiang PJU 7 meter (Oktagonal Single Arm Hot Deep Galvanis) serta Lampu LED 40 Watt</t>
  </si>
  <si>
    <t>Pekerjaan Pengadaan dan Pemasangan Tiang PJU 4 meter (Oktagonal Double Arm Hot Deep Galvanis) serta Lampu LED 40 Watt dilengkapi dengan ornamen artistik, lapis cat dasar Tipe Marine + Cat penutup (untuk Tambatan Perahu)</t>
  </si>
  <si>
    <t>Pekerjaan Pengiriman Tiang Lampu</t>
  </si>
  <si>
    <t>XII.2</t>
  </si>
  <si>
    <t>Pekerjaan Pengadaan dan Pemasangan Panel Distribusi</t>
  </si>
  <si>
    <t>Pekerjaan Pengadaan dan Pemasangan Panel Kontroler</t>
  </si>
  <si>
    <t>Pekerjaan Instalasi Penerangan Jalan, kabel NYY 4 x 2 ½ mm²</t>
  </si>
  <si>
    <t>Pekerjaan Tarik Kabel NYY 2 x 4 (Supreme)</t>
  </si>
  <si>
    <t>m'</t>
  </si>
  <si>
    <t>Pekerjaan Tarik Kabel Distribusi NYY 4 x 6 (Supreme)</t>
  </si>
  <si>
    <t>Pekerjaan Sparing Pipa PVC Listrik 3/4 D</t>
  </si>
  <si>
    <t>Pekerjaan Galian Tanah (tanam kabel)</t>
  </si>
  <si>
    <t>Pekerjaan Pemasangan MCB 2 Ampere</t>
  </si>
  <si>
    <t>Pekerjaan Grounding</t>
  </si>
  <si>
    <t>Pekerjaan Pemasangan 5/8" Rod Coupling</t>
  </si>
  <si>
    <t>XIII</t>
  </si>
  <si>
    <t>PEKERJAAN BANGUNAN GENSET</t>
  </si>
  <si>
    <t>XIII.1</t>
  </si>
  <si>
    <t>Pekerjaan urugan pasir t = 7 cm</t>
  </si>
  <si>
    <t>Pekerjaan Pasangan Batu Kali/Belah</t>
  </si>
  <si>
    <t>Pekerjaan Sloof Beton 15/20 (Ramp)</t>
  </si>
  <si>
    <t>Pekerjaan Pile Cap 60x100x300 (dudukan Genset)</t>
  </si>
  <si>
    <t>Pekerjaan Pembesian Besi Beton D 8 - 150</t>
  </si>
  <si>
    <t>Pekerjaan Balok Beton B-2 15/20</t>
  </si>
  <si>
    <t>13.1</t>
  </si>
  <si>
    <t>13.1.a</t>
  </si>
  <si>
    <t>13.1.b</t>
  </si>
  <si>
    <t>13.1.c</t>
  </si>
  <si>
    <t>13.1.d</t>
  </si>
  <si>
    <t>13.2</t>
  </si>
  <si>
    <t>13.2.a</t>
  </si>
  <si>
    <t>13.2.b</t>
  </si>
  <si>
    <t>13.2.c</t>
  </si>
  <si>
    <t>13.2.d</t>
  </si>
  <si>
    <t>14.d</t>
  </si>
  <si>
    <t>14.e</t>
  </si>
  <si>
    <t>15.a</t>
  </si>
  <si>
    <t>15.b</t>
  </si>
  <si>
    <t>15.c</t>
  </si>
  <si>
    <t>15.d</t>
  </si>
  <si>
    <t>15.e</t>
  </si>
  <si>
    <t>Pekerjaan Pembesian Wiremesh M8-150 (2 lapis)</t>
  </si>
  <si>
    <t>15.f</t>
  </si>
  <si>
    <t>Pekerjaan Ramp</t>
  </si>
  <si>
    <t>16.a</t>
  </si>
  <si>
    <t>16.b</t>
  </si>
  <si>
    <t>16.c</t>
  </si>
  <si>
    <t>16.d</t>
  </si>
  <si>
    <t>16.e</t>
  </si>
  <si>
    <t>Pekerjaan Dinding Bata Ramp</t>
  </si>
  <si>
    <t>16.f</t>
  </si>
  <si>
    <t>Pekerjaan Pembesian Wiremesh M8-150 (1 lapis)</t>
  </si>
  <si>
    <t>16.g</t>
  </si>
  <si>
    <t>16.h</t>
  </si>
  <si>
    <t>16.i</t>
  </si>
  <si>
    <t>XIII.2</t>
  </si>
  <si>
    <t>Pekerjaan Arsitektural Dan Eletrikal</t>
  </si>
  <si>
    <t>Pekerjaan Pengecatan Listplank</t>
  </si>
  <si>
    <t>Pekerjaan Pintu Dobel Besi 214x217 cm</t>
  </si>
  <si>
    <t>Pekerjaan Jendela Jalusi Aluminium</t>
  </si>
  <si>
    <t>Pekerjaan Pengecatan Dinding Tekstur</t>
  </si>
  <si>
    <t>Pekerjaan Huruf Timbul plate galvanis finish cat duco, RUMAH GENSET uk. 20x25 cm</t>
  </si>
  <si>
    <t>Pekerjaan Instalasi Stop Kontak NYM 2 x 2 ½ mm²</t>
  </si>
  <si>
    <t>Pekerjaan Saklar Double</t>
  </si>
  <si>
    <t>Pekerjaan Panel Box 3 Phase 380V, 50 Hz</t>
  </si>
  <si>
    <t>XIV</t>
  </si>
  <si>
    <t>PEKERJAAN JALAN LINGKUNGAN DAN SALURAN</t>
  </si>
  <si>
    <t>XIV.1</t>
  </si>
  <si>
    <t>Pekerjaan Saluran Batu Belah Kawasan</t>
  </si>
  <si>
    <t>Pekerjaan Pengukuran Saluran</t>
  </si>
  <si>
    <t>Pekerjaan Galian Tanah Saluran sampai dengan 1 m</t>
  </si>
  <si>
    <t>Pek. Pemadatan Tanah Galian Saluran dengan Stamper</t>
  </si>
  <si>
    <t>Pekerjaan Saluran Batu Belah 50/40</t>
  </si>
  <si>
    <t>Pekerjaan Rabat Beton Lantai Saluran Kawasan t = 5 cm</t>
  </si>
  <si>
    <t>Pekerjaan Instalasi Drainase Pipa PVC Ø 4 Inch</t>
  </si>
  <si>
    <t>Pekerjaan Plesteran Dinding Saluran</t>
  </si>
  <si>
    <t>Pekerjaan Acian Finish</t>
  </si>
  <si>
    <t>Pekerjaan Beton Dekkeur t = 15 cm</t>
  </si>
  <si>
    <t>Pekerjaan Bak Kontrol 80x80x90 cm (5 unit)</t>
  </si>
  <si>
    <t>11.e</t>
  </si>
  <si>
    <t>Pekerjaan Tutup Bak Kontrol (Steel Gratting) 120x120 cm</t>
  </si>
  <si>
    <t>Pekerjaan Saluran Pasangan Bata Merah (keliling bangunan)</t>
  </si>
  <si>
    <t>12.e</t>
  </si>
  <si>
    <t>12.f</t>
  </si>
  <si>
    <t>Pekerjaan Rabat Beton Lantai Saluran Bangunan t = 5 cm</t>
  </si>
  <si>
    <t>XIV.2</t>
  </si>
  <si>
    <t>Pekerjaan Jalan Beton Kawasan</t>
  </si>
  <si>
    <t>Pekerjaan Pengukuran dan Pematokan Jalan</t>
  </si>
  <si>
    <t>Pekerjaan Pemadatan Tanah Existing</t>
  </si>
  <si>
    <t>Pekerjaan Urugan Makadam t = 30 cm dipadatkan</t>
  </si>
  <si>
    <t>Pekerjaan Jalan Beton t = 15 cm</t>
  </si>
  <si>
    <t>Pekerjaan Pembesian Wiremesh M8-150</t>
  </si>
  <si>
    <t>Pekerjaan Joint sealer aspal</t>
  </si>
  <si>
    <t>Pekerjaan Pemasangan Plastik Cor</t>
  </si>
  <si>
    <t>Pekerjaan Dudukan Dowel</t>
  </si>
  <si>
    <t>7.6</t>
  </si>
  <si>
    <t>~ Pekerjaan Tul. Pokok Besi Beton 4 D 8 mm</t>
  </si>
  <si>
    <t>7.7</t>
  </si>
  <si>
    <t>~ Pekerjaan Dowel Besi Beton D 8 mm - 300</t>
  </si>
  <si>
    <t>Pekerjaan Dowel Besi Beton D 13 mm - 300</t>
  </si>
  <si>
    <t>Pekerjaan Pipa PVC AW Ø 3/4"</t>
  </si>
  <si>
    <t>Pekerjaan Beton Site Mix mutu f'c = 20 Mpa dengan Concrete Mixer Pump</t>
  </si>
  <si>
    <t>XIV.3</t>
  </si>
  <si>
    <t>Pekerjaan Pedestrian Kawasan</t>
  </si>
  <si>
    <t>Pekerjaan Galian Tanah Kanstin</t>
  </si>
  <si>
    <t>Pekerjaan Kanstin 15x25x40 cm</t>
  </si>
  <si>
    <t>Pekerjaan Urugan Tanah mendatangkan t = 12 cm</t>
  </si>
  <si>
    <t>Pekerjaan Pemadatan Urugan Pasir</t>
  </si>
  <si>
    <t>Pekerjaan Paving Blok t = 6 cm</t>
  </si>
  <si>
    <t>XV</t>
  </si>
  <si>
    <t>PEKERJAAN LANDSKAPING KAWASAN</t>
  </si>
  <si>
    <t>Pekerjaan Penanaman Rumput Gajah Mini</t>
  </si>
  <si>
    <t>Penanaman 1 Buah Pohon Sedang Mangga (Mangifera indica), Diameter 6-8 cm, Tinggi 2-3 meter, Polybag 50 L</t>
  </si>
  <si>
    <t>btg</t>
  </si>
  <si>
    <t>Penanaman 1 Buah Pohon Sedang Alpukat (Persea Americana), Diameter 6-8 cm, Tinggi 2-3 meter, Polybag 50 L</t>
  </si>
  <si>
    <t>Penanaman 1 Buah Pohon Sedang Rambutan (Nephelium lappaceum), Diameter 6-8 cm, Tinggi 2-3 meter, Polybag 50 L</t>
  </si>
  <si>
    <t>Penanaman 1 Buah Pohon Sedang Lengkeng (Dimocarpus longan), Diameter 6-8 cm, Tinggi 2-3 meter, Polybag 50 L</t>
  </si>
  <si>
    <t>XVI</t>
  </si>
  <si>
    <t>PEKERJAAN LEVELLING LAHAN</t>
  </si>
  <si>
    <t>Pekerjaan Urugan Tanah mendatangkan</t>
  </si>
  <si>
    <t>Pek. Pemadatan Tanah Urug dengan alat berat tiap 20 cm</t>
  </si>
  <si>
    <t>XVII</t>
  </si>
  <si>
    <t>PEKERJAAN BANGUNAN DOCKING KAPAL</t>
  </si>
  <si>
    <t>XVII.1</t>
  </si>
  <si>
    <t>Pekerjaan Galian Tanah sedalam 1 m</t>
  </si>
  <si>
    <t>15.1</t>
  </si>
  <si>
    <t>Pekerjaan Balok 15/20</t>
  </si>
  <si>
    <t>15.1.a</t>
  </si>
  <si>
    <t>15.1.b</t>
  </si>
  <si>
    <t>15.1.c</t>
  </si>
  <si>
    <t>15.1.d</t>
  </si>
  <si>
    <t>15.2</t>
  </si>
  <si>
    <t>Pekerjaan Kolom 15/20</t>
  </si>
  <si>
    <t>15.2.a</t>
  </si>
  <si>
    <t>15.2.b</t>
  </si>
  <si>
    <t>15.2.c</t>
  </si>
  <si>
    <t>15.2.d</t>
  </si>
  <si>
    <t>Pekerjaan Urugan Makadam t = 25 cm</t>
  </si>
  <si>
    <t>Pekerjaan Pemadatan Makam dengan stamper</t>
  </si>
  <si>
    <t>Pekerjaan Urugan Sirtu t = 15 cm dipadatkan dengan Tamper</t>
  </si>
  <si>
    <t>XVII.2</t>
  </si>
  <si>
    <t>Pekerjaan Dinding Roster 20x20 cm</t>
  </si>
  <si>
    <t>Pekerjaan Floor Hardener</t>
  </si>
  <si>
    <t>Pekerjaan Pemasangan Dynabolt M8 x 100 mm SS 304</t>
  </si>
  <si>
    <t>buah</t>
  </si>
  <si>
    <t>Pekerjaan Plafond GRC t = 6 mm,termasuk rangka besi hollow 40/40 modul 60x60 cm</t>
  </si>
  <si>
    <t>Pengecatan Listplank GRC</t>
  </si>
  <si>
    <t>Pekerjaan Huruf Timbul plate galvanis finish cat duco, DOCKING KAPAL uk. 20x25 cm</t>
  </si>
  <si>
    <t>XVII.3</t>
  </si>
  <si>
    <t>XVIII</t>
  </si>
  <si>
    <t>PEKERJAAN BANGUNAN IPAL BIOTECH</t>
  </si>
  <si>
    <t>Pekerjaan Galian Tanah Keras sampai dengan 2 m</t>
  </si>
  <si>
    <t>Pekerjaan Buang Tanah bekas Galian</t>
  </si>
  <si>
    <t>Pekerjaan Pembesian Besi Beton D13 - 150 melintang</t>
  </si>
  <si>
    <t>Pekerjaan Pembesian Besi Beton D10 - 150 memanjang</t>
  </si>
  <si>
    <t>Pekerjaan Dinding Pasangan Bata 1 : 5</t>
  </si>
  <si>
    <t>Pekerjaan Pengadaan dan Pemasangan IPAL Biotech 2 m³</t>
  </si>
  <si>
    <t>Pekerjaan Urugan Pasir Urug</t>
  </si>
  <si>
    <t>JUMLAH</t>
  </si>
  <si>
    <t>PPN</t>
  </si>
  <si>
    <t>TOTAL NILAI</t>
  </si>
  <si>
    <t>Nilai tercatat di MARLIN (pra-PPN)</t>
  </si>
  <si>
    <t>Selisih Σ(harga × volume) − nilai tercatat</t>
  </si>
  <si>
    <t>Selisih bukan nol berarti RAB sumber memuat item yang JUMLAH-nya tidak sama dengan harga satuan × volume (mis. item ber-volume dan ber-harga tetapi jumlahnya ditulis nol). MARLIN menyimpan angka RAB apa adanya dan tidak membetulkannya diam-diam – periksa item bersangkutan di RAB sebelum dokumen ini diajukan.</t>
  </si>
  <si>
    <t>Sel berlatar putih pada kolom VOLUME (MC-0 &amp; CCO-01) dan HARGA SATUAN adalah data; kolom lain formula yang ikut menyesuaikan. Bobot MC-0, PEKERJAAN TAMBAH, dan PEKERJAAN KURANG dihitung terhadap JUMLAH MC-0; bobot CCO-01 terhadap JUMLAH CCO-01 – keduanya pra-PPN. Kolom tambah/kurang dikosongkan bila volumenya tidak berubah.</t>
  </si>
  <si>
    <t>Disetujui Oleh</t>
  </si>
  <si>
    <t>Diperiksa Oleh</t>
  </si>
  <si>
    <t>Dibuat Oleh</t>
  </si>
  <si>
    <t>PPK Pejabat Penandatangan Kontrak</t>
  </si>
  <si>
    <t>Konsultan Pengawas</t>
  </si>
  <si>
    <t>Penyedia Jasa</t>
  </si>
  <si>
    <t>PT. AGRINAS JALADRI NUSANTARA</t>
  </si>
  <si>
    <t>PT Kurnia Alam Sentosa</t>
  </si>
  <si>
    <t>( Umar Soleh S.Pi, M.Si )</t>
  </si>
  <si>
    <t>(.................................................)</t>
  </si>
  <si>
    <t>( Khusnul Yaqin )</t>
  </si>
  <si>
    <t>NIP. 198007052005021001</t>
  </si>
  <si>
    <t>Direktur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</si>
</sst>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0.##%"/>
  </numFmts>
  <fonts count="9" x14ac:knownFonts="1">
    <font>
      <color theme="1"/>
      <family val="2"/>
      <scheme val="minor"/>
      <sz val="11"/>
      <name val="Calibri"/>
    </font>
    <font>
      <b/>
      <sz val="14"/>
    </font>
    <font>
      <b/>
      <sz val="10"/>
    </font>
    <font>
      <sz val="10"/>
    </font>
    <font>
      <b/>
      <sz val="9"/>
    </font>
    <font>
      <sz val="9"/>
    </font>
    <font>
      <i/>
      <color rgb="FF9A3412"/>
      <sz val="8"/>
    </font>
    <font>
      <i/>
      <color rgb="FF6B7280"/>
      <sz val="8"/>
    </font>
    <font>
      <color rgb="FF6B7280"/>
      <sz val="9"/>
    </font>
  </fonts>
  <fills count="5">
    <fill>
      <patternFill patternType="none"/>
    </fill>
    <fill>
      <patternFill patternType="gray125"/>
    </fill>
    <fill>
      <patternFill patternType="solid">
        <fgColor rgb="FFE9EDF2"/>
      </patternFill>
    </fill>
    <fill>
      <patternFill patternType="solid">
        <fgColor rgb="FFF3F4F6"/>
      </patternFill>
    </fill>
    <fill>
      <patternFill patternType="solid">
        <fgColor rgb="FFEAF6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164" fontId="4" fillId="3" borderId="1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2" fontId="4" fillId="3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 indent="1"/>
    </xf>
    <xf numFmtId="164" fontId="5" fillId="0" borderId="1" xfId="0" applyNumberFormat="1" applyFont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2" fontId="5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 applyAlignment="1">
      <alignment vertical="center" wrapText="1" indent="1"/>
    </xf>
    <xf numFmtId="0" fontId="4" fillId="3" borderId="1" xfId="0" applyFont="1" applyFill="1" applyBorder="1" applyAlignment="1">
      <alignment vertical="center" wrapText="1" indent="2"/>
    </xf>
    <xf numFmtId="0" fontId="5" fillId="0" borderId="1" xfId="0" applyFont="1" applyBorder="1" applyAlignment="1">
      <alignment vertical="center" wrapText="1" indent="3"/>
    </xf>
    <xf numFmtId="0" fontId="4" fillId="3" borderId="1" xfId="0" applyFont="1" applyFill="1" applyBorder="1" applyAlignment="1">
      <alignment vertical="center" wrapText="1" indent="3"/>
    </xf>
    <xf numFmtId="0" fontId="5" fillId="0" borderId="1" xfId="0" applyFont="1" applyBorder="1" applyAlignment="1">
      <alignment vertical="center" wrapText="1" indent="2"/>
    </xf>
    <xf numFmtId="0" fontId="5" fillId="0" borderId="1" xfId="0" applyFont="1" applyBorder="1" applyAlignment="1">
      <alignment vertical="center" wrapText="1" indent="4"/>
    </xf>
    <xf numFmtId="3" fontId="4" fillId="2" borderId="1" xfId="0" applyNumberFormat="1" applyFont="1" applyFill="1" applyBorder="1" applyAlignment="1">
      <alignment horizontal="right" vertical="center"/>
    </xf>
    <xf numFmtId="3" fontId="4" fillId="2" borderId="1" xfId="0" applyNumberFormat="1" applyFont="1" applyFill="1" applyBorder="1" applyAlignment="1">
      <alignment horizontal="right"/>
    </xf>
    <xf numFmtId="2" fontId="4" fillId="2" borderId="1" xfId="0" applyNumberFormat="1" applyFont="1" applyFill="1" applyBorder="1" applyAlignment="1">
      <alignment horizontal="right"/>
    </xf>
    <xf numFmtId="164" fontId="4" fillId="2" borderId="1" xfId="0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/>
    </xf>
    <xf numFmtId="3" fontId="5" fillId="2" borderId="1" xfId="0" applyNumberFormat="1" applyFont="1" applyFill="1" applyBorder="1" applyAlignment="1">
      <alignment horizontal="right"/>
    </xf>
    <xf numFmtId="2" fontId="5" fillId="2" borderId="1" xfId="0" applyNumberFormat="1" applyFont="1" applyFill="1" applyBorder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3" fontId="5" fillId="0" borderId="0" xfId="0" applyNumberFormat="1" applyFont="1"/>
    <xf numFmtId="3" fontId="4" fillId="0" borderId="0" xfId="0" applyNumberFormat="1" applyFont="1"/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90">
    <dxf>
      <fill>
        <patternFill patternType="solid">
          <bgColor rgb="FFEAF6EC"/>
        </patternFill>
      </fill>
    </dxf>
    <dxf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DECEC"/>
        </patternFill>
      </fill>
    </dxf>
    <dxf>
      <font>
        <b/>
        <color rgb="FF9A3412"/>
      </font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295"/>
  <sheetViews>
    <sheetView workbookViewId="0">
      <pane xSplit="2" ySplit="9" topLeftCell="C10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52" customWidth="1"/>
    <col min="3" max="4" width="11" customWidth="1"/>
    <col min="6" max="6" width="16" customWidth="1"/>
    <col min="7" max="7" width="18" customWidth="1"/>
    <col min="9" max="9" width="11" customWidth="1"/>
    <col min="10" max="10" width="18" customWidth="1"/>
    <col min="12" max="12" width="11" customWidth="1"/>
    <col min="13" max="13" width="18" customWidth="1"/>
    <col min="15" max="15" width="11" customWidth="1"/>
    <col min="16" max="16" width="18" customWidth="1"/>
    <col min="18" max="18" width="11" customWidth="1"/>
  </cols>
  <sheetData>
    <row r="1" ht="22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3" spans="1:18" x14ac:dyDescent="0.25">
      <c r="A3" s="2" t="s">
        <v>1</v>
      </c>
      <c r="B3" s="2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25">
      <c r="A4" s="2" t="s">
        <v>3</v>
      </c>
      <c r="B4" s="2"/>
      <c r="C4" s="3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x14ac:dyDescent="0.25">
      <c r="A5" s="2" t="s">
        <v>5</v>
      </c>
      <c r="B5" s="2"/>
      <c r="C5" s="3" t="s">
        <v>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7</v>
      </c>
      <c r="B6" s="2"/>
      <c r="C6" s="3" t="s">
        <v>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8" ht="18" customHeight="1" spans="1:18" x14ac:dyDescent="0.25">
      <c r="A8" s="4" t="s">
        <v>9</v>
      </c>
      <c r="B8" s="4" t="s">
        <v>10</v>
      </c>
      <c r="C8" s="4" t="s">
        <v>11</v>
      </c>
      <c r="D8" s="4"/>
      <c r="E8" s="4"/>
      <c r="F8" s="4"/>
      <c r="G8" s="4"/>
      <c r="H8" s="4"/>
      <c r="I8" s="4" t="s">
        <v>12</v>
      </c>
      <c r="J8" s="4"/>
      <c r="K8" s="4"/>
      <c r="L8" s="4" t="s">
        <v>13</v>
      </c>
      <c r="M8" s="4"/>
      <c r="N8" s="4"/>
      <c r="O8" s="4" t="s">
        <v>14</v>
      </c>
      <c r="P8" s="4"/>
      <c r="Q8" s="4"/>
      <c r="R8" s="4" t="s">
        <v>15</v>
      </c>
    </row>
    <row r="9" ht="28" customHeight="1" spans="1:18" x14ac:dyDescent="0.25">
      <c r="A9" s="4"/>
      <c r="B9" s="4"/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21</v>
      </c>
      <c r="I9" s="4" t="s">
        <v>16</v>
      </c>
      <c r="J9" s="4" t="s">
        <v>20</v>
      </c>
      <c r="K9" s="4" t="s">
        <v>21</v>
      </c>
      <c r="L9" s="4" t="s">
        <v>16</v>
      </c>
      <c r="M9" s="4" t="s">
        <v>20</v>
      </c>
      <c r="N9" s="4" t="s">
        <v>21</v>
      </c>
      <c r="O9" s="4" t="s">
        <v>16</v>
      </c>
      <c r="P9" s="4" t="s">
        <v>20</v>
      </c>
      <c r="Q9" s="4" t="s">
        <v>21</v>
      </c>
      <c r="R9" s="4"/>
    </row>
    <row r="10" spans="1:18" x14ac:dyDescent="0.25">
      <c r="A10" s="5" t="s">
        <v>22</v>
      </c>
      <c r="B10" s="6" t="s">
        <v>23</v>
      </c>
      <c r="C10" s="7"/>
      <c r="D10" s="7"/>
      <c r="E10" s="5"/>
      <c r="F10" s="8"/>
      <c r="G10" s="8"/>
      <c r="H10" s="9"/>
      <c r="I10" s="7"/>
      <c r="J10" s="8"/>
      <c r="K10" s="9"/>
      <c r="L10" s="7"/>
      <c r="M10" s="8"/>
      <c r="N10" s="9"/>
      <c r="O10" s="7"/>
      <c r="P10" s="8"/>
      <c r="Q10" s="9"/>
      <c r="R10" s="5"/>
    </row>
    <row r="11" spans="1:18" x14ac:dyDescent="0.25">
      <c r="A11" s="10" t="s">
        <v>24</v>
      </c>
      <c r="B11" s="11" t="s">
        <v>25</v>
      </c>
      <c r="C11" s="12">
        <v>50</v>
      </c>
      <c r="D11" s="13">
        <v>50</v>
      </c>
      <c r="E11" s="10" t="s">
        <v>26</v>
      </c>
      <c r="F11" s="14">
        <v>1200000</v>
      </c>
      <c r="G11" s="14">
        <f>F11*C11</f>
        <v>60000000</v>
      </c>
      <c r="H11" s="15">
        <f>IF($G$1279=0,0,G11/$G$1279*100)</f>
      </c>
      <c r="I11" s="12" t="str">
        <f>IF(O11-C11&gt;0,O11-C11,"")</f>
        <v/>
      </c>
      <c r="J11" s="14" t="str">
        <f>IF(I11="","",F11*I11)</f>
        <v/>
      </c>
      <c r="K11" s="15">
        <f>IF(OR(J11="",$G$1279=0),"",J11/$G$1279*100)</f>
      </c>
      <c r="L11" s="12" t="str">
        <f>IF(C11-O11&gt;0,C11-O11,"")</f>
        <v/>
      </c>
      <c r="M11" s="14" t="str">
        <f>IF(L11="","",F11*L11)</f>
        <v/>
      </c>
      <c r="N11" s="15">
        <f>IF(OR(M11="",$G$1279=0),"",M11/$G$1279*100)</f>
      </c>
      <c r="O11" s="12">
        <v>50</v>
      </c>
      <c r="P11" s="14">
        <f>F11*O11</f>
        <v>60000000</v>
      </c>
      <c r="Q11" s="15">
        <f>IF($P$1279=0,0,P11/$P$1279*100)</f>
      </c>
      <c r="R11" s="10" t="str">
        <f>IF(O11=C11,"TETAP",IF(C11=0,"BARU",IF(O11=0,"HAPUS",IF(O11&gt;C11,"TAMBAH","KURANG"))))</f>
        <v>TETAP</v>
      </c>
    </row>
    <row r="12" spans="1:18" x14ac:dyDescent="0.25">
      <c r="A12" s="10" t="s">
        <v>27</v>
      </c>
      <c r="B12" s="11" t="s">
        <v>28</v>
      </c>
      <c r="C12" s="12">
        <v>6</v>
      </c>
      <c r="D12" s="13">
        <v>6</v>
      </c>
      <c r="E12" s="10" t="s">
        <v>29</v>
      </c>
      <c r="F12" s="14">
        <v>2200000</v>
      </c>
      <c r="G12" s="14">
        <f>F12*C12</f>
        <v>13200000</v>
      </c>
      <c r="H12" s="15">
        <f>IF($G$1279=0,0,G12/$G$1279*100)</f>
      </c>
      <c r="I12" s="12" t="str">
        <f>IF(O12-C12&gt;0,O12-C12,"")</f>
        <v/>
      </c>
      <c r="J12" s="14" t="str">
        <f>IF(I12="","",F12*I12)</f>
        <v/>
      </c>
      <c r="K12" s="15">
        <f>IF(OR(J12="",$G$1279=0),"",J12/$G$1279*100)</f>
      </c>
      <c r="L12" s="12" t="str">
        <f>IF(C12-O12&gt;0,C12-O12,"")</f>
        <v/>
      </c>
      <c r="M12" s="14" t="str">
        <f>IF(L12="","",F12*L12)</f>
        <v/>
      </c>
      <c r="N12" s="15">
        <f>IF(OR(M12="",$G$1279=0),"",M12/$G$1279*100)</f>
      </c>
      <c r="O12" s="12">
        <v>6</v>
      </c>
      <c r="P12" s="14">
        <f>F12*O12</f>
        <v>13200000</v>
      </c>
      <c r="Q12" s="15">
        <f>IF($P$1279=0,0,P12/$P$1279*100)</f>
      </c>
      <c r="R12" s="10" t="str">
        <f>IF(O12=C12,"TETAP",IF(C12=0,"BARU",IF(O12=0,"HAPUS",IF(O12&gt;C12,"TAMBAH","KURANG"))))</f>
        <v>TETAP</v>
      </c>
    </row>
    <row r="13" spans="1:18" x14ac:dyDescent="0.25">
      <c r="A13" s="10" t="s">
        <v>30</v>
      </c>
      <c r="B13" s="11" t="s">
        <v>31</v>
      </c>
      <c r="C13" s="12">
        <v>1</v>
      </c>
      <c r="D13" s="12">
        <v>0</v>
      </c>
      <c r="E13" s="10" t="s">
        <v>32</v>
      </c>
      <c r="F13" s="14">
        <v>1581327.48</v>
      </c>
      <c r="G13" s="14">
        <f>F13*C13</f>
        <v>1581327.48</v>
      </c>
      <c r="H13" s="15">
        <f>IF($G$1279=0,0,G13/$G$1279*100)</f>
      </c>
      <c r="I13" s="12" t="str">
        <f>IF(O13-C13&gt;0,O13-C13,"")</f>
        <v/>
      </c>
      <c r="J13" s="14" t="str">
        <f>IF(I13="","",F13*I13)</f>
        <v/>
      </c>
      <c r="K13" s="15">
        <f>IF(OR(J13="",$G$1279=0),"",J13/$G$1279*100)</f>
      </c>
      <c r="L13" s="12" t="str">
        <f>IF(C13-O13&gt;0,C13-O13,"")</f>
        <v/>
      </c>
      <c r="M13" s="14" t="str">
        <f>IF(L13="","",F13*L13)</f>
        <v/>
      </c>
      <c r="N13" s="15">
        <f>IF(OR(M13="",$G$1279=0),"",M13/$G$1279*100)</f>
      </c>
      <c r="O13" s="12">
        <v>1</v>
      </c>
      <c r="P13" s="14">
        <f>F13*O13</f>
        <v>1581327.48</v>
      </c>
      <c r="Q13" s="15">
        <f>IF($P$1279=0,0,P13/$P$1279*100)</f>
      </c>
      <c r="R13" s="10" t="str">
        <f>IF(O13=C13,"TETAP",IF(C13=0,"BARU",IF(O13=0,"HAPUS",IF(O13&gt;C13,"TAMBAH","KURANG"))))</f>
        <v>TETAP</v>
      </c>
    </row>
    <row r="14" spans="1:18" x14ac:dyDescent="0.25">
      <c r="A14" s="10" t="s">
        <v>33</v>
      </c>
      <c r="B14" s="11" t="s">
        <v>34</v>
      </c>
      <c r="C14" s="12">
        <v>6</v>
      </c>
      <c r="D14" s="13">
        <v>6</v>
      </c>
      <c r="E14" s="10" t="s">
        <v>29</v>
      </c>
      <c r="F14" s="14">
        <v>975867.17</v>
      </c>
      <c r="G14" s="14">
        <f>F14*C14</f>
        <v>5855203.0200000005</v>
      </c>
      <c r="H14" s="15">
        <f>IF($G$1279=0,0,G14/$G$1279*100)</f>
      </c>
      <c r="I14" s="12" t="str">
        <f>IF(O14-C14&gt;0,O14-C14,"")</f>
        <v/>
      </c>
      <c r="J14" s="14" t="str">
        <f>IF(I14="","",F14*I14)</f>
        <v/>
      </c>
      <c r="K14" s="15">
        <f>IF(OR(J14="",$G$1279=0),"",J14/$G$1279*100)</f>
      </c>
      <c r="L14" s="12" t="str">
        <f>IF(C14-O14&gt;0,C14-O14,"")</f>
        <v/>
      </c>
      <c r="M14" s="14" t="str">
        <f>IF(L14="","",F14*L14)</f>
        <v/>
      </c>
      <c r="N14" s="15">
        <f>IF(OR(M14="",$G$1279=0),"",M14/$G$1279*100)</f>
      </c>
      <c r="O14" s="12">
        <v>6</v>
      </c>
      <c r="P14" s="14">
        <f>F14*O14</f>
        <v>5855203.0200000005</v>
      </c>
      <c r="Q14" s="15">
        <f>IF($P$1279=0,0,P14/$P$1279*100)</f>
      </c>
      <c r="R14" s="10" t="str">
        <f>IF(O14=C14,"TETAP",IF(C14=0,"BARU",IF(O14=0,"HAPUS",IF(O14&gt;C14,"TAMBAH","KURANG"))))</f>
        <v>TETAP</v>
      </c>
    </row>
    <row r="15" spans="1:18" x14ac:dyDescent="0.25">
      <c r="A15" s="10" t="s">
        <v>35</v>
      </c>
      <c r="B15" s="11" t="s">
        <v>36</v>
      </c>
      <c r="C15" s="12">
        <v>150</v>
      </c>
      <c r="D15" s="13">
        <v>150</v>
      </c>
      <c r="E15" s="10" t="s">
        <v>37</v>
      </c>
      <c r="F15" s="14">
        <v>350000</v>
      </c>
      <c r="G15" s="14">
        <f>F15*C15</f>
        <v>52500000</v>
      </c>
      <c r="H15" s="15">
        <f>IF($G$1279=0,0,G15/$G$1279*100)</f>
      </c>
      <c r="I15" s="12" t="str">
        <f>IF(O15-C15&gt;0,O15-C15,"")</f>
        <v/>
      </c>
      <c r="J15" s="14" t="str">
        <f>IF(I15="","",F15*I15)</f>
        <v/>
      </c>
      <c r="K15" s="15">
        <f>IF(OR(J15="",$G$1279=0),"",J15/$G$1279*100)</f>
      </c>
      <c r="L15" s="12" t="str">
        <f>IF(C15-O15&gt;0,C15-O15,"")</f>
        <v/>
      </c>
      <c r="M15" s="14" t="str">
        <f>IF(L15="","",F15*L15)</f>
        <v/>
      </c>
      <c r="N15" s="15">
        <f>IF(OR(M15="",$G$1279=0),"",M15/$G$1279*100)</f>
      </c>
      <c r="O15" s="12">
        <v>150</v>
      </c>
      <c r="P15" s="14">
        <f>F15*O15</f>
        <v>52500000</v>
      </c>
      <c r="Q15" s="15">
        <f>IF($P$1279=0,0,P15/$P$1279*100)</f>
      </c>
      <c r="R15" s="10" t="str">
        <f>IF(O15=C15,"TETAP",IF(C15=0,"BARU",IF(O15=0,"HAPUS",IF(O15&gt;C15,"TAMBAH","KURANG"))))</f>
        <v>TETAP</v>
      </c>
    </row>
    <row r="16" spans="1:18" x14ac:dyDescent="0.25">
      <c r="A16" s="5" t="s">
        <v>38</v>
      </c>
      <c r="B16" s="16" t="s">
        <v>39</v>
      </c>
      <c r="C16" s="7"/>
      <c r="D16" s="7"/>
      <c r="E16" s="5"/>
      <c r="F16" s="8"/>
      <c r="G16" s="8"/>
      <c r="H16" s="9"/>
      <c r="I16" s="7"/>
      <c r="J16" s="8"/>
      <c r="K16" s="9"/>
      <c r="L16" s="7"/>
      <c r="M16" s="8"/>
      <c r="N16" s="9"/>
      <c r="O16" s="7"/>
      <c r="P16" s="8"/>
      <c r="Q16" s="9"/>
      <c r="R16" s="5"/>
    </row>
    <row r="17" spans="1:18" x14ac:dyDescent="0.25">
      <c r="A17" s="5" t="s">
        <v>40</v>
      </c>
      <c r="B17" s="17" t="s">
        <v>41</v>
      </c>
      <c r="C17" s="7"/>
      <c r="D17" s="7"/>
      <c r="E17" s="5"/>
      <c r="F17" s="8"/>
      <c r="G17" s="8"/>
      <c r="H17" s="9"/>
      <c r="I17" s="7"/>
      <c r="J17" s="8"/>
      <c r="K17" s="9"/>
      <c r="L17" s="7"/>
      <c r="M17" s="8"/>
      <c r="N17" s="9"/>
      <c r="O17" s="7"/>
      <c r="P17" s="8"/>
      <c r="Q17" s="9"/>
      <c r="R17" s="5"/>
    </row>
    <row r="18" spans="1:18" x14ac:dyDescent="0.25">
      <c r="A18" s="10" t="s">
        <v>42</v>
      </c>
      <c r="B18" s="18" t="s">
        <v>43</v>
      </c>
      <c r="C18" s="12">
        <v>2</v>
      </c>
      <c r="D18" s="12">
        <v>0</v>
      </c>
      <c r="E18" s="10" t="s">
        <v>44</v>
      </c>
      <c r="F18" s="14">
        <v>1033133.98</v>
      </c>
      <c r="G18" s="14">
        <f>F18*C18</f>
        <v>2066267.96</v>
      </c>
      <c r="H18" s="15">
        <f>IF($G$1279=0,0,G18/$G$1279*100)</f>
      </c>
      <c r="I18" s="12" t="str">
        <f>IF(O18-C18&gt;0,O18-C18,"")</f>
        <v/>
      </c>
      <c r="J18" s="14" t="str">
        <f>IF(I18="","",F18*I18)</f>
        <v/>
      </c>
      <c r="K18" s="15">
        <f>IF(OR(J18="",$G$1279=0),"",J18/$G$1279*100)</f>
      </c>
      <c r="L18" s="12" t="str">
        <f>IF(C18-O18&gt;0,C18-O18,"")</f>
        <v/>
      </c>
      <c r="M18" s="14" t="str">
        <f>IF(L18="","",F18*L18)</f>
        <v/>
      </c>
      <c r="N18" s="15">
        <f>IF(OR(M18="",$G$1279=0),"",M18/$G$1279*100)</f>
      </c>
      <c r="O18" s="12">
        <v>2</v>
      </c>
      <c r="P18" s="14">
        <f>F18*O18</f>
        <v>2066267.96</v>
      </c>
      <c r="Q18" s="15">
        <f>IF($P$1279=0,0,P18/$P$1279*100)</f>
      </c>
      <c r="R18" s="10" t="str">
        <f>IF(O18=C18,"TETAP",IF(C18=0,"BARU",IF(O18=0,"HAPUS",IF(O18&gt;C18,"TAMBAH","KURANG"))))</f>
        <v>TETAP</v>
      </c>
    </row>
    <row r="19" spans="1:18" x14ac:dyDescent="0.25">
      <c r="A19" s="10" t="s">
        <v>45</v>
      </c>
      <c r="B19" s="18" t="s">
        <v>46</v>
      </c>
      <c r="C19" s="12">
        <v>80</v>
      </c>
      <c r="D19" s="12">
        <v>0</v>
      </c>
      <c r="E19" s="10" t="s">
        <v>47</v>
      </c>
      <c r="F19" s="14">
        <v>6342.5</v>
      </c>
      <c r="G19" s="14">
        <f>F19*C19</f>
        <v>507400</v>
      </c>
      <c r="H19" s="15">
        <f>IF($G$1279=0,0,G19/$G$1279*100)</f>
      </c>
      <c r="I19" s="12" t="str">
        <f>IF(O19-C19&gt;0,O19-C19,"")</f>
        <v/>
      </c>
      <c r="J19" s="14" t="str">
        <f>IF(I19="","",F19*I19)</f>
        <v/>
      </c>
      <c r="K19" s="15">
        <f>IF(OR(J19="",$G$1279=0),"",J19/$G$1279*100)</f>
      </c>
      <c r="L19" s="12" t="str">
        <f>IF(C19-O19&gt;0,C19-O19,"")</f>
        <v/>
      </c>
      <c r="M19" s="14" t="str">
        <f>IF(L19="","",F19*L19)</f>
        <v/>
      </c>
      <c r="N19" s="15">
        <f>IF(OR(M19="",$G$1279=0),"",M19/$G$1279*100)</f>
      </c>
      <c r="O19" s="12">
        <v>80</v>
      </c>
      <c r="P19" s="14">
        <f>F19*O19</f>
        <v>507400</v>
      </c>
      <c r="Q19" s="15">
        <f>IF($P$1279=0,0,P19/$P$1279*100)</f>
      </c>
      <c r="R19" s="10" t="str">
        <f>IF(O19=C19,"TETAP",IF(C19=0,"BARU",IF(O19=0,"HAPUS",IF(O19&gt;C19,"TAMBAH","KURANG"))))</f>
        <v>TETAP</v>
      </c>
    </row>
    <row r="20" spans="1:18" x14ac:dyDescent="0.25">
      <c r="A20" s="5" t="s">
        <v>48</v>
      </c>
      <c r="B20" s="17" t="s">
        <v>49</v>
      </c>
      <c r="C20" s="7"/>
      <c r="D20" s="7"/>
      <c r="E20" s="5"/>
      <c r="F20" s="8"/>
      <c r="G20" s="8"/>
      <c r="H20" s="9"/>
      <c r="I20" s="7"/>
      <c r="J20" s="8"/>
      <c r="K20" s="9"/>
      <c r="L20" s="7"/>
      <c r="M20" s="8"/>
      <c r="N20" s="9"/>
      <c r="O20" s="7"/>
      <c r="P20" s="8"/>
      <c r="Q20" s="9"/>
      <c r="R20" s="5"/>
    </row>
    <row r="21" spans="1:18" x14ac:dyDescent="0.25">
      <c r="A21" s="10" t="s">
        <v>50</v>
      </c>
      <c r="B21" s="18" t="s">
        <v>51</v>
      </c>
      <c r="C21" s="12">
        <v>80</v>
      </c>
      <c r="D21" s="13">
        <v>20</v>
      </c>
      <c r="E21" s="10" t="s">
        <v>47</v>
      </c>
      <c r="F21" s="14">
        <v>6911.9</v>
      </c>
      <c r="G21" s="14">
        <f>F21*C21</f>
        <v>552952</v>
      </c>
      <c r="H21" s="15">
        <f>IF($G$1279=0,0,G21/$G$1279*100)</f>
      </c>
      <c r="I21" s="12" t="str">
        <f>IF(O21-C21&gt;0,O21-C21,"")</f>
        <v/>
      </c>
      <c r="J21" s="14" t="str">
        <f>IF(I21="","",F21*I21)</f>
        <v/>
      </c>
      <c r="K21" s="15">
        <f>IF(OR(J21="",$G$1279=0),"",J21/$G$1279*100)</f>
      </c>
      <c r="L21" s="12" t="str">
        <f>IF(C21-O21&gt;0,C21-O21,"")</f>
        <v/>
      </c>
      <c r="M21" s="14" t="str">
        <f>IF(L21="","",F21*L21)</f>
        <v/>
      </c>
      <c r="N21" s="15">
        <f>IF(OR(M21="",$G$1279=0),"",M21/$G$1279*100)</f>
      </c>
      <c r="O21" s="12">
        <v>80</v>
      </c>
      <c r="P21" s="14">
        <f>F21*O21</f>
        <v>552952</v>
      </c>
      <c r="Q21" s="15">
        <f>IF($P$1279=0,0,P21/$P$1279*100)</f>
      </c>
      <c r="R21" s="10" t="str">
        <f>IF(O21=C21,"TETAP",IF(C21=0,"BARU",IF(O21=0,"HAPUS",IF(O21&gt;C21,"TAMBAH","KURANG"))))</f>
        <v>TETAP</v>
      </c>
    </row>
    <row r="22" spans="1:18" x14ac:dyDescent="0.25">
      <c r="A22" s="10" t="s">
        <v>52</v>
      </c>
      <c r="B22" s="18" t="s">
        <v>53</v>
      </c>
      <c r="C22" s="12">
        <v>80</v>
      </c>
      <c r="D22" s="13">
        <v>42</v>
      </c>
      <c r="E22" s="10" t="s">
        <v>47</v>
      </c>
      <c r="F22" s="14">
        <v>7912.89</v>
      </c>
      <c r="G22" s="14">
        <f>F22*C22</f>
        <v>633031.2000000001</v>
      </c>
      <c r="H22" s="15">
        <f>IF($G$1279=0,0,G22/$G$1279*100)</f>
      </c>
      <c r="I22" s="12" t="str">
        <f>IF(O22-C22&gt;0,O22-C22,"")</f>
        <v/>
      </c>
      <c r="J22" s="14" t="str">
        <f>IF(I22="","",F22*I22)</f>
        <v/>
      </c>
      <c r="K22" s="15">
        <f>IF(OR(J22="",$G$1279=0),"",J22/$G$1279*100)</f>
      </c>
      <c r="L22" s="12" t="str">
        <f>IF(C22-O22&gt;0,C22-O22,"")</f>
        <v/>
      </c>
      <c r="M22" s="14" t="str">
        <f>IF(L22="","",F22*L22)</f>
        <v/>
      </c>
      <c r="N22" s="15">
        <f>IF(OR(M22="",$G$1279=0),"",M22/$G$1279*100)</f>
      </c>
      <c r="O22" s="12">
        <v>80</v>
      </c>
      <c r="P22" s="14">
        <f>F22*O22</f>
        <v>633031.2000000001</v>
      </c>
      <c r="Q22" s="15">
        <f>IF($P$1279=0,0,P22/$P$1279*100)</f>
      </c>
      <c r="R22" s="10" t="str">
        <f>IF(O22=C22,"TETAP",IF(C22=0,"BARU",IF(O22=0,"HAPUS",IF(O22&gt;C22,"TAMBAH","KURANG"))))</f>
        <v>TETAP</v>
      </c>
    </row>
    <row r="23" spans="1:18" x14ac:dyDescent="0.25">
      <c r="A23" s="5" t="s">
        <v>54</v>
      </c>
      <c r="B23" s="17" t="s">
        <v>55</v>
      </c>
      <c r="C23" s="7"/>
      <c r="D23" s="7"/>
      <c r="E23" s="5"/>
      <c r="F23" s="8"/>
      <c r="G23" s="8"/>
      <c r="H23" s="9"/>
      <c r="I23" s="7"/>
      <c r="J23" s="8"/>
      <c r="K23" s="9"/>
      <c r="L23" s="7"/>
      <c r="M23" s="8"/>
      <c r="N23" s="9"/>
      <c r="O23" s="7"/>
      <c r="P23" s="8"/>
      <c r="Q23" s="9"/>
      <c r="R23" s="5"/>
    </row>
    <row r="24" spans="1:18" x14ac:dyDescent="0.25">
      <c r="A24" s="10" t="s">
        <v>56</v>
      </c>
      <c r="B24" s="18" t="s">
        <v>57</v>
      </c>
      <c r="C24" s="12">
        <v>1</v>
      </c>
      <c r="D24" s="12">
        <v>0</v>
      </c>
      <c r="E24" s="10" t="s">
        <v>58</v>
      </c>
      <c r="F24" s="14">
        <v>115075.98</v>
      </c>
      <c r="G24" s="14">
        <f>F24*C24</f>
        <v>115075.98</v>
      </c>
      <c r="H24" s="15">
        <f>IF($G$1279=0,0,G24/$G$1279*100)</f>
      </c>
      <c r="I24" s="12" t="str">
        <f>IF(O24-C24&gt;0,O24-C24,"")</f>
        <v/>
      </c>
      <c r="J24" s="14" t="str">
        <f>IF(I24="","",F24*I24)</f>
        <v/>
      </c>
      <c r="K24" s="15">
        <f>IF(OR(J24="",$G$1279=0),"",J24/$G$1279*100)</f>
      </c>
      <c r="L24" s="12" t="str">
        <f>IF(C24-O24&gt;0,C24-O24,"")</f>
        <v/>
      </c>
      <c r="M24" s="14" t="str">
        <f>IF(L24="","",F24*L24)</f>
        <v/>
      </c>
      <c r="N24" s="15">
        <f>IF(OR(M24="",$G$1279=0),"",M24/$G$1279*100)</f>
      </c>
      <c r="O24" s="12">
        <v>1</v>
      </c>
      <c r="P24" s="14">
        <f>F24*O24</f>
        <v>115075.98</v>
      </c>
      <c r="Q24" s="15">
        <f>IF($P$1279=0,0,P24/$P$1279*100)</f>
      </c>
      <c r="R24" s="10" t="str">
        <f>IF(O24=C24,"TETAP",IF(C24=0,"BARU",IF(O24=0,"HAPUS",IF(O24&gt;C24,"TAMBAH","KURANG"))))</f>
        <v>TETAP</v>
      </c>
    </row>
    <row r="25" spans="1:18" x14ac:dyDescent="0.25">
      <c r="A25" s="5" t="s">
        <v>59</v>
      </c>
      <c r="B25" s="17" t="s">
        <v>60</v>
      </c>
      <c r="C25" s="7"/>
      <c r="D25" s="7"/>
      <c r="E25" s="5"/>
      <c r="F25" s="8"/>
      <c r="G25" s="8"/>
      <c r="H25" s="9"/>
      <c r="I25" s="7"/>
      <c r="J25" s="8"/>
      <c r="K25" s="9"/>
      <c r="L25" s="7"/>
      <c r="M25" s="8"/>
      <c r="N25" s="9"/>
      <c r="O25" s="7"/>
      <c r="P25" s="8"/>
      <c r="Q25" s="9"/>
      <c r="R25" s="5"/>
    </row>
    <row r="26" spans="1:18" x14ac:dyDescent="0.25">
      <c r="A26" s="10" t="s">
        <v>61</v>
      </c>
      <c r="B26" s="18" t="s">
        <v>62</v>
      </c>
      <c r="C26" s="12">
        <v>80</v>
      </c>
      <c r="D26" s="13">
        <v>20</v>
      </c>
      <c r="E26" s="10" t="s">
        <v>32</v>
      </c>
      <c r="F26" s="14">
        <v>76438.27</v>
      </c>
      <c r="G26" s="14">
        <f>F26*C26</f>
        <v>6115061.600000001</v>
      </c>
      <c r="H26" s="15">
        <f>IF($G$1279=0,0,G26/$G$1279*100)</f>
      </c>
      <c r="I26" s="12" t="str">
        <f>IF(O26-C26&gt;0,O26-C26,"")</f>
        <v/>
      </c>
      <c r="J26" s="14" t="str">
        <f>IF(I26="","",F26*I26)</f>
        <v/>
      </c>
      <c r="K26" s="15">
        <f>IF(OR(J26="",$G$1279=0),"",J26/$G$1279*100)</f>
      </c>
      <c r="L26" s="12" t="str">
        <f>IF(C26-O26&gt;0,C26-O26,"")</f>
        <v/>
      </c>
      <c r="M26" s="14" t="str">
        <f>IF(L26="","",F26*L26)</f>
        <v/>
      </c>
      <c r="N26" s="15">
        <f>IF(OR(M26="",$G$1279=0),"",M26/$G$1279*100)</f>
      </c>
      <c r="O26" s="12">
        <v>80</v>
      </c>
      <c r="P26" s="14">
        <f>F26*O26</f>
        <v>6115061.600000001</v>
      </c>
      <c r="Q26" s="15">
        <f>IF($P$1279=0,0,P26/$P$1279*100)</f>
      </c>
      <c r="R26" s="10" t="str">
        <f>IF(O26=C26,"TETAP",IF(C26=0,"BARU",IF(O26=0,"HAPUS",IF(O26&gt;C26,"TAMBAH","KURANG"))))</f>
        <v>TETAP</v>
      </c>
    </row>
    <row r="27" spans="1:18" x14ac:dyDescent="0.25">
      <c r="A27" s="10" t="s">
        <v>63</v>
      </c>
      <c r="B27" s="18" t="s">
        <v>64</v>
      </c>
      <c r="C27" s="12">
        <v>80</v>
      </c>
      <c r="D27" s="13">
        <v>80</v>
      </c>
      <c r="E27" s="10" t="s">
        <v>32</v>
      </c>
      <c r="F27" s="14">
        <v>5190.13</v>
      </c>
      <c r="G27" s="14">
        <f>F27*C27</f>
        <v>415210.4</v>
      </c>
      <c r="H27" s="15">
        <f>IF($G$1279=0,0,G27/$G$1279*100)</f>
      </c>
      <c r="I27" s="12" t="str">
        <f>IF(O27-C27&gt;0,O27-C27,"")</f>
        <v/>
      </c>
      <c r="J27" s="14" t="str">
        <f>IF(I27="","",F27*I27)</f>
        <v/>
      </c>
      <c r="K27" s="15">
        <f>IF(OR(J27="",$G$1279=0),"",J27/$G$1279*100)</f>
      </c>
      <c r="L27" s="12" t="str">
        <f>IF(C27-O27&gt;0,C27-O27,"")</f>
        <v/>
      </c>
      <c r="M27" s="14" t="str">
        <f>IF(L27="","",F27*L27)</f>
        <v/>
      </c>
      <c r="N27" s="15">
        <f>IF(OR(M27="",$G$1279=0),"",M27/$G$1279*100)</f>
      </c>
      <c r="O27" s="12">
        <v>80</v>
      </c>
      <c r="P27" s="14">
        <f>F27*O27</f>
        <v>415210.4</v>
      </c>
      <c r="Q27" s="15">
        <f>IF($P$1279=0,0,P27/$P$1279*100)</f>
      </c>
      <c r="R27" s="10" t="str">
        <f>IF(O27=C27,"TETAP",IF(C27=0,"BARU",IF(O27=0,"HAPUS",IF(O27&gt;C27,"TAMBAH","KURANG"))))</f>
        <v>TETAP</v>
      </c>
    </row>
    <row r="28" spans="1:18" x14ac:dyDescent="0.25">
      <c r="A28" s="10" t="s">
        <v>65</v>
      </c>
      <c r="B28" s="18" t="s">
        <v>66</v>
      </c>
      <c r="C28" s="12">
        <v>80</v>
      </c>
      <c r="D28" s="12">
        <v>0</v>
      </c>
      <c r="E28" s="10" t="s">
        <v>67</v>
      </c>
      <c r="F28" s="14">
        <v>5067.01</v>
      </c>
      <c r="G28" s="14">
        <f>F28*C28</f>
        <v>405360.80000000005</v>
      </c>
      <c r="H28" s="15">
        <f>IF($G$1279=0,0,G28/$G$1279*100)</f>
      </c>
      <c r="I28" s="12" t="str">
        <f>IF(O28-C28&gt;0,O28-C28,"")</f>
        <v/>
      </c>
      <c r="J28" s="14" t="str">
        <f>IF(I28="","",F28*I28)</f>
        <v/>
      </c>
      <c r="K28" s="15">
        <f>IF(OR(J28="",$G$1279=0),"",J28/$G$1279*100)</f>
      </c>
      <c r="L28" s="12" t="str">
        <f>IF(C28-O28&gt;0,C28-O28,"")</f>
        <v/>
      </c>
      <c r="M28" s="14" t="str">
        <f>IF(L28="","",F28*L28)</f>
        <v/>
      </c>
      <c r="N28" s="15">
        <f>IF(OR(M28="",$G$1279=0),"",M28/$G$1279*100)</f>
      </c>
      <c r="O28" s="12">
        <v>80</v>
      </c>
      <c r="P28" s="14">
        <f>F28*O28</f>
        <v>405360.80000000005</v>
      </c>
      <c r="Q28" s="15">
        <f>IF($P$1279=0,0,P28/$P$1279*100)</f>
      </c>
      <c r="R28" s="10" t="str">
        <f>IF(O28=C28,"TETAP",IF(C28=0,"BARU",IF(O28=0,"HAPUS",IF(O28&gt;C28,"TAMBAH","KURANG"))))</f>
        <v>TETAP</v>
      </c>
    </row>
    <row r="29" spans="1:18" x14ac:dyDescent="0.25">
      <c r="A29" s="10" t="s">
        <v>68</v>
      </c>
      <c r="B29" s="18" t="s">
        <v>69</v>
      </c>
      <c r="C29" s="12">
        <v>80</v>
      </c>
      <c r="D29" s="12">
        <v>0</v>
      </c>
      <c r="E29" s="10" t="s">
        <v>67</v>
      </c>
      <c r="F29" s="14">
        <v>135252.48</v>
      </c>
      <c r="G29" s="14">
        <f>F29*C29</f>
        <v>10820198.4</v>
      </c>
      <c r="H29" s="15">
        <f>IF($G$1279=0,0,G29/$G$1279*100)</f>
      </c>
      <c r="I29" s="12" t="str">
        <f>IF(O29-C29&gt;0,O29-C29,"")</f>
        <v/>
      </c>
      <c r="J29" s="14" t="str">
        <f>IF(I29="","",F29*I29)</f>
        <v/>
      </c>
      <c r="K29" s="15">
        <f>IF(OR(J29="",$G$1279=0),"",J29/$G$1279*100)</f>
      </c>
      <c r="L29" s="12" t="str">
        <f>IF(C29-O29&gt;0,C29-O29,"")</f>
        <v/>
      </c>
      <c r="M29" s="14" t="str">
        <f>IF(L29="","",F29*L29)</f>
        <v/>
      </c>
      <c r="N29" s="15">
        <f>IF(OR(M29="",$G$1279=0),"",M29/$G$1279*100)</f>
      </c>
      <c r="O29" s="12">
        <v>80</v>
      </c>
      <c r="P29" s="14">
        <f>F29*O29</f>
        <v>10820198.4</v>
      </c>
      <c r="Q29" s="15">
        <f>IF($P$1279=0,0,P29/$P$1279*100)</f>
      </c>
      <c r="R29" s="10" t="str">
        <f>IF(O29=C29,"TETAP",IF(C29=0,"BARU",IF(O29=0,"HAPUS",IF(O29&gt;C29,"TAMBAH","KURANG"))))</f>
        <v>TETAP</v>
      </c>
    </row>
    <row r="30" spans="1:18" x14ac:dyDescent="0.25">
      <c r="A30" s="10" t="s">
        <v>70</v>
      </c>
      <c r="B30" s="18" t="s">
        <v>71</v>
      </c>
      <c r="C30" s="12">
        <v>80</v>
      </c>
      <c r="D30" s="13">
        <v>10</v>
      </c>
      <c r="E30" s="10" t="s">
        <v>32</v>
      </c>
      <c r="F30" s="14">
        <v>24811.47</v>
      </c>
      <c r="G30" s="14">
        <f>F30*C30</f>
        <v>1984917.6</v>
      </c>
      <c r="H30" s="15">
        <f>IF($G$1279=0,0,G30/$G$1279*100)</f>
      </c>
      <c r="I30" s="12" t="str">
        <f>IF(O30-C30&gt;0,O30-C30,"")</f>
        <v/>
      </c>
      <c r="J30" s="14" t="str">
        <f>IF(I30="","",F30*I30)</f>
        <v/>
      </c>
      <c r="K30" s="15">
        <f>IF(OR(J30="",$G$1279=0),"",J30/$G$1279*100)</f>
      </c>
      <c r="L30" s="12" t="str">
        <f>IF(C30-O30&gt;0,C30-O30,"")</f>
        <v/>
      </c>
      <c r="M30" s="14" t="str">
        <f>IF(L30="","",F30*L30)</f>
        <v/>
      </c>
      <c r="N30" s="15">
        <f>IF(OR(M30="",$G$1279=0),"",M30/$G$1279*100)</f>
      </c>
      <c r="O30" s="12">
        <v>80</v>
      </c>
      <c r="P30" s="14">
        <f>F30*O30</f>
        <v>1984917.6</v>
      </c>
      <c r="Q30" s="15">
        <f>IF($P$1279=0,0,P30/$P$1279*100)</f>
      </c>
      <c r="R30" s="10" t="str">
        <f>IF(O30=C30,"TETAP",IF(C30=0,"BARU",IF(O30=0,"HAPUS",IF(O30&gt;C30,"TAMBAH","KURANG"))))</f>
        <v>TETAP</v>
      </c>
    </row>
    <row r="31" spans="1:18" x14ac:dyDescent="0.25">
      <c r="A31" s="5" t="s">
        <v>72</v>
      </c>
      <c r="B31" s="17" t="s">
        <v>73</v>
      </c>
      <c r="C31" s="7"/>
      <c r="D31" s="7"/>
      <c r="E31" s="5"/>
      <c r="F31" s="8"/>
      <c r="G31" s="8"/>
      <c r="H31" s="9"/>
      <c r="I31" s="7"/>
      <c r="J31" s="8"/>
      <c r="K31" s="9"/>
      <c r="L31" s="7"/>
      <c r="M31" s="8"/>
      <c r="N31" s="9"/>
      <c r="O31" s="7"/>
      <c r="P31" s="8"/>
      <c r="Q31" s="9"/>
      <c r="R31" s="5"/>
    </row>
    <row r="32" spans="1:18" x14ac:dyDescent="0.25">
      <c r="A32" s="10" t="s">
        <v>74</v>
      </c>
      <c r="B32" s="18" t="s">
        <v>75</v>
      </c>
      <c r="C32" s="12">
        <v>1</v>
      </c>
      <c r="D32" s="12">
        <v>0</v>
      </c>
      <c r="E32" s="10" t="s">
        <v>58</v>
      </c>
      <c r="F32" s="14">
        <v>12000000</v>
      </c>
      <c r="G32" s="14">
        <f>F32*C32</f>
        <v>12000000</v>
      </c>
      <c r="H32" s="15">
        <f>IF($G$1279=0,0,G32/$G$1279*100)</f>
      </c>
      <c r="I32" s="12" t="str">
        <f>IF(O32-C32&gt;0,O32-C32,"")</f>
        <v/>
      </c>
      <c r="J32" s="14" t="str">
        <f>IF(I32="","",F32*I32)</f>
        <v/>
      </c>
      <c r="K32" s="15">
        <f>IF(OR(J32="",$G$1279=0),"",J32/$G$1279*100)</f>
      </c>
      <c r="L32" s="12" t="str">
        <f>IF(C32-O32&gt;0,C32-O32,"")</f>
        <v/>
      </c>
      <c r="M32" s="14" t="str">
        <f>IF(L32="","",F32*L32)</f>
        <v/>
      </c>
      <c r="N32" s="15">
        <f>IF(OR(M32="",$G$1279=0),"",M32/$G$1279*100)</f>
      </c>
      <c r="O32" s="12">
        <v>1</v>
      </c>
      <c r="P32" s="14">
        <f>F32*O32</f>
        <v>12000000</v>
      </c>
      <c r="Q32" s="15">
        <f>IF($P$1279=0,0,P32/$P$1279*100)</f>
      </c>
      <c r="R32" s="10" t="str">
        <f>IF(O32=C32,"TETAP",IF(C32=0,"BARU",IF(O32=0,"HAPUS",IF(O32&gt;C32,"TAMBAH","KURANG"))))</f>
        <v>TETAP</v>
      </c>
    </row>
    <row r="33" spans="1:18" x14ac:dyDescent="0.25">
      <c r="A33" s="5" t="s">
        <v>76</v>
      </c>
      <c r="B33" s="19" t="s">
        <v>77</v>
      </c>
      <c r="C33" s="7"/>
      <c r="D33" s="7"/>
      <c r="E33" s="5"/>
      <c r="F33" s="8"/>
      <c r="G33" s="8"/>
      <c r="H33" s="9"/>
      <c r="I33" s="7"/>
      <c r="J33" s="8"/>
      <c r="K33" s="9"/>
      <c r="L33" s="7"/>
      <c r="M33" s="8"/>
      <c r="N33" s="9"/>
      <c r="O33" s="7"/>
      <c r="P33" s="8"/>
      <c r="Q33" s="9"/>
      <c r="R33" s="5"/>
    </row>
    <row r="34" spans="1:18" x14ac:dyDescent="0.25">
      <c r="A34" s="5" t="s">
        <v>78</v>
      </c>
      <c r="B34" s="17" t="s">
        <v>79</v>
      </c>
      <c r="C34" s="7"/>
      <c r="D34" s="7"/>
      <c r="E34" s="5"/>
      <c r="F34" s="8"/>
      <c r="G34" s="8"/>
      <c r="H34" s="9"/>
      <c r="I34" s="7"/>
      <c r="J34" s="8"/>
      <c r="K34" s="9"/>
      <c r="L34" s="7"/>
      <c r="M34" s="8"/>
      <c r="N34" s="9"/>
      <c r="O34" s="7"/>
      <c r="P34" s="8"/>
      <c r="Q34" s="9"/>
      <c r="R34" s="5"/>
    </row>
    <row r="35" spans="1:18" x14ac:dyDescent="0.25">
      <c r="A35" s="10" t="s">
        <v>80</v>
      </c>
      <c r="B35" s="18" t="s">
        <v>81</v>
      </c>
      <c r="C35" s="12">
        <v>6</v>
      </c>
      <c r="D35" s="13">
        <v>6</v>
      </c>
      <c r="E35" s="10" t="s">
        <v>29</v>
      </c>
      <c r="F35" s="14">
        <v>6279287.24</v>
      </c>
      <c r="G35" s="14">
        <f>F35*C35</f>
        <v>37675723.44</v>
      </c>
      <c r="H35" s="15">
        <f>IF($G$1279=0,0,G35/$G$1279*100)</f>
      </c>
      <c r="I35" s="12" t="str">
        <f>IF(O35-C35&gt;0,O35-C35,"")</f>
        <v/>
      </c>
      <c r="J35" s="14" t="str">
        <f>IF(I35="","",F35*I35)</f>
        <v/>
      </c>
      <c r="K35" s="15">
        <f>IF(OR(J35="",$G$1279=0),"",J35/$G$1279*100)</f>
      </c>
      <c r="L35" s="12" t="str">
        <f>IF(C35-O35&gt;0,C35-O35,"")</f>
        <v/>
      </c>
      <c r="M35" s="14" t="str">
        <f>IF(L35="","",F35*L35)</f>
        <v/>
      </c>
      <c r="N35" s="15">
        <f>IF(OR(M35="",$G$1279=0),"",M35/$G$1279*100)</f>
      </c>
      <c r="O35" s="12">
        <v>6</v>
      </c>
      <c r="P35" s="14">
        <f>F35*O35</f>
        <v>37675723.44</v>
      </c>
      <c r="Q35" s="15">
        <f>IF($P$1279=0,0,P35/$P$1279*100)</f>
      </c>
      <c r="R35" s="10" t="str">
        <f>IF(O35=C35,"TETAP",IF(C35=0,"BARU",IF(O35=0,"HAPUS",IF(O35&gt;C35,"TAMBAH","KURANG"))))</f>
        <v>TETAP</v>
      </c>
    </row>
    <row r="36" spans="1:18" x14ac:dyDescent="0.25">
      <c r="A36" s="5" t="s">
        <v>82</v>
      </c>
      <c r="B36" s="17" t="s">
        <v>83</v>
      </c>
      <c r="C36" s="7"/>
      <c r="D36" s="7"/>
      <c r="E36" s="5"/>
      <c r="F36" s="8"/>
      <c r="G36" s="8"/>
      <c r="H36" s="9"/>
      <c r="I36" s="7"/>
      <c r="J36" s="8"/>
      <c r="K36" s="9"/>
      <c r="L36" s="7"/>
      <c r="M36" s="8"/>
      <c r="N36" s="9"/>
      <c r="O36" s="7"/>
      <c r="P36" s="8"/>
      <c r="Q36" s="9"/>
      <c r="R36" s="5"/>
    </row>
    <row r="37" spans="1:18" x14ac:dyDescent="0.25">
      <c r="A37" s="10" t="s">
        <v>84</v>
      </c>
      <c r="B37" s="18" t="s">
        <v>85</v>
      </c>
      <c r="C37" s="12">
        <v>1</v>
      </c>
      <c r="D37" s="12">
        <v>0</v>
      </c>
      <c r="E37" s="10" t="s">
        <v>58</v>
      </c>
      <c r="F37" s="14">
        <v>5537362.61</v>
      </c>
      <c r="G37" s="14">
        <f>F37*C37</f>
        <v>5537362.61</v>
      </c>
      <c r="H37" s="15">
        <f>IF($G$1279=0,0,G37/$G$1279*100)</f>
      </c>
      <c r="I37" s="12" t="str">
        <f>IF(O37-C37&gt;0,O37-C37,"")</f>
        <v/>
      </c>
      <c r="J37" s="14" t="str">
        <f>IF(I37="","",F37*I37)</f>
        <v/>
      </c>
      <c r="K37" s="15">
        <f>IF(OR(J37="",$G$1279=0),"",J37/$G$1279*100)</f>
      </c>
      <c r="L37" s="12" t="str">
        <f>IF(C37-O37&gt;0,C37-O37,"")</f>
        <v/>
      </c>
      <c r="M37" s="14" t="str">
        <f>IF(L37="","",F37*L37)</f>
        <v/>
      </c>
      <c r="N37" s="15">
        <f>IF(OR(M37="",$G$1279=0),"",M37/$G$1279*100)</f>
      </c>
      <c r="O37" s="12">
        <v>1</v>
      </c>
      <c r="P37" s="14">
        <f>F37*O37</f>
        <v>5537362.61</v>
      </c>
      <c r="Q37" s="15">
        <f>IF($P$1279=0,0,P37/$P$1279*100)</f>
      </c>
      <c r="R37" s="10" t="str">
        <f>IF(O37=C37,"TETAP",IF(C37=0,"BARU",IF(O37=0,"HAPUS",IF(O37&gt;C37,"TAMBAH","KURANG"))))</f>
        <v>TETAP</v>
      </c>
    </row>
    <row r="38" spans="1:18" x14ac:dyDescent="0.25">
      <c r="A38" s="5" t="s">
        <v>86</v>
      </c>
      <c r="B38" s="17" t="s">
        <v>87</v>
      </c>
      <c r="C38" s="7"/>
      <c r="D38" s="7"/>
      <c r="E38" s="5"/>
      <c r="F38" s="8"/>
      <c r="G38" s="8"/>
      <c r="H38" s="9"/>
      <c r="I38" s="7"/>
      <c r="J38" s="8"/>
      <c r="K38" s="9"/>
      <c r="L38" s="7"/>
      <c r="M38" s="8"/>
      <c r="N38" s="9"/>
      <c r="O38" s="7"/>
      <c r="P38" s="8"/>
      <c r="Q38" s="9"/>
      <c r="R38" s="5"/>
    </row>
    <row r="39" spans="1:18" x14ac:dyDescent="0.25">
      <c r="A39" s="10" t="s">
        <v>88</v>
      </c>
      <c r="B39" s="18" t="s">
        <v>89</v>
      </c>
      <c r="C39" s="12">
        <v>5</v>
      </c>
      <c r="D39" s="13">
        <v>5</v>
      </c>
      <c r="E39" s="10" t="s">
        <v>32</v>
      </c>
      <c r="F39" s="14">
        <v>81055.87</v>
      </c>
      <c r="G39" s="14">
        <f>F39*C39</f>
        <v>405279.35</v>
      </c>
      <c r="H39" s="15">
        <f>IF($G$1279=0,0,G39/$G$1279*100)</f>
      </c>
      <c r="I39" s="12" t="str">
        <f>IF(O39-C39&gt;0,O39-C39,"")</f>
        <v/>
      </c>
      <c r="J39" s="14" t="str">
        <f>IF(I39="","",F39*I39)</f>
        <v/>
      </c>
      <c r="K39" s="15">
        <f>IF(OR(J39="",$G$1279=0),"",J39/$G$1279*100)</f>
      </c>
      <c r="L39" s="12" t="str">
        <f>IF(C39-O39&gt;0,C39-O39,"")</f>
        <v/>
      </c>
      <c r="M39" s="14" t="str">
        <f>IF(L39="","",F39*L39)</f>
        <v/>
      </c>
      <c r="N39" s="15">
        <f>IF(OR(M39="",$G$1279=0),"",M39/$G$1279*100)</f>
      </c>
      <c r="O39" s="12">
        <v>5</v>
      </c>
      <c r="P39" s="14">
        <f>F39*O39</f>
        <v>405279.35</v>
      </c>
      <c r="Q39" s="15">
        <f>IF($P$1279=0,0,P39/$P$1279*100)</f>
      </c>
      <c r="R39" s="10" t="str">
        <f>IF(O39=C39,"TETAP",IF(C39=0,"BARU",IF(O39=0,"HAPUS",IF(O39&gt;C39,"TAMBAH","KURANG"))))</f>
        <v>TETAP</v>
      </c>
    </row>
    <row r="40" spans="1:18" x14ac:dyDescent="0.25">
      <c r="A40" s="10" t="s">
        <v>90</v>
      </c>
      <c r="B40" s="18" t="s">
        <v>91</v>
      </c>
      <c r="C40" s="12">
        <v>2</v>
      </c>
      <c r="D40" s="13">
        <v>2</v>
      </c>
      <c r="E40" s="10" t="s">
        <v>32</v>
      </c>
      <c r="F40" s="14">
        <v>73844.03</v>
      </c>
      <c r="G40" s="14">
        <f>F40*C40</f>
        <v>147688.06</v>
      </c>
      <c r="H40" s="15">
        <f>IF($G$1279=0,0,G40/$G$1279*100)</f>
      </c>
      <c r="I40" s="12" t="str">
        <f>IF(O40-C40&gt;0,O40-C40,"")</f>
        <v/>
      </c>
      <c r="J40" s="14" t="str">
        <f>IF(I40="","",F40*I40)</f>
        <v/>
      </c>
      <c r="K40" s="15">
        <f>IF(OR(J40="",$G$1279=0),"",J40/$G$1279*100)</f>
      </c>
      <c r="L40" s="12" t="str">
        <f>IF(C40-O40&gt;0,C40-O40,"")</f>
        <v/>
      </c>
      <c r="M40" s="14" t="str">
        <f>IF(L40="","",F40*L40)</f>
        <v/>
      </c>
      <c r="N40" s="15">
        <f>IF(OR(M40="",$G$1279=0),"",M40/$G$1279*100)</f>
      </c>
      <c r="O40" s="12">
        <v>2</v>
      </c>
      <c r="P40" s="14">
        <f>F40*O40</f>
        <v>147688.06</v>
      </c>
      <c r="Q40" s="15">
        <f>IF($P$1279=0,0,P40/$P$1279*100)</f>
      </c>
      <c r="R40" s="10" t="str">
        <f>IF(O40=C40,"TETAP",IF(C40=0,"BARU",IF(O40=0,"HAPUS",IF(O40&gt;C40,"TAMBAH","KURANG"))))</f>
        <v>TETAP</v>
      </c>
    </row>
    <row r="41" spans="1:18" x14ac:dyDescent="0.25">
      <c r="A41" s="10" t="s">
        <v>92</v>
      </c>
      <c r="B41" s="18" t="s">
        <v>93</v>
      </c>
      <c r="C41" s="12">
        <v>5</v>
      </c>
      <c r="D41" s="12">
        <v>0</v>
      </c>
      <c r="E41" s="10" t="s">
        <v>32</v>
      </c>
      <c r="F41" s="14">
        <v>77261.59</v>
      </c>
      <c r="G41" s="14">
        <f>F41*C41</f>
        <v>386307.94999999995</v>
      </c>
      <c r="H41" s="15">
        <f>IF($G$1279=0,0,G41/$G$1279*100)</f>
      </c>
      <c r="I41" s="12" t="str">
        <f>IF(O41-C41&gt;0,O41-C41,"")</f>
        <v/>
      </c>
      <c r="J41" s="14" t="str">
        <f>IF(I41="","",F41*I41)</f>
        <v/>
      </c>
      <c r="K41" s="15">
        <f>IF(OR(J41="",$G$1279=0),"",J41/$G$1279*100)</f>
      </c>
      <c r="L41" s="12" t="str">
        <f>IF(C41-O41&gt;0,C41-O41,"")</f>
        <v/>
      </c>
      <c r="M41" s="14" t="str">
        <f>IF(L41="","",F41*L41)</f>
        <v/>
      </c>
      <c r="N41" s="15">
        <f>IF(OR(M41="",$G$1279=0),"",M41/$G$1279*100)</f>
      </c>
      <c r="O41" s="12">
        <v>5</v>
      </c>
      <c r="P41" s="14">
        <f>F41*O41</f>
        <v>386307.94999999995</v>
      </c>
      <c r="Q41" s="15">
        <f>IF($P$1279=0,0,P41/$P$1279*100)</f>
      </c>
      <c r="R41" s="10" t="str">
        <f>IF(O41=C41,"TETAP",IF(C41=0,"BARU",IF(O41=0,"HAPUS",IF(O41&gt;C41,"TAMBAH","KURANG"))))</f>
        <v>TETAP</v>
      </c>
    </row>
    <row r="42" spans="1:18" x14ac:dyDescent="0.25">
      <c r="A42" s="10" t="s">
        <v>94</v>
      </c>
      <c r="B42" s="18" t="s">
        <v>95</v>
      </c>
      <c r="C42" s="12">
        <v>5</v>
      </c>
      <c r="D42" s="13">
        <v>5</v>
      </c>
      <c r="E42" s="10" t="s">
        <v>32</v>
      </c>
      <c r="F42" s="14">
        <v>76651.26</v>
      </c>
      <c r="G42" s="14">
        <f>F42*C42</f>
        <v>383256.3</v>
      </c>
      <c r="H42" s="15">
        <f>IF($G$1279=0,0,G42/$G$1279*100)</f>
      </c>
      <c r="I42" s="12" t="str">
        <f>IF(O42-C42&gt;0,O42-C42,"")</f>
        <v/>
      </c>
      <c r="J42" s="14" t="str">
        <f>IF(I42="","",F42*I42)</f>
        <v/>
      </c>
      <c r="K42" s="15">
        <f>IF(OR(J42="",$G$1279=0),"",J42/$G$1279*100)</f>
      </c>
      <c r="L42" s="12" t="str">
        <f>IF(C42-O42&gt;0,C42-O42,"")</f>
        <v/>
      </c>
      <c r="M42" s="14" t="str">
        <f>IF(L42="","",F42*L42)</f>
        <v/>
      </c>
      <c r="N42" s="15">
        <f>IF(OR(M42="",$G$1279=0),"",M42/$G$1279*100)</f>
      </c>
      <c r="O42" s="12">
        <v>5</v>
      </c>
      <c r="P42" s="14">
        <f>F42*O42</f>
        <v>383256.3</v>
      </c>
      <c r="Q42" s="15">
        <f>IF($P$1279=0,0,P42/$P$1279*100)</f>
      </c>
      <c r="R42" s="10" t="str">
        <f>IF(O42=C42,"TETAP",IF(C42=0,"BARU",IF(O42=0,"HAPUS",IF(O42&gt;C42,"TAMBAH","KURANG"))))</f>
        <v>TETAP</v>
      </c>
    </row>
    <row r="43" spans="1:18" x14ac:dyDescent="0.25">
      <c r="A43" s="5" t="s">
        <v>96</v>
      </c>
      <c r="B43" s="17" t="s">
        <v>97</v>
      </c>
      <c r="C43" s="7"/>
      <c r="D43" s="7"/>
      <c r="E43" s="5"/>
      <c r="F43" s="8"/>
      <c r="G43" s="8"/>
      <c r="H43" s="9"/>
      <c r="I43" s="7"/>
      <c r="J43" s="8"/>
      <c r="K43" s="9"/>
      <c r="L43" s="7"/>
      <c r="M43" s="8"/>
      <c r="N43" s="9"/>
      <c r="O43" s="7"/>
      <c r="P43" s="8"/>
      <c r="Q43" s="9"/>
      <c r="R43" s="5"/>
    </row>
    <row r="44" spans="1:18" x14ac:dyDescent="0.25">
      <c r="A44" s="10" t="s">
        <v>98</v>
      </c>
      <c r="B44" s="18" t="s">
        <v>99</v>
      </c>
      <c r="C44" s="12">
        <v>2</v>
      </c>
      <c r="D44" s="13">
        <v>1</v>
      </c>
      <c r="E44" s="10" t="s">
        <v>32</v>
      </c>
      <c r="F44" s="14">
        <v>388185.18</v>
      </c>
      <c r="G44" s="14">
        <f>F44*C44</f>
        <v>776370.36</v>
      </c>
      <c r="H44" s="15">
        <f>IF($G$1279=0,0,G44/$G$1279*100)</f>
      </c>
      <c r="I44" s="12" t="str">
        <f>IF(O44-C44&gt;0,O44-C44,"")</f>
        <v/>
      </c>
      <c r="J44" s="14" t="str">
        <f>IF(I44="","",F44*I44)</f>
        <v/>
      </c>
      <c r="K44" s="15">
        <f>IF(OR(J44="",$G$1279=0),"",J44/$G$1279*100)</f>
      </c>
      <c r="L44" s="12" t="str">
        <f>IF(C44-O44&gt;0,C44-O44,"")</f>
        <v/>
      </c>
      <c r="M44" s="14" t="str">
        <f>IF(L44="","",F44*L44)</f>
        <v/>
      </c>
      <c r="N44" s="15">
        <f>IF(OR(M44="",$G$1279=0),"",M44/$G$1279*100)</f>
      </c>
      <c r="O44" s="12">
        <v>2</v>
      </c>
      <c r="P44" s="14">
        <f>F44*O44</f>
        <v>776370.36</v>
      </c>
      <c r="Q44" s="15">
        <f>IF($P$1279=0,0,P44/$P$1279*100)</f>
      </c>
      <c r="R44" s="10" t="str">
        <f>IF(O44=C44,"TETAP",IF(C44=0,"BARU",IF(O44=0,"HAPUS",IF(O44&gt;C44,"TAMBAH","KURANG"))))</f>
        <v>TETAP</v>
      </c>
    </row>
    <row r="45" spans="1:18" x14ac:dyDescent="0.25">
      <c r="A45" s="10" t="s">
        <v>100</v>
      </c>
      <c r="B45" s="18" t="s">
        <v>101</v>
      </c>
      <c r="C45" s="12">
        <v>2</v>
      </c>
      <c r="D45" s="13">
        <v>2</v>
      </c>
      <c r="E45" s="10" t="s">
        <v>32</v>
      </c>
      <c r="F45" s="14">
        <v>45813.81</v>
      </c>
      <c r="G45" s="14">
        <f>F45*C45</f>
        <v>91627.62</v>
      </c>
      <c r="H45" s="15">
        <f>IF($G$1279=0,0,G45/$G$1279*100)</f>
      </c>
      <c r="I45" s="12" t="str">
        <f>IF(O45-C45&gt;0,O45-C45,"")</f>
        <v/>
      </c>
      <c r="J45" s="14" t="str">
        <f>IF(I45="","",F45*I45)</f>
        <v/>
      </c>
      <c r="K45" s="15">
        <f>IF(OR(J45="",$G$1279=0),"",J45/$G$1279*100)</f>
      </c>
      <c r="L45" s="12" t="str">
        <f>IF(C45-O45&gt;0,C45-O45,"")</f>
        <v/>
      </c>
      <c r="M45" s="14" t="str">
        <f>IF(L45="","",F45*L45)</f>
        <v/>
      </c>
      <c r="N45" s="15">
        <f>IF(OR(M45="",$G$1279=0),"",M45/$G$1279*100)</f>
      </c>
      <c r="O45" s="12">
        <v>2</v>
      </c>
      <c r="P45" s="14">
        <f>F45*O45</f>
        <v>91627.62</v>
      </c>
      <c r="Q45" s="15">
        <f>IF($P$1279=0,0,P45/$P$1279*100)</f>
      </c>
      <c r="R45" s="10" t="str">
        <f>IF(O45=C45,"TETAP",IF(C45=0,"BARU",IF(O45=0,"HAPUS",IF(O45&gt;C45,"TAMBAH","KURANG"))))</f>
        <v>TETAP</v>
      </c>
    </row>
    <row r="46" spans="1:18" x14ac:dyDescent="0.25">
      <c r="A46" s="10" t="s">
        <v>102</v>
      </c>
      <c r="B46" s="18" t="s">
        <v>103</v>
      </c>
      <c r="C46" s="12">
        <v>3</v>
      </c>
      <c r="D46" s="12">
        <v>0</v>
      </c>
      <c r="E46" s="10" t="s">
        <v>58</v>
      </c>
      <c r="F46" s="14">
        <v>461402.21</v>
      </c>
      <c r="G46" s="14">
        <f>F46*C46</f>
        <v>1384206.6300000001</v>
      </c>
      <c r="H46" s="15">
        <f>IF($G$1279=0,0,G46/$G$1279*100)</f>
      </c>
      <c r="I46" s="12" t="str">
        <f>IF(O46-C46&gt;0,O46-C46,"")</f>
        <v/>
      </c>
      <c r="J46" s="14" t="str">
        <f>IF(I46="","",F46*I46)</f>
        <v/>
      </c>
      <c r="K46" s="15">
        <f>IF(OR(J46="",$G$1279=0),"",J46/$G$1279*100)</f>
      </c>
      <c r="L46" s="12" t="str">
        <f>IF(C46-O46&gt;0,C46-O46,"")</f>
        <v/>
      </c>
      <c r="M46" s="14" t="str">
        <f>IF(L46="","",F46*L46)</f>
        <v/>
      </c>
      <c r="N46" s="15">
        <f>IF(OR(M46="",$G$1279=0),"",M46/$G$1279*100)</f>
      </c>
      <c r="O46" s="12">
        <v>3</v>
      </c>
      <c r="P46" s="14">
        <f>F46*O46</f>
        <v>1384206.6300000001</v>
      </c>
      <c r="Q46" s="15">
        <f>IF($P$1279=0,0,P46/$P$1279*100)</f>
      </c>
      <c r="R46" s="10" t="str">
        <f>IF(O46=C46,"TETAP",IF(C46=0,"BARU",IF(O46=0,"HAPUS",IF(O46&gt;C46,"TAMBAH","KURANG"))))</f>
        <v>TETAP</v>
      </c>
    </row>
    <row r="47" spans="1:18" x14ac:dyDescent="0.25">
      <c r="A47" s="10" t="s">
        <v>104</v>
      </c>
      <c r="B47" s="18" t="s">
        <v>105</v>
      </c>
      <c r="C47" s="12">
        <v>2</v>
      </c>
      <c r="D47" s="12">
        <v>0</v>
      </c>
      <c r="E47" s="10" t="s">
        <v>32</v>
      </c>
      <c r="F47" s="14">
        <v>75458.15</v>
      </c>
      <c r="G47" s="14">
        <f>F47*C47</f>
        <v>150916.3</v>
      </c>
      <c r="H47" s="15">
        <f>IF($G$1279=0,0,G47/$G$1279*100)</f>
      </c>
      <c r="I47" s="12" t="str">
        <f>IF(O47-C47&gt;0,O47-C47,"")</f>
        <v/>
      </c>
      <c r="J47" s="14" t="str">
        <f>IF(I47="","",F47*I47)</f>
        <v/>
      </c>
      <c r="K47" s="15">
        <f>IF(OR(J47="",$G$1279=0),"",J47/$G$1279*100)</f>
      </c>
      <c r="L47" s="12" t="str">
        <f>IF(C47-O47&gt;0,C47-O47,"")</f>
        <v/>
      </c>
      <c r="M47" s="14" t="str">
        <f>IF(L47="","",F47*L47)</f>
        <v/>
      </c>
      <c r="N47" s="15">
        <f>IF(OR(M47="",$G$1279=0),"",M47/$G$1279*100)</f>
      </c>
      <c r="O47" s="12">
        <v>2</v>
      </c>
      <c r="P47" s="14">
        <f>F47*O47</f>
        <v>150916.3</v>
      </c>
      <c r="Q47" s="15">
        <f>IF($P$1279=0,0,P47/$P$1279*100)</f>
      </c>
      <c r="R47" s="10" t="str">
        <f>IF(O47=C47,"TETAP",IF(C47=0,"BARU",IF(O47=0,"HAPUS",IF(O47&gt;C47,"TAMBAH","KURANG"))))</f>
        <v>TETAP</v>
      </c>
    </row>
    <row r="48" spans="1:18" x14ac:dyDescent="0.25">
      <c r="A48" s="10" t="s">
        <v>106</v>
      </c>
      <c r="B48" s="18" t="s">
        <v>107</v>
      </c>
      <c r="C48" s="12">
        <v>1</v>
      </c>
      <c r="D48" s="12">
        <v>0</v>
      </c>
      <c r="E48" s="10" t="s">
        <v>58</v>
      </c>
      <c r="F48" s="14">
        <v>2447353.56</v>
      </c>
      <c r="G48" s="14">
        <f>F48*C48</f>
        <v>2447353.56</v>
      </c>
      <c r="H48" s="15">
        <f>IF($G$1279=0,0,G48/$G$1279*100)</f>
      </c>
      <c r="I48" s="12" t="str">
        <f>IF(O48-C48&gt;0,O48-C48,"")</f>
        <v/>
      </c>
      <c r="J48" s="14" t="str">
        <f>IF(I48="","",F48*I48)</f>
        <v/>
      </c>
      <c r="K48" s="15">
        <f>IF(OR(J48="",$G$1279=0),"",J48/$G$1279*100)</f>
      </c>
      <c r="L48" s="12" t="str">
        <f>IF(C48-O48&gt;0,C48-O48,"")</f>
        <v/>
      </c>
      <c r="M48" s="14" t="str">
        <f>IF(L48="","",F48*L48)</f>
        <v/>
      </c>
      <c r="N48" s="15">
        <f>IF(OR(M48="",$G$1279=0),"",M48/$G$1279*100)</f>
      </c>
      <c r="O48" s="12">
        <v>1</v>
      </c>
      <c r="P48" s="14">
        <f>F48*O48</f>
        <v>2447353.56</v>
      </c>
      <c r="Q48" s="15">
        <f>IF($P$1279=0,0,P48/$P$1279*100)</f>
      </c>
      <c r="R48" s="10" t="str">
        <f>IF(O48=C48,"TETAP",IF(C48=0,"BARU",IF(O48=0,"HAPUS",IF(O48&gt;C48,"TAMBAH","KURANG"))))</f>
        <v>TETAP</v>
      </c>
    </row>
    <row r="49" spans="1:18" x14ac:dyDescent="0.25">
      <c r="A49" s="10" t="s">
        <v>108</v>
      </c>
      <c r="B49" s="11" t="s">
        <v>109</v>
      </c>
      <c r="C49" s="12">
        <v>1093.93</v>
      </c>
      <c r="D49" s="13">
        <v>850</v>
      </c>
      <c r="E49" s="10" t="s">
        <v>26</v>
      </c>
      <c r="F49" s="14">
        <v>6091.34</v>
      </c>
      <c r="G49" s="14">
        <f>F49*C49</f>
        <v>6663499.5662</v>
      </c>
      <c r="H49" s="15">
        <f>IF($G$1279=0,0,G49/$G$1279*100)</f>
      </c>
      <c r="I49" s="12" t="str">
        <f>IF(O49-C49&gt;0,O49-C49,"")</f>
        <v/>
      </c>
      <c r="J49" s="14" t="str">
        <f>IF(I49="","",F49*I49)</f>
        <v/>
      </c>
      <c r="K49" s="15">
        <f>IF(OR(J49="",$G$1279=0),"",J49/$G$1279*100)</f>
      </c>
      <c r="L49" s="12" t="str">
        <f>IF(C49-O49&gt;0,C49-O49,"")</f>
        <v/>
      </c>
      <c r="M49" s="14" t="str">
        <f>IF(L49="","",F49*L49)</f>
        <v/>
      </c>
      <c r="N49" s="15">
        <f>IF(OR(M49="",$G$1279=0),"",M49/$G$1279*100)</f>
      </c>
      <c r="O49" s="12">
        <v>1093.93</v>
      </c>
      <c r="P49" s="14">
        <f>F49*O49</f>
        <v>6663499.5662</v>
      </c>
      <c r="Q49" s="15">
        <f>IF($P$1279=0,0,P49/$P$1279*100)</f>
      </c>
      <c r="R49" s="10" t="str">
        <f>IF(O49=C49,"TETAP",IF(C49=0,"BARU",IF(O49=0,"HAPUS",IF(O49&gt;C49,"TAMBAH","KURANG"))))</f>
        <v>TETAP</v>
      </c>
    </row>
    <row r="50" spans="1:18" x14ac:dyDescent="0.25">
      <c r="A50" s="10" t="s">
        <v>110</v>
      </c>
      <c r="B50" s="11" t="s">
        <v>111</v>
      </c>
      <c r="C50" s="12">
        <v>1093.93</v>
      </c>
      <c r="D50" s="12">
        <v>0</v>
      </c>
      <c r="E50" s="10" t="s">
        <v>26</v>
      </c>
      <c r="F50" s="14">
        <v>3205.05</v>
      </c>
      <c r="G50" s="14">
        <f>F50*C50</f>
        <v>3506100.3465000005</v>
      </c>
      <c r="H50" s="15">
        <f>IF($G$1279=0,0,G50/$G$1279*100)</f>
      </c>
      <c r="I50" s="12" t="str">
        <f>IF(O50-C50&gt;0,O50-C50,"")</f>
        <v/>
      </c>
      <c r="J50" s="14" t="str">
        <f>IF(I50="","",F50*I50)</f>
        <v/>
      </c>
      <c r="K50" s="15">
        <f>IF(OR(J50="",$G$1279=0),"",J50/$G$1279*100)</f>
      </c>
      <c r="L50" s="12" t="str">
        <f>IF(C50-O50&gt;0,C50-O50,"")</f>
        <v/>
      </c>
      <c r="M50" s="14" t="str">
        <f>IF(L50="","",F50*L50)</f>
        <v/>
      </c>
      <c r="N50" s="15">
        <f>IF(OR(M50="",$G$1279=0),"",M50/$G$1279*100)</f>
      </c>
      <c r="O50" s="12">
        <v>1093.93</v>
      </c>
      <c r="P50" s="14">
        <f>F50*O50</f>
        <v>3506100.3465000005</v>
      </c>
      <c r="Q50" s="15">
        <f>IF($P$1279=0,0,P50/$P$1279*100)</f>
      </c>
      <c r="R50" s="10" t="str">
        <f>IF(O50=C50,"TETAP",IF(C50=0,"BARU",IF(O50=0,"HAPUS",IF(O50&gt;C50,"TAMBAH","KURANG"))))</f>
        <v>TETAP</v>
      </c>
    </row>
    <row r="51" spans="1:18" x14ac:dyDescent="0.25">
      <c r="A51" s="10" t="s">
        <v>112</v>
      </c>
      <c r="B51" s="11" t="s">
        <v>113</v>
      </c>
      <c r="C51" s="12">
        <v>3</v>
      </c>
      <c r="D51" s="12">
        <v>0</v>
      </c>
      <c r="E51" s="10" t="s">
        <v>114</v>
      </c>
      <c r="F51" s="14">
        <v>8000000</v>
      </c>
      <c r="G51" s="14">
        <f>F51*C51</f>
        <v>24000000</v>
      </c>
      <c r="H51" s="15">
        <f>IF($G$1279=0,0,G51/$G$1279*100)</f>
      </c>
      <c r="I51" s="12" t="str">
        <f>IF(O51-C51&gt;0,O51-C51,"")</f>
        <v/>
      </c>
      <c r="J51" s="14" t="str">
        <f>IF(I51="","",F51*I51)</f>
        <v/>
      </c>
      <c r="K51" s="15">
        <f>IF(OR(J51="",$G$1279=0),"",J51/$G$1279*100)</f>
      </c>
      <c r="L51" s="12" t="str">
        <f>IF(C51-O51&gt;0,C51-O51,"")</f>
        <v/>
      </c>
      <c r="M51" s="14" t="str">
        <f>IF(L51="","",F51*L51)</f>
        <v/>
      </c>
      <c r="N51" s="15">
        <f>IF(OR(M51="",$G$1279=0),"",M51/$G$1279*100)</f>
      </c>
      <c r="O51" s="12">
        <v>3</v>
      </c>
      <c r="P51" s="14">
        <f>F51*O51</f>
        <v>24000000</v>
      </c>
      <c r="Q51" s="15">
        <f>IF($P$1279=0,0,P51/$P$1279*100)</f>
      </c>
      <c r="R51" s="10" t="str">
        <f>IF(O51=C51,"TETAP",IF(C51=0,"BARU",IF(O51=0,"HAPUS",IF(O51&gt;C51,"TAMBAH","KURANG"))))</f>
        <v>TETAP</v>
      </c>
    </row>
    <row r="52" spans="1:18" x14ac:dyDescent="0.25">
      <c r="A52" s="5" t="s">
        <v>115</v>
      </c>
      <c r="B52" s="16" t="s">
        <v>116</v>
      </c>
      <c r="C52" s="7"/>
      <c r="D52" s="7"/>
      <c r="E52" s="5"/>
      <c r="F52" s="8"/>
      <c r="G52" s="8"/>
      <c r="H52" s="9"/>
      <c r="I52" s="7"/>
      <c r="J52" s="8"/>
      <c r="K52" s="9"/>
      <c r="L52" s="7"/>
      <c r="M52" s="8"/>
      <c r="N52" s="9"/>
      <c r="O52" s="7"/>
      <c r="P52" s="8"/>
      <c r="Q52" s="9"/>
      <c r="R52" s="5"/>
    </row>
    <row r="53" spans="1:18" x14ac:dyDescent="0.25">
      <c r="A53" s="10" t="s">
        <v>117</v>
      </c>
      <c r="B53" s="20" t="s">
        <v>118</v>
      </c>
      <c r="C53" s="12">
        <v>2</v>
      </c>
      <c r="D53" s="13">
        <v>1</v>
      </c>
      <c r="E53" s="10" t="s">
        <v>119</v>
      </c>
      <c r="F53" s="14">
        <v>5000000</v>
      </c>
      <c r="G53" s="14">
        <f>F53*C53</f>
        <v>10000000</v>
      </c>
      <c r="H53" s="15">
        <f>IF($G$1279=0,0,G53/$G$1279*100)</f>
      </c>
      <c r="I53" s="12" t="str">
        <f>IF(O53-C53&gt;0,O53-C53,"")</f>
        <v/>
      </c>
      <c r="J53" s="14" t="str">
        <f>IF(I53="","",F53*I53)</f>
        <v/>
      </c>
      <c r="K53" s="15">
        <f>IF(OR(J53="",$G$1279=0),"",J53/$G$1279*100)</f>
      </c>
      <c r="L53" s="12" t="str">
        <f>IF(C53-O53&gt;0,C53-O53,"")</f>
        <v/>
      </c>
      <c r="M53" s="14" t="str">
        <f>IF(L53="","",F53*L53)</f>
        <v/>
      </c>
      <c r="N53" s="15">
        <f>IF(OR(M53="",$G$1279=0),"",M53/$G$1279*100)</f>
      </c>
      <c r="O53" s="12">
        <v>2</v>
      </c>
      <c r="P53" s="14">
        <f>F53*O53</f>
        <v>10000000</v>
      </c>
      <c r="Q53" s="15">
        <f>IF($P$1279=0,0,P53/$P$1279*100)</f>
      </c>
      <c r="R53" s="10" t="str">
        <f>IF(O53=C53,"TETAP",IF(C53=0,"BARU",IF(O53=0,"HAPUS",IF(O53&gt;C53,"TAMBAH","KURANG"))))</f>
        <v>TETAP</v>
      </c>
    </row>
    <row r="54" spans="1:18" x14ac:dyDescent="0.25">
      <c r="A54" s="10" t="s">
        <v>120</v>
      </c>
      <c r="B54" s="20" t="s">
        <v>121</v>
      </c>
      <c r="C54" s="12">
        <v>1</v>
      </c>
      <c r="D54" s="13">
        <v>1</v>
      </c>
      <c r="E54" s="10" t="s">
        <v>119</v>
      </c>
      <c r="F54" s="14">
        <v>5000000</v>
      </c>
      <c r="G54" s="14">
        <f>F54*C54</f>
        <v>5000000</v>
      </c>
      <c r="H54" s="15">
        <f>IF($G$1279=0,0,G54/$G$1279*100)</f>
      </c>
      <c r="I54" s="12" t="str">
        <f>IF(O54-C54&gt;0,O54-C54,"")</f>
        <v/>
      </c>
      <c r="J54" s="14" t="str">
        <f>IF(I54="","",F54*I54)</f>
        <v/>
      </c>
      <c r="K54" s="15">
        <f>IF(OR(J54="",$G$1279=0),"",J54/$G$1279*100)</f>
      </c>
      <c r="L54" s="12" t="str">
        <f>IF(C54-O54&gt;0,C54-O54,"")</f>
        <v/>
      </c>
      <c r="M54" s="14" t="str">
        <f>IF(L54="","",F54*L54)</f>
        <v/>
      </c>
      <c r="N54" s="15">
        <f>IF(OR(M54="",$G$1279=0),"",M54/$G$1279*100)</f>
      </c>
      <c r="O54" s="12">
        <v>1</v>
      </c>
      <c r="P54" s="14">
        <f>F54*O54</f>
        <v>5000000</v>
      </c>
      <c r="Q54" s="15">
        <f>IF($P$1279=0,0,P54/$P$1279*100)</f>
      </c>
      <c r="R54" s="10" t="str">
        <f>IF(O54=C54,"TETAP",IF(C54=0,"BARU",IF(O54=0,"HAPUS",IF(O54&gt;C54,"TAMBAH","KURANG"))))</f>
        <v>TETAP</v>
      </c>
    </row>
    <row r="55" spans="1:18" x14ac:dyDescent="0.25">
      <c r="A55" s="10" t="s">
        <v>122</v>
      </c>
      <c r="B55" s="20" t="s">
        <v>123</v>
      </c>
      <c r="C55" s="12">
        <v>1</v>
      </c>
      <c r="D55" s="13">
        <v>1</v>
      </c>
      <c r="E55" s="10" t="s">
        <v>119</v>
      </c>
      <c r="F55" s="14">
        <v>5000000</v>
      </c>
      <c r="G55" s="14">
        <f>F55*C55</f>
        <v>5000000</v>
      </c>
      <c r="H55" s="15">
        <f>IF($G$1279=0,0,G55/$G$1279*100)</f>
      </c>
      <c r="I55" s="12" t="str">
        <f>IF(O55-C55&gt;0,O55-C55,"")</f>
        <v/>
      </c>
      <c r="J55" s="14" t="str">
        <f>IF(I55="","",F55*I55)</f>
        <v/>
      </c>
      <c r="K55" s="15">
        <f>IF(OR(J55="",$G$1279=0),"",J55/$G$1279*100)</f>
      </c>
      <c r="L55" s="12" t="str">
        <f>IF(C55-O55&gt;0,C55-O55,"")</f>
        <v/>
      </c>
      <c r="M55" s="14" t="str">
        <f>IF(L55="","",F55*L55)</f>
        <v/>
      </c>
      <c r="N55" s="15">
        <f>IF(OR(M55="",$G$1279=0),"",M55/$G$1279*100)</f>
      </c>
      <c r="O55" s="12">
        <v>1</v>
      </c>
      <c r="P55" s="14">
        <f>F55*O55</f>
        <v>5000000</v>
      </c>
      <c r="Q55" s="15">
        <f>IF($P$1279=0,0,P55/$P$1279*100)</f>
      </c>
      <c r="R55" s="10" t="str">
        <f>IF(O55=C55,"TETAP",IF(C55=0,"BARU",IF(O55=0,"HAPUS",IF(O55&gt;C55,"TAMBAH","KURANG"))))</f>
        <v>TETAP</v>
      </c>
    </row>
    <row r="56" spans="1:18" x14ac:dyDescent="0.25">
      <c r="A56" s="10" t="s">
        <v>124</v>
      </c>
      <c r="B56" s="20" t="s">
        <v>125</v>
      </c>
      <c r="C56" s="12">
        <v>10</v>
      </c>
      <c r="D56" s="12">
        <v>0</v>
      </c>
      <c r="E56" s="10" t="s">
        <v>32</v>
      </c>
      <c r="F56" s="14">
        <v>1011779.05</v>
      </c>
      <c r="G56" s="14">
        <f>F56*C56</f>
        <v>10117790.5</v>
      </c>
      <c r="H56" s="15">
        <f>IF($G$1279=0,0,G56/$G$1279*100)</f>
      </c>
      <c r="I56" s="12" t="str">
        <f>IF(O56-C56&gt;0,O56-C56,"")</f>
        <v/>
      </c>
      <c r="J56" s="14" t="str">
        <f>IF(I56="","",F56*I56)</f>
        <v/>
      </c>
      <c r="K56" s="15">
        <f>IF(OR(J56="",$G$1279=0),"",J56/$G$1279*100)</f>
      </c>
      <c r="L56" s="12" t="str">
        <f>IF(C56-O56&gt;0,C56-O56,"")</f>
        <v/>
      </c>
      <c r="M56" s="14" t="str">
        <f>IF(L56="","",F56*L56)</f>
        <v/>
      </c>
      <c r="N56" s="15">
        <f>IF(OR(M56="",$G$1279=0),"",M56/$G$1279*100)</f>
      </c>
      <c r="O56" s="12">
        <v>10</v>
      </c>
      <c r="P56" s="14">
        <f>F56*O56</f>
        <v>10117790.5</v>
      </c>
      <c r="Q56" s="15">
        <f>IF($P$1279=0,0,P56/$P$1279*100)</f>
      </c>
      <c r="R56" s="10" t="str">
        <f>IF(O56=C56,"TETAP",IF(C56=0,"BARU",IF(O56=0,"HAPUS",IF(O56&gt;C56,"TAMBAH","KURANG"))))</f>
        <v>TETAP</v>
      </c>
    </row>
    <row r="57" spans="1:18" x14ac:dyDescent="0.25">
      <c r="A57" s="10" t="s">
        <v>126</v>
      </c>
      <c r="B57" s="20" t="s">
        <v>127</v>
      </c>
      <c r="C57" s="12">
        <v>1</v>
      </c>
      <c r="D57" s="12">
        <v>0</v>
      </c>
      <c r="E57" s="10" t="s">
        <v>119</v>
      </c>
      <c r="F57" s="14">
        <v>10216712.69</v>
      </c>
      <c r="G57" s="14">
        <f>F57*C57</f>
        <v>10216712.69</v>
      </c>
      <c r="H57" s="15">
        <f>IF($G$1279=0,0,G57/$G$1279*100)</f>
      </c>
      <c r="I57" s="12" t="str">
        <f>IF(O57-C57&gt;0,O57-C57,"")</f>
        <v/>
      </c>
      <c r="J57" s="14" t="str">
        <f>IF(I57="","",F57*I57)</f>
        <v/>
      </c>
      <c r="K57" s="15">
        <f>IF(OR(J57="",$G$1279=0),"",J57/$G$1279*100)</f>
      </c>
      <c r="L57" s="12" t="str">
        <f>IF(C57-O57&gt;0,C57-O57,"")</f>
        <v/>
      </c>
      <c r="M57" s="14" t="str">
        <f>IF(L57="","",F57*L57)</f>
        <v/>
      </c>
      <c r="N57" s="15">
        <f>IF(OR(M57="",$G$1279=0),"",M57/$G$1279*100)</f>
      </c>
      <c r="O57" s="12">
        <v>1</v>
      </c>
      <c r="P57" s="14">
        <f>F57*O57</f>
        <v>10216712.69</v>
      </c>
      <c r="Q57" s="15">
        <f>IF($P$1279=0,0,P57/$P$1279*100)</f>
      </c>
      <c r="R57" s="10" t="str">
        <f>IF(O57=C57,"TETAP",IF(C57=0,"BARU",IF(O57=0,"HAPUS",IF(O57&gt;C57,"TAMBAH","KURANG"))))</f>
        <v>TETAP</v>
      </c>
    </row>
    <row r="58" spans="1:18" x14ac:dyDescent="0.25">
      <c r="A58" s="10" t="s">
        <v>128</v>
      </c>
      <c r="B58" s="20" t="s">
        <v>129</v>
      </c>
      <c r="C58" s="12">
        <v>5</v>
      </c>
      <c r="D58" s="12">
        <v>0</v>
      </c>
      <c r="E58" s="10" t="s">
        <v>32</v>
      </c>
      <c r="F58" s="14">
        <v>515927.74</v>
      </c>
      <c r="G58" s="14">
        <f>F58*C58</f>
        <v>2579638.7</v>
      </c>
      <c r="H58" s="15">
        <f>IF($G$1279=0,0,G58/$G$1279*100)</f>
      </c>
      <c r="I58" s="12" t="str">
        <f>IF(O58-C58&gt;0,O58-C58,"")</f>
        <v/>
      </c>
      <c r="J58" s="14" t="str">
        <f>IF(I58="","",F58*I58)</f>
        <v/>
      </c>
      <c r="K58" s="15">
        <f>IF(OR(J58="",$G$1279=0),"",J58/$G$1279*100)</f>
      </c>
      <c r="L58" s="12" t="str">
        <f>IF(C58-O58&gt;0,C58-O58,"")</f>
        <v/>
      </c>
      <c r="M58" s="14" t="str">
        <f>IF(L58="","",F58*L58)</f>
        <v/>
      </c>
      <c r="N58" s="15">
        <f>IF(OR(M58="",$G$1279=0),"",M58/$G$1279*100)</f>
      </c>
      <c r="O58" s="12">
        <v>5</v>
      </c>
      <c r="P58" s="14">
        <f>F58*O58</f>
        <v>2579638.7</v>
      </c>
      <c r="Q58" s="15">
        <f>IF($P$1279=0,0,P58/$P$1279*100)</f>
      </c>
      <c r="R58" s="10" t="str">
        <f>IF(O58=C58,"TETAP",IF(C58=0,"BARU",IF(O58=0,"HAPUS",IF(O58&gt;C58,"TAMBAH","KURANG"))))</f>
        <v>TETAP</v>
      </c>
    </row>
    <row r="59" spans="1:18" x14ac:dyDescent="0.25">
      <c r="A59" s="10" t="s">
        <v>130</v>
      </c>
      <c r="B59" s="20" t="s">
        <v>131</v>
      </c>
      <c r="C59" s="12">
        <v>5</v>
      </c>
      <c r="D59" s="12">
        <v>0</v>
      </c>
      <c r="E59" s="10" t="s">
        <v>32</v>
      </c>
      <c r="F59" s="14">
        <v>714416.71</v>
      </c>
      <c r="G59" s="14">
        <f>F59*C59</f>
        <v>3572083.55</v>
      </c>
      <c r="H59" s="15">
        <f>IF($G$1279=0,0,G59/$G$1279*100)</f>
      </c>
      <c r="I59" s="12" t="str">
        <f>IF(O59-C59&gt;0,O59-C59,"")</f>
        <v/>
      </c>
      <c r="J59" s="14" t="str">
        <f>IF(I59="","",F59*I59)</f>
        <v/>
      </c>
      <c r="K59" s="15">
        <f>IF(OR(J59="",$G$1279=0),"",J59/$G$1279*100)</f>
      </c>
      <c r="L59" s="12" t="str">
        <f>IF(C59-O59&gt;0,C59-O59,"")</f>
        <v/>
      </c>
      <c r="M59" s="14" t="str">
        <f>IF(L59="","",F59*L59)</f>
        <v/>
      </c>
      <c r="N59" s="15">
        <f>IF(OR(M59="",$G$1279=0),"",M59/$G$1279*100)</f>
      </c>
      <c r="O59" s="12">
        <v>5</v>
      </c>
      <c r="P59" s="14">
        <f>F59*O59</f>
        <v>3572083.55</v>
      </c>
      <c r="Q59" s="15">
        <f>IF($P$1279=0,0,P59/$P$1279*100)</f>
      </c>
      <c r="R59" s="10" t="str">
        <f>IF(O59=C59,"TETAP",IF(C59=0,"BARU",IF(O59=0,"HAPUS",IF(O59&gt;C59,"TAMBAH","KURANG"))))</f>
        <v>TETAP</v>
      </c>
    </row>
    <row r="60" spans="1:18" x14ac:dyDescent="0.25">
      <c r="A60" s="5" t="s">
        <v>132</v>
      </c>
      <c r="B60" s="16" t="s">
        <v>133</v>
      </c>
      <c r="C60" s="7"/>
      <c r="D60" s="7"/>
      <c r="E60" s="5"/>
      <c r="F60" s="8"/>
      <c r="G60" s="8"/>
      <c r="H60" s="9"/>
      <c r="I60" s="7"/>
      <c r="J60" s="8"/>
      <c r="K60" s="9"/>
      <c r="L60" s="7"/>
      <c r="M60" s="8"/>
      <c r="N60" s="9"/>
      <c r="O60" s="7"/>
      <c r="P60" s="8"/>
      <c r="Q60" s="9"/>
      <c r="R60" s="5"/>
    </row>
    <row r="61" spans="1:18" x14ac:dyDescent="0.25">
      <c r="A61" s="10" t="s">
        <v>134</v>
      </c>
      <c r="B61" s="20" t="s">
        <v>135</v>
      </c>
      <c r="C61" s="12">
        <v>1</v>
      </c>
      <c r="D61" s="12">
        <v>0</v>
      </c>
      <c r="E61" s="10" t="s">
        <v>58</v>
      </c>
      <c r="F61" s="14">
        <v>4505759.38</v>
      </c>
      <c r="G61" s="14">
        <f>F61*C61</f>
        <v>4505759.38</v>
      </c>
      <c r="H61" s="15">
        <f>IF($G$1279=0,0,G61/$G$1279*100)</f>
      </c>
      <c r="I61" s="12" t="str">
        <f>IF(O61-C61&gt;0,O61-C61,"")</f>
        <v/>
      </c>
      <c r="J61" s="14" t="str">
        <f>IF(I61="","",F61*I61)</f>
        <v/>
      </c>
      <c r="K61" s="15">
        <f>IF(OR(J61="",$G$1279=0),"",J61/$G$1279*100)</f>
      </c>
      <c r="L61" s="12" t="str">
        <f>IF(C61-O61&gt;0,C61-O61,"")</f>
        <v/>
      </c>
      <c r="M61" s="14" t="str">
        <f>IF(L61="","",F61*L61)</f>
        <v/>
      </c>
      <c r="N61" s="15">
        <f>IF(OR(M61="",$G$1279=0),"",M61/$G$1279*100)</f>
      </c>
      <c r="O61" s="12">
        <v>1</v>
      </c>
      <c r="P61" s="14">
        <f>F61*O61</f>
        <v>4505759.38</v>
      </c>
      <c r="Q61" s="15">
        <f>IF($P$1279=0,0,P61/$P$1279*100)</f>
      </c>
      <c r="R61" s="10" t="str">
        <f>IF(O61=C61,"TETAP",IF(C61=0,"BARU",IF(O61=0,"HAPUS",IF(O61&gt;C61,"TAMBAH","KURANG"))))</f>
        <v>TETAP</v>
      </c>
    </row>
    <row r="62" spans="1:18" x14ac:dyDescent="0.25">
      <c r="A62" s="10" t="s">
        <v>136</v>
      </c>
      <c r="B62" s="20" t="s">
        <v>137</v>
      </c>
      <c r="C62" s="12">
        <v>1</v>
      </c>
      <c r="D62" s="12">
        <v>0</v>
      </c>
      <c r="E62" s="10" t="s">
        <v>58</v>
      </c>
      <c r="F62" s="14">
        <v>28000000</v>
      </c>
      <c r="G62" s="14">
        <f>F62*C62</f>
        <v>28000000</v>
      </c>
      <c r="H62" s="15">
        <f>IF($G$1279=0,0,G62/$G$1279*100)</f>
      </c>
      <c r="I62" s="12" t="str">
        <f>IF(O62-C62&gt;0,O62-C62,"")</f>
        <v/>
      </c>
      <c r="J62" s="14" t="str">
        <f>IF(I62="","",F62*I62)</f>
        <v/>
      </c>
      <c r="K62" s="15">
        <f>IF(OR(J62="",$G$1279=0),"",J62/$G$1279*100)</f>
      </c>
      <c r="L62" s="12" t="str">
        <f>IF(C62-O62&gt;0,C62-O62,"")</f>
        <v/>
      </c>
      <c r="M62" s="14" t="str">
        <f>IF(L62="","",F62*L62)</f>
        <v/>
      </c>
      <c r="N62" s="15">
        <f>IF(OR(M62="",$G$1279=0),"",M62/$G$1279*100)</f>
      </c>
      <c r="O62" s="12">
        <v>1</v>
      </c>
      <c r="P62" s="14">
        <f>F62*O62</f>
        <v>28000000</v>
      </c>
      <c r="Q62" s="15">
        <f>IF($P$1279=0,0,P62/$P$1279*100)</f>
      </c>
      <c r="R62" s="10" t="str">
        <f>IF(O62=C62,"TETAP",IF(C62=0,"BARU",IF(O62=0,"HAPUS",IF(O62&gt;C62,"TAMBAH","KURANG"))))</f>
        <v>TETAP</v>
      </c>
    </row>
    <row r="63" spans="1:18" x14ac:dyDescent="0.25">
      <c r="A63" s="5" t="s">
        <v>138</v>
      </c>
      <c r="B63" s="16" t="s">
        <v>139</v>
      </c>
      <c r="C63" s="7"/>
      <c r="D63" s="7"/>
      <c r="E63" s="5"/>
      <c r="F63" s="8"/>
      <c r="G63" s="8"/>
      <c r="H63" s="9"/>
      <c r="I63" s="7"/>
      <c r="J63" s="8"/>
      <c r="K63" s="9"/>
      <c r="L63" s="7"/>
      <c r="M63" s="8"/>
      <c r="N63" s="9"/>
      <c r="O63" s="7"/>
      <c r="P63" s="8"/>
      <c r="Q63" s="9"/>
      <c r="R63" s="5"/>
    </row>
    <row r="64" spans="1:18" x14ac:dyDescent="0.25">
      <c r="A64" s="10" t="s">
        <v>140</v>
      </c>
      <c r="B64" s="20" t="s">
        <v>141</v>
      </c>
      <c r="C64" s="12">
        <v>1</v>
      </c>
      <c r="D64" s="12">
        <v>0</v>
      </c>
      <c r="E64" s="10" t="s">
        <v>58</v>
      </c>
      <c r="F64" s="14">
        <v>2521671.31</v>
      </c>
      <c r="G64" s="14">
        <f>F64*C64</f>
        <v>2521671.31</v>
      </c>
      <c r="H64" s="15">
        <f>IF($G$1279=0,0,G64/$G$1279*100)</f>
      </c>
      <c r="I64" s="12" t="str">
        <f>IF(O64-C64&gt;0,O64-C64,"")</f>
        <v/>
      </c>
      <c r="J64" s="14" t="str">
        <f>IF(I64="","",F64*I64)</f>
        <v/>
      </c>
      <c r="K64" s="15">
        <f>IF(OR(J64="",$G$1279=0),"",J64/$G$1279*100)</f>
      </c>
      <c r="L64" s="12" t="str">
        <f>IF(C64-O64&gt;0,C64-O64,"")</f>
        <v/>
      </c>
      <c r="M64" s="14" t="str">
        <f>IF(L64="","",F64*L64)</f>
        <v/>
      </c>
      <c r="N64" s="15">
        <f>IF(OR(M64="",$G$1279=0),"",M64/$G$1279*100)</f>
      </c>
      <c r="O64" s="12">
        <v>1</v>
      </c>
      <c r="P64" s="14">
        <f>F64*O64</f>
        <v>2521671.31</v>
      </c>
      <c r="Q64" s="15">
        <f>IF($P$1279=0,0,P64/$P$1279*100)</f>
      </c>
      <c r="R64" s="10" t="str">
        <f>IF(O64=C64,"TETAP",IF(C64=0,"BARU",IF(O64=0,"HAPUS",IF(O64&gt;C64,"TAMBAH","KURANG"))))</f>
        <v>TETAP</v>
      </c>
    </row>
    <row r="65" spans="1:18" x14ac:dyDescent="0.25">
      <c r="A65" s="10" t="s">
        <v>142</v>
      </c>
      <c r="B65" s="20" t="s">
        <v>143</v>
      </c>
      <c r="C65" s="12">
        <v>1</v>
      </c>
      <c r="D65" s="12">
        <v>0</v>
      </c>
      <c r="E65" s="10" t="s">
        <v>58</v>
      </c>
      <c r="F65" s="14">
        <v>21000000</v>
      </c>
      <c r="G65" s="14">
        <f>F65*C65</f>
        <v>21000000</v>
      </c>
      <c r="H65" s="15">
        <f>IF($G$1279=0,0,G65/$G$1279*100)</f>
      </c>
      <c r="I65" s="12" t="str">
        <f>IF(O65-C65&gt;0,O65-C65,"")</f>
        <v/>
      </c>
      <c r="J65" s="14" t="str">
        <f>IF(I65="","",F65*I65)</f>
        <v/>
      </c>
      <c r="K65" s="15">
        <f>IF(OR(J65="",$G$1279=0),"",J65/$G$1279*100)</f>
      </c>
      <c r="L65" s="12" t="str">
        <f>IF(C65-O65&gt;0,C65-O65,"")</f>
        <v/>
      </c>
      <c r="M65" s="14" t="str">
        <f>IF(L65="","",F65*L65)</f>
        <v/>
      </c>
      <c r="N65" s="15">
        <f>IF(OR(M65="",$G$1279=0),"",M65/$G$1279*100)</f>
      </c>
      <c r="O65" s="12">
        <v>1</v>
      </c>
      <c r="P65" s="14">
        <f>F65*O65</f>
        <v>21000000</v>
      </c>
      <c r="Q65" s="15">
        <f>IF($P$1279=0,0,P65/$P$1279*100)</f>
      </c>
      <c r="R65" s="10" t="str">
        <f>IF(O65=C65,"TETAP",IF(C65=0,"BARU",IF(O65=0,"HAPUS",IF(O65&gt;C65,"TAMBAH","KURANG"))))</f>
        <v>TETAP</v>
      </c>
    </row>
    <row r="66" spans="1:18" x14ac:dyDescent="0.25">
      <c r="A66" s="5" t="s">
        <v>144</v>
      </c>
      <c r="B66" s="16" t="s">
        <v>145</v>
      </c>
      <c r="C66" s="7"/>
      <c r="D66" s="7"/>
      <c r="E66" s="5"/>
      <c r="F66" s="8"/>
      <c r="G66" s="8"/>
      <c r="H66" s="9"/>
      <c r="I66" s="7"/>
      <c r="J66" s="8"/>
      <c r="K66" s="9"/>
      <c r="L66" s="7"/>
      <c r="M66" s="8"/>
      <c r="N66" s="9"/>
      <c r="O66" s="7"/>
      <c r="P66" s="8"/>
      <c r="Q66" s="9"/>
      <c r="R66" s="5"/>
    </row>
    <row r="67" spans="1:18" x14ac:dyDescent="0.25">
      <c r="A67" s="10" t="s">
        <v>146</v>
      </c>
      <c r="B67" s="20" t="s">
        <v>147</v>
      </c>
      <c r="C67" s="12">
        <v>1</v>
      </c>
      <c r="D67" s="12">
        <v>0</v>
      </c>
      <c r="E67" s="10" t="s">
        <v>58</v>
      </c>
      <c r="F67" s="14">
        <v>1483500</v>
      </c>
      <c r="G67" s="14">
        <f>F67*C67</f>
        <v>1483500</v>
      </c>
      <c r="H67" s="15">
        <f>IF($G$1279=0,0,G67/$G$1279*100)</f>
      </c>
      <c r="I67" s="12" t="str">
        <f>IF(O67-C67&gt;0,O67-C67,"")</f>
        <v/>
      </c>
      <c r="J67" s="14" t="str">
        <f>IF(I67="","",F67*I67)</f>
        <v/>
      </c>
      <c r="K67" s="15">
        <f>IF(OR(J67="",$G$1279=0),"",J67/$G$1279*100)</f>
      </c>
      <c r="L67" s="12" t="str">
        <f>IF(C67-O67&gt;0,C67-O67,"")</f>
        <v/>
      </c>
      <c r="M67" s="14" t="str">
        <f>IF(L67="","",F67*L67)</f>
        <v/>
      </c>
      <c r="N67" s="15">
        <f>IF(OR(M67="",$G$1279=0),"",M67/$G$1279*100)</f>
      </c>
      <c r="O67" s="12">
        <v>1</v>
      </c>
      <c r="P67" s="14">
        <f>F67*O67</f>
        <v>1483500</v>
      </c>
      <c r="Q67" s="15">
        <f>IF($P$1279=0,0,P67/$P$1279*100)</f>
      </c>
      <c r="R67" s="10" t="str">
        <f>IF(O67=C67,"TETAP",IF(C67=0,"BARU",IF(O67=0,"HAPUS",IF(O67&gt;C67,"TAMBAH","KURANG"))))</f>
        <v>TETAP</v>
      </c>
    </row>
    <row r="68" spans="1:18" x14ac:dyDescent="0.25">
      <c r="A68" s="10" t="s">
        <v>148</v>
      </c>
      <c r="B68" s="20" t="s">
        <v>149</v>
      </c>
      <c r="C68" s="12">
        <v>1</v>
      </c>
      <c r="D68" s="12">
        <v>0</v>
      </c>
      <c r="E68" s="10" t="s">
        <v>58</v>
      </c>
      <c r="F68" s="14">
        <v>10000000</v>
      </c>
      <c r="G68" s="14">
        <f>F68*C68</f>
        <v>10000000</v>
      </c>
      <c r="H68" s="15">
        <f>IF($G$1279=0,0,G68/$G$1279*100)</f>
      </c>
      <c r="I68" s="12" t="str">
        <f>IF(O68-C68&gt;0,O68-C68,"")</f>
        <v/>
      </c>
      <c r="J68" s="14" t="str">
        <f>IF(I68="","",F68*I68)</f>
        <v/>
      </c>
      <c r="K68" s="15">
        <f>IF(OR(J68="",$G$1279=0),"",J68/$G$1279*100)</f>
      </c>
      <c r="L68" s="12" t="str">
        <f>IF(C68-O68&gt;0,C68-O68,"")</f>
        <v/>
      </c>
      <c r="M68" s="14" t="str">
        <f>IF(L68="","",F68*L68)</f>
        <v/>
      </c>
      <c r="N68" s="15">
        <f>IF(OR(M68="",$G$1279=0),"",M68/$G$1279*100)</f>
      </c>
      <c r="O68" s="12">
        <v>1</v>
      </c>
      <c r="P68" s="14">
        <f>F68*O68</f>
        <v>10000000</v>
      </c>
      <c r="Q68" s="15">
        <f>IF($P$1279=0,0,P68/$P$1279*100)</f>
      </c>
      <c r="R68" s="10" t="str">
        <f>IF(O68=C68,"TETAP",IF(C68=0,"BARU",IF(O68=0,"HAPUS",IF(O68&gt;C68,"TAMBAH","KURANG"))))</f>
        <v>TETAP</v>
      </c>
    </row>
    <row r="69" spans="1:18" x14ac:dyDescent="0.25">
      <c r="A69" s="10" t="s">
        <v>150</v>
      </c>
      <c r="B69" s="11" t="s">
        <v>151</v>
      </c>
      <c r="C69" s="12">
        <v>1</v>
      </c>
      <c r="D69" s="12">
        <v>0</v>
      </c>
      <c r="E69" s="10" t="s">
        <v>119</v>
      </c>
      <c r="F69" s="14">
        <v>17000000</v>
      </c>
      <c r="G69" s="14">
        <f>F69*C69</f>
        <v>17000000</v>
      </c>
      <c r="H69" s="15">
        <f>IF($G$1279=0,0,G69/$G$1279*100)</f>
      </c>
      <c r="I69" s="12" t="str">
        <f>IF(O69-C69&gt;0,O69-C69,"")</f>
        <v/>
      </c>
      <c r="J69" s="14" t="str">
        <f>IF(I69="","",F69*I69)</f>
        <v/>
      </c>
      <c r="K69" s="15">
        <f>IF(OR(J69="",$G$1279=0),"",J69/$G$1279*100)</f>
      </c>
      <c r="L69" s="12" t="str">
        <f>IF(C69-O69&gt;0,C69-O69,"")</f>
        <v/>
      </c>
      <c r="M69" s="14" t="str">
        <f>IF(L69="","",F69*L69)</f>
        <v/>
      </c>
      <c r="N69" s="15">
        <f>IF(OR(M69="",$G$1279=0),"",M69/$G$1279*100)</f>
      </c>
      <c r="O69" s="12">
        <v>1</v>
      </c>
      <c r="P69" s="14">
        <f>F69*O69</f>
        <v>17000000</v>
      </c>
      <c r="Q69" s="15">
        <f>IF($P$1279=0,0,P69/$P$1279*100)</f>
      </c>
      <c r="R69" s="10" t="str">
        <f>IF(O69=C69,"TETAP",IF(C69=0,"BARU",IF(O69=0,"HAPUS",IF(O69&gt;C69,"TAMBAH","KURANG"))))</f>
        <v>TETAP</v>
      </c>
    </row>
    <row r="70" spans="1:18" x14ac:dyDescent="0.25">
      <c r="A70" s="10" t="s">
        <v>152</v>
      </c>
      <c r="B70" s="11" t="s">
        <v>153</v>
      </c>
      <c r="C70" s="12">
        <v>3</v>
      </c>
      <c r="D70" s="12">
        <v>0</v>
      </c>
      <c r="E70" s="10" t="s">
        <v>119</v>
      </c>
      <c r="F70" s="14">
        <v>5919860.25</v>
      </c>
      <c r="G70" s="14">
        <f>F70*C70</f>
        <v>17759580.75</v>
      </c>
      <c r="H70" s="15">
        <f>IF($G$1279=0,0,G70/$G$1279*100)</f>
      </c>
      <c r="I70" s="12" t="str">
        <f>IF(O70-C70&gt;0,O70-C70,"")</f>
        <v/>
      </c>
      <c r="J70" s="14" t="str">
        <f>IF(I70="","",F70*I70)</f>
        <v/>
      </c>
      <c r="K70" s="15">
        <f>IF(OR(J70="",$G$1279=0),"",J70/$G$1279*100)</f>
      </c>
      <c r="L70" s="12" t="str">
        <f>IF(C70-O70&gt;0,C70-O70,"")</f>
        <v/>
      </c>
      <c r="M70" s="14" t="str">
        <f>IF(L70="","",F70*L70)</f>
        <v/>
      </c>
      <c r="N70" s="15">
        <f>IF(OR(M70="",$G$1279=0),"",M70/$G$1279*100)</f>
      </c>
      <c r="O70" s="12">
        <v>3</v>
      </c>
      <c r="P70" s="14">
        <f>F70*O70</f>
        <v>17759580.75</v>
      </c>
      <c r="Q70" s="15">
        <f>IF($P$1279=0,0,P70/$P$1279*100)</f>
      </c>
      <c r="R70" s="10" t="str">
        <f>IF(O70=C70,"TETAP",IF(C70=0,"BARU",IF(O70=0,"HAPUS",IF(O70&gt;C70,"TAMBAH","KURANG"))))</f>
        <v>TETAP</v>
      </c>
    </row>
    <row r="71" spans="1:18" x14ac:dyDescent="0.25">
      <c r="A71" s="5" t="s">
        <v>154</v>
      </c>
      <c r="B71" s="6" t="s">
        <v>155</v>
      </c>
      <c r="C71" s="7"/>
      <c r="D71" s="7"/>
      <c r="E71" s="5"/>
      <c r="F71" s="8"/>
      <c r="G71" s="8"/>
      <c r="H71" s="9"/>
      <c r="I71" s="7"/>
      <c r="J71" s="8"/>
      <c r="K71" s="9"/>
      <c r="L71" s="7"/>
      <c r="M71" s="8"/>
      <c r="N71" s="9"/>
      <c r="O71" s="7"/>
      <c r="P71" s="8"/>
      <c r="Q71" s="9"/>
      <c r="R71" s="5"/>
    </row>
    <row r="72" spans="1:18" x14ac:dyDescent="0.25">
      <c r="A72" s="5" t="s">
        <v>24</v>
      </c>
      <c r="B72" s="16" t="s">
        <v>156</v>
      </c>
      <c r="C72" s="7"/>
      <c r="D72" s="7"/>
      <c r="E72" s="5"/>
      <c r="F72" s="8"/>
      <c r="G72" s="8"/>
      <c r="H72" s="9"/>
      <c r="I72" s="7"/>
      <c r="J72" s="8"/>
      <c r="K72" s="9"/>
      <c r="L72" s="7"/>
      <c r="M72" s="8"/>
      <c r="N72" s="9"/>
      <c r="O72" s="7"/>
      <c r="P72" s="8"/>
      <c r="Q72" s="9"/>
      <c r="R72" s="5"/>
    </row>
    <row r="73" spans="1:18" x14ac:dyDescent="0.25">
      <c r="A73" s="10" t="s">
        <v>157</v>
      </c>
      <c r="B73" s="20" t="s">
        <v>158</v>
      </c>
      <c r="C73" s="12">
        <v>32.63</v>
      </c>
      <c r="D73" s="12">
        <v>0</v>
      </c>
      <c r="E73" s="10" t="s">
        <v>159</v>
      </c>
      <c r="F73" s="14">
        <v>48730.7</v>
      </c>
      <c r="G73" s="14">
        <f>F73*C73</f>
        <v>1590082.741</v>
      </c>
      <c r="H73" s="15">
        <f>IF($G$1279=0,0,G73/$G$1279*100)</f>
      </c>
      <c r="I73" s="12" t="str">
        <f>IF(O73-C73&gt;0,O73-C73,"")</f>
        <v/>
      </c>
      <c r="J73" s="14" t="str">
        <f>IF(I73="","",F73*I73)</f>
        <v/>
      </c>
      <c r="K73" s="15">
        <f>IF(OR(J73="",$G$1279=0),"",J73/$G$1279*100)</f>
      </c>
      <c r="L73" s="12" t="str">
        <f>IF(C73-O73&gt;0,C73-O73,"")</f>
        <v/>
      </c>
      <c r="M73" s="14" t="str">
        <f>IF(L73="","",F73*L73)</f>
        <v/>
      </c>
      <c r="N73" s="15">
        <f>IF(OR(M73="",$G$1279=0),"",M73/$G$1279*100)</f>
      </c>
      <c r="O73" s="12">
        <v>32.63</v>
      </c>
      <c r="P73" s="14">
        <f>F73*O73</f>
        <v>1590082.741</v>
      </c>
      <c r="Q73" s="15">
        <f>IF($P$1279=0,0,P73/$P$1279*100)</f>
      </c>
      <c r="R73" s="10" t="str">
        <f>IF(O73=C73,"TETAP",IF(C73=0,"BARU",IF(O73=0,"HAPUS",IF(O73&gt;C73,"TAMBAH","KURANG"))))</f>
        <v>TETAP</v>
      </c>
    </row>
    <row r="74" spans="1:18" x14ac:dyDescent="0.25">
      <c r="A74" s="10" t="s">
        <v>160</v>
      </c>
      <c r="B74" s="20" t="s">
        <v>161</v>
      </c>
      <c r="C74" s="12">
        <v>32.63</v>
      </c>
      <c r="D74" s="12">
        <v>0</v>
      </c>
      <c r="E74" s="10" t="s">
        <v>159</v>
      </c>
      <c r="F74" s="14">
        <v>840738.64</v>
      </c>
      <c r="G74" s="14">
        <f>F74*C74</f>
        <v>27433301.823200002</v>
      </c>
      <c r="H74" s="15">
        <f>IF($G$1279=0,0,G74/$G$1279*100)</f>
      </c>
      <c r="I74" s="12" t="str">
        <f>IF(O74-C74&gt;0,O74-C74,"")</f>
        <v/>
      </c>
      <c r="J74" s="14" t="str">
        <f>IF(I74="","",F74*I74)</f>
        <v/>
      </c>
      <c r="K74" s="15">
        <f>IF(OR(J74="",$G$1279=0),"",J74/$G$1279*100)</f>
      </c>
      <c r="L74" s="12" t="str">
        <f>IF(C74-O74&gt;0,C74-O74,"")</f>
        <v/>
      </c>
      <c r="M74" s="14" t="str">
        <f>IF(L74="","",F74*L74)</f>
        <v/>
      </c>
      <c r="N74" s="15">
        <f>IF(OR(M74="",$G$1279=0),"",M74/$G$1279*100)</f>
      </c>
      <c r="O74" s="12">
        <v>32.63</v>
      </c>
      <c r="P74" s="14">
        <f>F74*O74</f>
        <v>27433301.823200002</v>
      </c>
      <c r="Q74" s="15">
        <f>IF($P$1279=0,0,P74/$P$1279*100)</f>
      </c>
      <c r="R74" s="10" t="str">
        <f>IF(O74=C74,"TETAP",IF(C74=0,"BARU",IF(O74=0,"HAPUS",IF(O74&gt;C74,"TAMBAH","KURANG"))))</f>
        <v>TETAP</v>
      </c>
    </row>
    <row r="75" spans="1:18" x14ac:dyDescent="0.25">
      <c r="A75" s="10" t="s">
        <v>162</v>
      </c>
      <c r="B75" s="20" t="s">
        <v>163</v>
      </c>
      <c r="C75" s="12">
        <v>71.92</v>
      </c>
      <c r="D75" s="12">
        <v>0</v>
      </c>
      <c r="E75" s="10" t="s">
        <v>159</v>
      </c>
      <c r="F75" s="14">
        <v>1450889.25</v>
      </c>
      <c r="G75" s="14">
        <f>F75*C75</f>
        <v>104347954.86</v>
      </c>
      <c r="H75" s="15">
        <f>IF($G$1279=0,0,G75/$G$1279*100)</f>
      </c>
      <c r="I75" s="12" t="str">
        <f>IF(O75-C75&gt;0,O75-C75,"")</f>
        <v/>
      </c>
      <c r="J75" s="14" t="str">
        <f>IF(I75="","",F75*I75)</f>
        <v/>
      </c>
      <c r="K75" s="15">
        <f>IF(OR(J75="",$G$1279=0),"",J75/$G$1279*100)</f>
      </c>
      <c r="L75" s="12" t="str">
        <f>IF(C75-O75&gt;0,C75-O75,"")</f>
        <v/>
      </c>
      <c r="M75" s="14" t="str">
        <f>IF(L75="","",F75*L75)</f>
        <v/>
      </c>
      <c r="N75" s="15">
        <f>IF(OR(M75="",$G$1279=0),"",M75/$G$1279*100)</f>
      </c>
      <c r="O75" s="12">
        <v>71.92</v>
      </c>
      <c r="P75" s="14">
        <f>F75*O75</f>
        <v>104347954.86</v>
      </c>
      <c r="Q75" s="15">
        <f>IF($P$1279=0,0,P75/$P$1279*100)</f>
      </c>
      <c r="R75" s="10" t="str">
        <f>IF(O75=C75,"TETAP",IF(C75=0,"BARU",IF(O75=0,"HAPUS",IF(O75&gt;C75,"TAMBAH","KURANG"))))</f>
        <v>TETAP</v>
      </c>
    </row>
    <row r="76" spans="1:18" x14ac:dyDescent="0.25">
      <c r="A76" s="5" t="s">
        <v>27</v>
      </c>
      <c r="B76" s="16" t="s">
        <v>164</v>
      </c>
      <c r="C76" s="7"/>
      <c r="D76" s="7"/>
      <c r="E76" s="5"/>
      <c r="F76" s="8"/>
      <c r="G76" s="8"/>
      <c r="H76" s="9"/>
      <c r="I76" s="7"/>
      <c r="J76" s="8"/>
      <c r="K76" s="9"/>
      <c r="L76" s="7"/>
      <c r="M76" s="8"/>
      <c r="N76" s="9"/>
      <c r="O76" s="7"/>
      <c r="P76" s="8"/>
      <c r="Q76" s="9"/>
      <c r="R76" s="5"/>
    </row>
    <row r="77" spans="1:18" x14ac:dyDescent="0.25">
      <c r="A77" s="10" t="s">
        <v>165</v>
      </c>
      <c r="B77" s="20" t="s">
        <v>166</v>
      </c>
      <c r="C77" s="12">
        <v>36</v>
      </c>
      <c r="D77" s="12">
        <v>0</v>
      </c>
      <c r="E77" s="10" t="s">
        <v>26</v>
      </c>
      <c r="F77" s="14">
        <v>229882.89</v>
      </c>
      <c r="G77" s="14">
        <f>F77*C77</f>
        <v>8275784.040000001</v>
      </c>
      <c r="H77" s="15">
        <f>IF($G$1279=0,0,G77/$G$1279*100)</f>
      </c>
      <c r="I77" s="12" t="str">
        <f>IF(O77-C77&gt;0,O77-C77,"")</f>
        <v/>
      </c>
      <c r="J77" s="14" t="str">
        <f>IF(I77="","",F77*I77)</f>
        <v/>
      </c>
      <c r="K77" s="15">
        <f>IF(OR(J77="",$G$1279=0),"",J77/$G$1279*100)</f>
      </c>
      <c r="L77" s="12" t="str">
        <f>IF(C77-O77&gt;0,C77-O77,"")</f>
        <v/>
      </c>
      <c r="M77" s="14" t="str">
        <f>IF(L77="","",F77*L77)</f>
        <v/>
      </c>
      <c r="N77" s="15">
        <f>IF(OR(M77="",$G$1279=0),"",M77/$G$1279*100)</f>
      </c>
      <c r="O77" s="12">
        <v>36</v>
      </c>
      <c r="P77" s="14">
        <f>F77*O77</f>
        <v>8275784.040000001</v>
      </c>
      <c r="Q77" s="15">
        <f>IF($P$1279=0,0,P77/$P$1279*100)</f>
      </c>
      <c r="R77" s="10" t="str">
        <f>IF(O77=C77,"TETAP",IF(C77=0,"BARU",IF(O77=0,"HAPUS",IF(O77&gt;C77,"TAMBAH","KURANG"))))</f>
        <v>TETAP</v>
      </c>
    </row>
    <row r="78" spans="1:18" x14ac:dyDescent="0.25">
      <c r="A78" s="10" t="s">
        <v>167</v>
      </c>
      <c r="B78" s="20" t="s">
        <v>168</v>
      </c>
      <c r="C78" s="12">
        <v>634.51</v>
      </c>
      <c r="D78" s="12">
        <v>0</v>
      </c>
      <c r="E78" s="10" t="s">
        <v>169</v>
      </c>
      <c r="F78" s="14">
        <v>28927.25</v>
      </c>
      <c r="G78" s="14">
        <f>F78*C78</f>
        <v>18354629.3975</v>
      </c>
      <c r="H78" s="15">
        <f>IF($G$1279=0,0,G78/$G$1279*100)</f>
      </c>
      <c r="I78" s="12" t="str">
        <f>IF(O78-C78&gt;0,O78-C78,"")</f>
        <v/>
      </c>
      <c r="J78" s="14" t="str">
        <f>IF(I78="","",F78*I78)</f>
        <v/>
      </c>
      <c r="K78" s="15">
        <f>IF(OR(J78="",$G$1279=0),"",J78/$G$1279*100)</f>
      </c>
      <c r="L78" s="12" t="str">
        <f>IF(C78-O78&gt;0,C78-O78,"")</f>
        <v/>
      </c>
      <c r="M78" s="14" t="str">
        <f>IF(L78="","",F78*L78)</f>
        <v/>
      </c>
      <c r="N78" s="15">
        <f>IF(OR(M78="",$G$1279=0),"",M78/$G$1279*100)</f>
      </c>
      <c r="O78" s="12">
        <v>634.51</v>
      </c>
      <c r="P78" s="14">
        <f>F78*O78</f>
        <v>18354629.3975</v>
      </c>
      <c r="Q78" s="15">
        <f>IF($P$1279=0,0,P78/$P$1279*100)</f>
      </c>
      <c r="R78" s="10" t="str">
        <f>IF(O78=C78,"TETAP",IF(C78=0,"BARU",IF(O78=0,"HAPUS",IF(O78&gt;C78,"TAMBAH","KURANG"))))</f>
        <v>TETAP</v>
      </c>
    </row>
    <row r="79" spans="1:18" x14ac:dyDescent="0.25">
      <c r="A79" s="10" t="s">
        <v>170</v>
      </c>
      <c r="B79" s="20" t="s">
        <v>171</v>
      </c>
      <c r="C79" s="12">
        <v>358.8</v>
      </c>
      <c r="D79" s="12">
        <v>0</v>
      </c>
      <c r="E79" s="10" t="s">
        <v>169</v>
      </c>
      <c r="F79" s="14">
        <v>19252.39</v>
      </c>
      <c r="G79" s="14">
        <f>F79*C79</f>
        <v>6907757.532</v>
      </c>
      <c r="H79" s="15">
        <f>IF($G$1279=0,0,G79/$G$1279*100)</f>
      </c>
      <c r="I79" s="12" t="str">
        <f>IF(O79-C79&gt;0,O79-C79,"")</f>
        <v/>
      </c>
      <c r="J79" s="14" t="str">
        <f>IF(I79="","",F79*I79)</f>
        <v/>
      </c>
      <c r="K79" s="15">
        <f>IF(OR(J79="",$G$1279=0),"",J79/$G$1279*100)</f>
      </c>
      <c r="L79" s="12" t="str">
        <f>IF(C79-O79&gt;0,C79-O79,"")</f>
        <v/>
      </c>
      <c r="M79" s="14" t="str">
        <f>IF(L79="","",F79*L79)</f>
        <v/>
      </c>
      <c r="N79" s="15">
        <f>IF(OR(M79="",$G$1279=0),"",M79/$G$1279*100)</f>
      </c>
      <c r="O79" s="12">
        <v>358.8</v>
      </c>
      <c r="P79" s="14">
        <f>F79*O79</f>
        <v>6907757.532</v>
      </c>
      <c r="Q79" s="15">
        <f>IF($P$1279=0,0,P79/$P$1279*100)</f>
      </c>
      <c r="R79" s="10" t="str">
        <f>IF(O79=C79,"TETAP",IF(C79=0,"BARU",IF(O79=0,"HAPUS",IF(O79&gt;C79,"TAMBAH","KURANG"))))</f>
        <v>TETAP</v>
      </c>
    </row>
    <row r="80" spans="1:18" x14ac:dyDescent="0.25">
      <c r="A80" s="10" t="s">
        <v>172</v>
      </c>
      <c r="B80" s="20" t="s">
        <v>173</v>
      </c>
      <c r="C80" s="12">
        <v>8.7</v>
      </c>
      <c r="D80" s="12">
        <v>0</v>
      </c>
      <c r="E80" s="10" t="s">
        <v>159</v>
      </c>
      <c r="F80" s="14">
        <v>1504340.14</v>
      </c>
      <c r="G80" s="14">
        <f>F80*C80</f>
        <v>13087759.217999998</v>
      </c>
      <c r="H80" s="15">
        <f>IF($G$1279=0,0,G80/$G$1279*100)</f>
      </c>
      <c r="I80" s="12" t="str">
        <f>IF(O80-C80&gt;0,O80-C80,"")</f>
        <v/>
      </c>
      <c r="J80" s="14" t="str">
        <f>IF(I80="","",F80*I80)</f>
        <v/>
      </c>
      <c r="K80" s="15">
        <f>IF(OR(J80="",$G$1279=0),"",J80/$G$1279*100)</f>
      </c>
      <c r="L80" s="12" t="str">
        <f>IF(C80-O80&gt;0,C80-O80,"")</f>
        <v/>
      </c>
      <c r="M80" s="14" t="str">
        <f>IF(L80="","",F80*L80)</f>
        <v/>
      </c>
      <c r="N80" s="15">
        <f>IF(OR(M80="",$G$1279=0),"",M80/$G$1279*100)</f>
      </c>
      <c r="O80" s="12">
        <v>8.7</v>
      </c>
      <c r="P80" s="14">
        <f>F80*O80</f>
        <v>13087759.217999998</v>
      </c>
      <c r="Q80" s="15">
        <f>IF($P$1279=0,0,P80/$P$1279*100)</f>
      </c>
      <c r="R80" s="10" t="str">
        <f>IF(O80=C80,"TETAP",IF(C80=0,"BARU",IF(O80=0,"HAPUS",IF(O80&gt;C80,"TAMBAH","KURANG"))))</f>
        <v>TETAP</v>
      </c>
    </row>
    <row r="81" spans="1:18" x14ac:dyDescent="0.25">
      <c r="A81" s="5" t="s">
        <v>30</v>
      </c>
      <c r="B81" s="16" t="s">
        <v>174</v>
      </c>
      <c r="C81" s="7"/>
      <c r="D81" s="7"/>
      <c r="E81" s="5"/>
      <c r="F81" s="8"/>
      <c r="G81" s="8"/>
      <c r="H81" s="9"/>
      <c r="I81" s="7"/>
      <c r="J81" s="8"/>
      <c r="K81" s="9"/>
      <c r="L81" s="7"/>
      <c r="M81" s="8"/>
      <c r="N81" s="9"/>
      <c r="O81" s="7"/>
      <c r="P81" s="8"/>
      <c r="Q81" s="9"/>
      <c r="R81" s="5"/>
    </row>
    <row r="82" spans="1:18" x14ac:dyDescent="0.25">
      <c r="A82" s="10" t="s">
        <v>175</v>
      </c>
      <c r="B82" s="20" t="s">
        <v>166</v>
      </c>
      <c r="C82" s="12">
        <v>3</v>
      </c>
      <c r="D82" s="12">
        <v>0</v>
      </c>
      <c r="E82" s="10" t="s">
        <v>26</v>
      </c>
      <c r="F82" s="14">
        <v>229882.89</v>
      </c>
      <c r="G82" s="14">
        <f>F82*C82</f>
        <v>689648.67</v>
      </c>
      <c r="H82" s="15">
        <f>IF($G$1279=0,0,G82/$G$1279*100)</f>
      </c>
      <c r="I82" s="12" t="str">
        <f>IF(O82-C82&gt;0,O82-C82,"")</f>
        <v/>
      </c>
      <c r="J82" s="14" t="str">
        <f>IF(I82="","",F82*I82)</f>
        <v/>
      </c>
      <c r="K82" s="15">
        <f>IF(OR(J82="",$G$1279=0),"",J82/$G$1279*100)</f>
      </c>
      <c r="L82" s="12" t="str">
        <f>IF(C82-O82&gt;0,C82-O82,"")</f>
        <v/>
      </c>
      <c r="M82" s="14" t="str">
        <f>IF(L82="","",F82*L82)</f>
        <v/>
      </c>
      <c r="N82" s="15">
        <f>IF(OR(M82="",$G$1279=0),"",M82/$G$1279*100)</f>
      </c>
      <c r="O82" s="12">
        <v>3</v>
      </c>
      <c r="P82" s="14">
        <f>F82*O82</f>
        <v>689648.67</v>
      </c>
      <c r="Q82" s="15">
        <f>IF($P$1279=0,0,P82/$P$1279*100)</f>
      </c>
      <c r="R82" s="10" t="str">
        <f>IF(O82=C82,"TETAP",IF(C82=0,"BARU",IF(O82=0,"HAPUS",IF(O82&gt;C82,"TAMBAH","KURANG"))))</f>
        <v>TETAP</v>
      </c>
    </row>
    <row r="83" spans="1:18" x14ac:dyDescent="0.25">
      <c r="A83" s="10" t="s">
        <v>176</v>
      </c>
      <c r="B83" s="20" t="s">
        <v>177</v>
      </c>
      <c r="C83" s="12">
        <v>70.85</v>
      </c>
      <c r="D83" s="12">
        <v>0</v>
      </c>
      <c r="E83" s="10" t="s">
        <v>169</v>
      </c>
      <c r="F83" s="14">
        <v>28927.25</v>
      </c>
      <c r="G83" s="14">
        <f>F83*C83</f>
        <v>2049495.6624999999</v>
      </c>
      <c r="H83" s="15">
        <f>IF($G$1279=0,0,G83/$G$1279*100)</f>
      </c>
      <c r="I83" s="12" t="str">
        <f>IF(O83-C83&gt;0,O83-C83,"")</f>
        <v/>
      </c>
      <c r="J83" s="14" t="str">
        <f>IF(I83="","",F83*I83)</f>
        <v/>
      </c>
      <c r="K83" s="15">
        <f>IF(OR(J83="",$G$1279=0),"",J83/$G$1279*100)</f>
      </c>
      <c r="L83" s="12" t="str">
        <f>IF(C83-O83&gt;0,C83-O83,"")</f>
        <v/>
      </c>
      <c r="M83" s="14" t="str">
        <f>IF(L83="","",F83*L83)</f>
        <v/>
      </c>
      <c r="N83" s="15">
        <f>IF(OR(M83="",$G$1279=0),"",M83/$G$1279*100)</f>
      </c>
      <c r="O83" s="12">
        <v>70.85</v>
      </c>
      <c r="P83" s="14">
        <f>F83*O83</f>
        <v>2049495.6624999999</v>
      </c>
      <c r="Q83" s="15">
        <f>IF($P$1279=0,0,P83/$P$1279*100)</f>
      </c>
      <c r="R83" s="10" t="str">
        <f>IF(O83=C83,"TETAP",IF(C83=0,"BARU",IF(O83=0,"HAPUS",IF(O83&gt;C83,"TAMBAH","KURANG"))))</f>
        <v>TETAP</v>
      </c>
    </row>
    <row r="84" spans="1:18" x14ac:dyDescent="0.25">
      <c r="A84" s="10" t="s">
        <v>178</v>
      </c>
      <c r="B84" s="20" t="s">
        <v>179</v>
      </c>
      <c r="C84" s="12">
        <v>21.58</v>
      </c>
      <c r="D84" s="12">
        <v>0</v>
      </c>
      <c r="E84" s="10" t="s">
        <v>169</v>
      </c>
      <c r="F84" s="14">
        <v>19252.39</v>
      </c>
      <c r="G84" s="14">
        <f>F84*C84</f>
        <v>415466.57619999995</v>
      </c>
      <c r="H84" s="15">
        <f>IF($G$1279=0,0,G84/$G$1279*100)</f>
      </c>
      <c r="I84" s="12" t="str">
        <f>IF(O84-C84&gt;0,O84-C84,"")</f>
        <v/>
      </c>
      <c r="J84" s="14" t="str">
        <f>IF(I84="","",F84*I84)</f>
        <v/>
      </c>
      <c r="K84" s="15">
        <f>IF(OR(J84="",$G$1279=0),"",J84/$G$1279*100)</f>
      </c>
      <c r="L84" s="12" t="str">
        <f>IF(C84-O84&gt;0,C84-O84,"")</f>
        <v/>
      </c>
      <c r="M84" s="14" t="str">
        <f>IF(L84="","",F84*L84)</f>
        <v/>
      </c>
      <c r="N84" s="15">
        <f>IF(OR(M84="",$G$1279=0),"",M84/$G$1279*100)</f>
      </c>
      <c r="O84" s="12">
        <v>21.58</v>
      </c>
      <c r="P84" s="14">
        <f>F84*O84</f>
        <v>415466.57619999995</v>
      </c>
      <c r="Q84" s="15">
        <f>IF($P$1279=0,0,P84/$P$1279*100)</f>
      </c>
      <c r="R84" s="10" t="str">
        <f>IF(O84=C84,"TETAP",IF(C84=0,"BARU",IF(O84=0,"HAPUS",IF(O84&gt;C84,"TAMBAH","KURANG"))))</f>
        <v>TETAP</v>
      </c>
    </row>
    <row r="85" spans="1:18" x14ac:dyDescent="0.25">
      <c r="A85" s="10" t="s">
        <v>180</v>
      </c>
      <c r="B85" s="20" t="s">
        <v>173</v>
      </c>
      <c r="C85" s="12">
        <v>0.45</v>
      </c>
      <c r="D85" s="12">
        <v>0</v>
      </c>
      <c r="E85" s="10" t="s">
        <v>159</v>
      </c>
      <c r="F85" s="14">
        <v>1504340.14</v>
      </c>
      <c r="G85" s="14">
        <f>F85*C85</f>
        <v>676953.063</v>
      </c>
      <c r="H85" s="15">
        <f>IF($G$1279=0,0,G85/$G$1279*100)</f>
      </c>
      <c r="I85" s="12" t="str">
        <f>IF(O85-C85&gt;0,O85-C85,"")</f>
        <v/>
      </c>
      <c r="J85" s="14" t="str">
        <f>IF(I85="","",F85*I85)</f>
        <v/>
      </c>
      <c r="K85" s="15">
        <f>IF(OR(J85="",$G$1279=0),"",J85/$G$1279*100)</f>
      </c>
      <c r="L85" s="12" t="str">
        <f>IF(C85-O85&gt;0,C85-O85,"")</f>
        <v/>
      </c>
      <c r="M85" s="14" t="str">
        <f>IF(L85="","",F85*L85)</f>
        <v/>
      </c>
      <c r="N85" s="15">
        <f>IF(OR(M85="",$G$1279=0),"",M85/$G$1279*100)</f>
      </c>
      <c r="O85" s="12">
        <v>0.45</v>
      </c>
      <c r="P85" s="14">
        <f>F85*O85</f>
        <v>676953.063</v>
      </c>
      <c r="Q85" s="15">
        <f>IF($P$1279=0,0,P85/$P$1279*100)</f>
      </c>
      <c r="R85" s="10" t="str">
        <f>IF(O85=C85,"TETAP",IF(C85=0,"BARU",IF(O85=0,"HAPUS",IF(O85&gt;C85,"TAMBAH","KURANG"))))</f>
        <v>TETAP</v>
      </c>
    </row>
    <row r="86" spans="1:18" x14ac:dyDescent="0.25">
      <c r="A86" s="10" t="s">
        <v>181</v>
      </c>
      <c r="B86" s="20" t="s">
        <v>182</v>
      </c>
      <c r="C86" s="12">
        <v>3.87</v>
      </c>
      <c r="D86" s="12">
        <v>0</v>
      </c>
      <c r="E86" s="10" t="s">
        <v>26</v>
      </c>
      <c r="F86" s="14">
        <v>44344.2</v>
      </c>
      <c r="G86" s="14">
        <f>F86*C86</f>
        <v>171612.054</v>
      </c>
      <c r="H86" s="15">
        <f>IF($G$1279=0,0,G86/$G$1279*100)</f>
      </c>
      <c r="I86" s="12" t="str">
        <f>IF(O86-C86&gt;0,O86-C86,"")</f>
        <v/>
      </c>
      <c r="J86" s="14" t="str">
        <f>IF(I86="","",F86*I86)</f>
        <v/>
      </c>
      <c r="K86" s="15">
        <f>IF(OR(J86="",$G$1279=0),"",J86/$G$1279*100)</f>
      </c>
      <c r="L86" s="12" t="str">
        <f>IF(C86-O86&gt;0,C86-O86,"")</f>
        <v/>
      </c>
      <c r="M86" s="14" t="str">
        <f>IF(L86="","",F86*L86)</f>
        <v/>
      </c>
      <c r="N86" s="15">
        <f>IF(OR(M86="",$G$1279=0),"",M86/$G$1279*100)</f>
      </c>
      <c r="O86" s="12">
        <v>3.87</v>
      </c>
      <c r="P86" s="14">
        <f>F86*O86</f>
        <v>171612.054</v>
      </c>
      <c r="Q86" s="15">
        <f>IF($P$1279=0,0,P86/$P$1279*100)</f>
      </c>
      <c r="R86" s="10" t="str">
        <f>IF(O86=C86,"TETAP",IF(C86=0,"BARU",IF(O86=0,"HAPUS",IF(O86&gt;C86,"TAMBAH","KURANG"))))</f>
        <v>TETAP</v>
      </c>
    </row>
    <row r="87" spans="1:18" x14ac:dyDescent="0.25">
      <c r="A87" s="10" t="s">
        <v>183</v>
      </c>
      <c r="B87" s="20" t="s">
        <v>184</v>
      </c>
      <c r="C87" s="12">
        <v>7.5</v>
      </c>
      <c r="D87" s="12">
        <v>0</v>
      </c>
      <c r="E87" s="10" t="s">
        <v>37</v>
      </c>
      <c r="F87" s="14">
        <v>55046.04</v>
      </c>
      <c r="G87" s="14">
        <f>F87*C87</f>
        <v>412845.3</v>
      </c>
      <c r="H87" s="15">
        <f>IF($G$1279=0,0,G87/$G$1279*100)</f>
      </c>
      <c r="I87" s="12" t="str">
        <f>IF(O87-C87&gt;0,O87-C87,"")</f>
        <v/>
      </c>
      <c r="J87" s="14" t="str">
        <f>IF(I87="","",F87*I87)</f>
        <v/>
      </c>
      <c r="K87" s="15">
        <f>IF(OR(J87="",$G$1279=0),"",J87/$G$1279*100)</f>
      </c>
      <c r="L87" s="12" t="str">
        <f>IF(C87-O87&gt;0,C87-O87,"")</f>
        <v/>
      </c>
      <c r="M87" s="14" t="str">
        <f>IF(L87="","",F87*L87)</f>
        <v/>
      </c>
      <c r="N87" s="15">
        <f>IF(OR(M87="",$G$1279=0),"",M87/$G$1279*100)</f>
      </c>
      <c r="O87" s="12">
        <v>7.5</v>
      </c>
      <c r="P87" s="14">
        <f>F87*O87</f>
        <v>412845.3</v>
      </c>
      <c r="Q87" s="15">
        <f>IF($P$1279=0,0,P87/$P$1279*100)</f>
      </c>
      <c r="R87" s="10" t="str">
        <f>IF(O87=C87,"TETAP",IF(C87=0,"BARU",IF(O87=0,"HAPUS",IF(O87&gt;C87,"TAMBAH","KURANG"))))</f>
        <v>TETAP</v>
      </c>
    </row>
    <row r="88" spans="1:18" x14ac:dyDescent="0.25">
      <c r="A88" s="5" t="s">
        <v>33</v>
      </c>
      <c r="B88" s="16" t="s">
        <v>185</v>
      </c>
      <c r="C88" s="7"/>
      <c r="D88" s="7"/>
      <c r="E88" s="5"/>
      <c r="F88" s="8"/>
      <c r="G88" s="8"/>
      <c r="H88" s="9"/>
      <c r="I88" s="7"/>
      <c r="J88" s="8"/>
      <c r="K88" s="9"/>
      <c r="L88" s="7"/>
      <c r="M88" s="8"/>
      <c r="N88" s="9"/>
      <c r="O88" s="7"/>
      <c r="P88" s="8"/>
      <c r="Q88" s="9"/>
      <c r="R88" s="5"/>
    </row>
    <row r="89" spans="1:18" x14ac:dyDescent="0.25">
      <c r="A89" s="10" t="s">
        <v>186</v>
      </c>
      <c r="B89" s="20" t="s">
        <v>187</v>
      </c>
      <c r="C89" s="12">
        <v>11.78</v>
      </c>
      <c r="D89" s="12">
        <v>0</v>
      </c>
      <c r="E89" s="10" t="s">
        <v>26</v>
      </c>
      <c r="F89" s="14">
        <v>218225.13</v>
      </c>
      <c r="G89" s="14">
        <f>F89*C89</f>
        <v>2570692.0313999997</v>
      </c>
      <c r="H89" s="15">
        <f>IF($G$1279=0,0,G89/$G$1279*100)</f>
      </c>
      <c r="I89" s="12" t="str">
        <f>IF(O89-C89&gt;0,O89-C89,"")</f>
        <v/>
      </c>
      <c r="J89" s="14" t="str">
        <f>IF(I89="","",F89*I89)</f>
        <v/>
      </c>
      <c r="K89" s="15">
        <f>IF(OR(J89="",$G$1279=0),"",J89/$G$1279*100)</f>
      </c>
      <c r="L89" s="12" t="str">
        <f>IF(C89-O89&gt;0,C89-O89,"")</f>
        <v/>
      </c>
      <c r="M89" s="14" t="str">
        <f>IF(L89="","",F89*L89)</f>
        <v/>
      </c>
      <c r="N89" s="15">
        <f>IF(OR(M89="",$G$1279=0),"",M89/$G$1279*100)</f>
      </c>
      <c r="O89" s="12">
        <v>11.78</v>
      </c>
      <c r="P89" s="14">
        <f>F89*O89</f>
        <v>2570692.0313999997</v>
      </c>
      <c r="Q89" s="15">
        <f>IF($P$1279=0,0,P89/$P$1279*100)</f>
      </c>
      <c r="R89" s="10" t="str">
        <f>IF(O89=C89,"TETAP",IF(C89=0,"BARU",IF(O89=0,"HAPUS",IF(O89&gt;C89,"TAMBAH","KURANG"))))</f>
        <v>TETAP</v>
      </c>
    </row>
    <row r="90" spans="1:18" x14ac:dyDescent="0.25">
      <c r="A90" s="10" t="s">
        <v>188</v>
      </c>
      <c r="B90" s="20" t="s">
        <v>168</v>
      </c>
      <c r="C90" s="12">
        <v>227.55</v>
      </c>
      <c r="D90" s="12">
        <v>0</v>
      </c>
      <c r="E90" s="10" t="s">
        <v>169</v>
      </c>
      <c r="F90" s="14">
        <v>28927.25</v>
      </c>
      <c r="G90" s="14">
        <f>F90*C90</f>
        <v>6582395.737500001</v>
      </c>
      <c r="H90" s="15">
        <f>IF($G$1279=0,0,G90/$G$1279*100)</f>
      </c>
      <c r="I90" s="12" t="str">
        <f>IF(O90-C90&gt;0,O90-C90,"")</f>
        <v/>
      </c>
      <c r="J90" s="14" t="str">
        <f>IF(I90="","",F90*I90)</f>
        <v/>
      </c>
      <c r="K90" s="15">
        <f>IF(OR(J90="",$G$1279=0),"",J90/$G$1279*100)</f>
      </c>
      <c r="L90" s="12" t="str">
        <f>IF(C90-O90&gt;0,C90-O90,"")</f>
        <v/>
      </c>
      <c r="M90" s="14" t="str">
        <f>IF(L90="","",F90*L90)</f>
        <v/>
      </c>
      <c r="N90" s="15">
        <f>IF(OR(M90="",$G$1279=0),"",M90/$G$1279*100)</f>
      </c>
      <c r="O90" s="12">
        <v>227.55</v>
      </c>
      <c r="P90" s="14">
        <f>F90*O90</f>
        <v>6582395.737500001</v>
      </c>
      <c r="Q90" s="15">
        <f>IF($P$1279=0,0,P90/$P$1279*100)</f>
      </c>
      <c r="R90" s="10" t="str">
        <f>IF(O90=C90,"TETAP",IF(C90=0,"BARU",IF(O90=0,"HAPUS",IF(O90&gt;C90,"TAMBAH","KURANG"))))</f>
        <v>TETAP</v>
      </c>
    </row>
    <row r="91" spans="1:18" x14ac:dyDescent="0.25">
      <c r="A91" s="10" t="s">
        <v>189</v>
      </c>
      <c r="B91" s="20" t="s">
        <v>190</v>
      </c>
      <c r="C91" s="12">
        <v>60.66</v>
      </c>
      <c r="D91" s="12">
        <v>0</v>
      </c>
      <c r="E91" s="10" t="s">
        <v>169</v>
      </c>
      <c r="F91" s="14">
        <v>19252.39</v>
      </c>
      <c r="G91" s="14">
        <f>F91*C91</f>
        <v>1167849.9774</v>
      </c>
      <c r="H91" s="15">
        <f>IF($G$1279=0,0,G91/$G$1279*100)</f>
      </c>
      <c r="I91" s="12" t="str">
        <f>IF(O91-C91&gt;0,O91-C91,"")</f>
        <v/>
      </c>
      <c r="J91" s="14" t="str">
        <f>IF(I91="","",F91*I91)</f>
        <v/>
      </c>
      <c r="K91" s="15">
        <f>IF(OR(J91="",$G$1279=0),"",J91/$G$1279*100)</f>
      </c>
      <c r="L91" s="12" t="str">
        <f>IF(C91-O91&gt;0,C91-O91,"")</f>
        <v/>
      </c>
      <c r="M91" s="14" t="str">
        <f>IF(L91="","",F91*L91)</f>
        <v/>
      </c>
      <c r="N91" s="15">
        <f>IF(OR(M91="",$G$1279=0),"",M91/$G$1279*100)</f>
      </c>
      <c r="O91" s="12">
        <v>60.66</v>
      </c>
      <c r="P91" s="14">
        <f>F91*O91</f>
        <v>1167849.9774</v>
      </c>
      <c r="Q91" s="15">
        <f>IF($P$1279=0,0,P91/$P$1279*100)</f>
      </c>
      <c r="R91" s="10" t="str">
        <f>IF(O91=C91,"TETAP",IF(C91=0,"BARU",IF(O91=0,"HAPUS",IF(O91&gt;C91,"TAMBAH","KURANG"))))</f>
        <v>TETAP</v>
      </c>
    </row>
    <row r="92" spans="1:18" x14ac:dyDescent="0.25">
      <c r="A92" s="10" t="s">
        <v>191</v>
      </c>
      <c r="B92" s="20" t="s">
        <v>173</v>
      </c>
      <c r="C92" s="12">
        <v>1.77</v>
      </c>
      <c r="D92" s="12">
        <v>0</v>
      </c>
      <c r="E92" s="10" t="s">
        <v>159</v>
      </c>
      <c r="F92" s="14">
        <v>1504340.14</v>
      </c>
      <c r="G92" s="14">
        <f>F92*C92</f>
        <v>2662682.0478</v>
      </c>
      <c r="H92" s="15">
        <f>IF($G$1279=0,0,G92/$G$1279*100)</f>
      </c>
      <c r="I92" s="12" t="str">
        <f>IF(O92-C92&gt;0,O92-C92,"")</f>
        <v/>
      </c>
      <c r="J92" s="14" t="str">
        <f>IF(I92="","",F92*I92)</f>
        <v/>
      </c>
      <c r="K92" s="15">
        <f>IF(OR(J92="",$G$1279=0),"",J92/$G$1279*100)</f>
      </c>
      <c r="L92" s="12" t="str">
        <f>IF(C92-O92&gt;0,C92-O92,"")</f>
        <v/>
      </c>
      <c r="M92" s="14" t="str">
        <f>IF(L92="","",F92*L92)</f>
        <v/>
      </c>
      <c r="N92" s="15">
        <f>IF(OR(M92="",$G$1279=0),"",M92/$G$1279*100)</f>
      </c>
      <c r="O92" s="12">
        <v>1.77</v>
      </c>
      <c r="P92" s="14">
        <f>F92*O92</f>
        <v>2662682.0478</v>
      </c>
      <c r="Q92" s="15">
        <f>IF($P$1279=0,0,P92/$P$1279*100)</f>
      </c>
      <c r="R92" s="10" t="str">
        <f>IF(O92=C92,"TETAP",IF(C92=0,"BARU",IF(O92=0,"HAPUS",IF(O92&gt;C92,"TAMBAH","KURANG"))))</f>
        <v>TETAP</v>
      </c>
    </row>
    <row r="93" spans="1:18" x14ac:dyDescent="0.25">
      <c r="A93" s="5" t="s">
        <v>35</v>
      </c>
      <c r="B93" s="16" t="s">
        <v>192</v>
      </c>
      <c r="C93" s="7"/>
      <c r="D93" s="7"/>
      <c r="E93" s="5"/>
      <c r="F93" s="8"/>
      <c r="G93" s="8"/>
      <c r="H93" s="9"/>
      <c r="I93" s="7"/>
      <c r="J93" s="8"/>
      <c r="K93" s="9"/>
      <c r="L93" s="7"/>
      <c r="M93" s="8"/>
      <c r="N93" s="9"/>
      <c r="O93" s="7"/>
      <c r="P93" s="8"/>
      <c r="Q93" s="9"/>
      <c r="R93" s="5"/>
    </row>
    <row r="94" spans="1:18" x14ac:dyDescent="0.25">
      <c r="A94" s="10" t="s">
        <v>193</v>
      </c>
      <c r="B94" s="20" t="s">
        <v>194</v>
      </c>
      <c r="C94" s="12">
        <v>176</v>
      </c>
      <c r="D94" s="12">
        <v>0</v>
      </c>
      <c r="E94" s="10" t="s">
        <v>37</v>
      </c>
      <c r="F94" s="14">
        <v>28117.52</v>
      </c>
      <c r="G94" s="14">
        <f>F94*C94</f>
        <v>4948683.5200000005</v>
      </c>
      <c r="H94" s="15">
        <f>IF($G$1279=0,0,G94/$G$1279*100)</f>
      </c>
      <c r="I94" s="12" t="str">
        <f>IF(O94-C94&gt;0,O94-C94,"")</f>
        <v/>
      </c>
      <c r="J94" s="14" t="str">
        <f>IF(I94="","",F94*I94)</f>
        <v/>
      </c>
      <c r="K94" s="15">
        <f>IF(OR(J94="",$G$1279=0),"",J94/$G$1279*100)</f>
      </c>
      <c r="L94" s="12" t="str">
        <f>IF(C94-O94&gt;0,C94-O94,"")</f>
        <v/>
      </c>
      <c r="M94" s="14" t="str">
        <f>IF(L94="","",F94*L94)</f>
        <v/>
      </c>
      <c r="N94" s="15">
        <f>IF(OR(M94="",$G$1279=0),"",M94/$G$1279*100)</f>
      </c>
      <c r="O94" s="12">
        <v>176</v>
      </c>
      <c r="P94" s="14">
        <f>F94*O94</f>
        <v>4948683.5200000005</v>
      </c>
      <c r="Q94" s="15">
        <f>IF($P$1279=0,0,P94/$P$1279*100)</f>
      </c>
      <c r="R94" s="10" t="str">
        <f>IF(O94=C94,"TETAP",IF(C94=0,"BARU",IF(O94=0,"HAPUS",IF(O94&gt;C94,"TAMBAH","KURANG"))))</f>
        <v>TETAP</v>
      </c>
    </row>
    <row r="95" spans="1:18" x14ac:dyDescent="0.25">
      <c r="A95" s="10" t="s">
        <v>195</v>
      </c>
      <c r="B95" s="20" t="s">
        <v>196</v>
      </c>
      <c r="C95" s="12">
        <v>7.48</v>
      </c>
      <c r="D95" s="12">
        <v>0</v>
      </c>
      <c r="E95" s="10" t="s">
        <v>26</v>
      </c>
      <c r="F95" s="14">
        <v>206721.67</v>
      </c>
      <c r="G95" s="14">
        <f>F95*C95</f>
        <v>1546278.0916000002</v>
      </c>
      <c r="H95" s="15">
        <f>IF($G$1279=0,0,G95/$G$1279*100)</f>
      </c>
      <c r="I95" s="12" t="str">
        <f>IF(O95-C95&gt;0,O95-C95,"")</f>
        <v/>
      </c>
      <c r="J95" s="14" t="str">
        <f>IF(I95="","",F95*I95)</f>
        <v/>
      </c>
      <c r="K95" s="15">
        <f>IF(OR(J95="",$G$1279=0),"",J95/$G$1279*100)</f>
      </c>
      <c r="L95" s="12" t="str">
        <f>IF(C95-O95&gt;0,C95-O95,"")</f>
        <v/>
      </c>
      <c r="M95" s="14" t="str">
        <f>IF(L95="","",F95*L95)</f>
        <v/>
      </c>
      <c r="N95" s="15">
        <f>IF(OR(M95="",$G$1279=0),"",M95/$G$1279*100)</f>
      </c>
      <c r="O95" s="12">
        <v>7.48</v>
      </c>
      <c r="P95" s="14">
        <f>F95*O95</f>
        <v>1546278.0916000002</v>
      </c>
      <c r="Q95" s="15">
        <f>IF($P$1279=0,0,P95/$P$1279*100)</f>
      </c>
      <c r="R95" s="10" t="str">
        <f>IF(O95=C95,"TETAP",IF(C95=0,"BARU",IF(O95=0,"HAPUS",IF(O95&gt;C95,"TAMBAH","KURANG"))))</f>
        <v>TETAP</v>
      </c>
    </row>
    <row r="96" spans="1:18" x14ac:dyDescent="0.25">
      <c r="A96" s="10" t="s">
        <v>197</v>
      </c>
      <c r="B96" s="20" t="s">
        <v>168</v>
      </c>
      <c r="C96" s="12">
        <v>38.63</v>
      </c>
      <c r="D96" s="12">
        <v>0</v>
      </c>
      <c r="E96" s="10" t="s">
        <v>169</v>
      </c>
      <c r="F96" s="14">
        <v>28927.25</v>
      </c>
      <c r="G96" s="14">
        <f>F96*C96</f>
        <v>1117459.6675</v>
      </c>
      <c r="H96" s="15">
        <f>IF($G$1279=0,0,G96/$G$1279*100)</f>
      </c>
      <c r="I96" s="12" t="str">
        <f>IF(O96-C96&gt;0,O96-C96,"")</f>
        <v/>
      </c>
      <c r="J96" s="14" t="str">
        <f>IF(I96="","",F96*I96)</f>
        <v/>
      </c>
      <c r="K96" s="15">
        <f>IF(OR(J96="",$G$1279=0),"",J96/$G$1279*100)</f>
      </c>
      <c r="L96" s="12" t="str">
        <f>IF(C96-O96&gt;0,C96-O96,"")</f>
        <v/>
      </c>
      <c r="M96" s="14" t="str">
        <f>IF(L96="","",F96*L96)</f>
        <v/>
      </c>
      <c r="N96" s="15">
        <f>IF(OR(M96="",$G$1279=0),"",M96/$G$1279*100)</f>
      </c>
      <c r="O96" s="12">
        <v>38.63</v>
      </c>
      <c r="P96" s="14">
        <f>F96*O96</f>
        <v>1117459.6675</v>
      </c>
      <c r="Q96" s="15">
        <f>IF($P$1279=0,0,P96/$P$1279*100)</f>
      </c>
      <c r="R96" s="10" t="str">
        <f>IF(O96=C96,"TETAP",IF(C96=0,"BARU",IF(O96=0,"HAPUS",IF(O96&gt;C96,"TAMBAH","KURANG"))))</f>
        <v>TETAP</v>
      </c>
    </row>
    <row r="97" spans="1:18" x14ac:dyDescent="0.25">
      <c r="A97" s="10" t="s">
        <v>198</v>
      </c>
      <c r="B97" s="20" t="s">
        <v>173</v>
      </c>
      <c r="C97" s="12">
        <v>2.03</v>
      </c>
      <c r="D97" s="12">
        <v>0</v>
      </c>
      <c r="E97" s="10" t="s">
        <v>159</v>
      </c>
      <c r="F97" s="14">
        <v>1504340.14</v>
      </c>
      <c r="G97" s="14">
        <f>F97*C97</f>
        <v>3053810.4841999994</v>
      </c>
      <c r="H97" s="15">
        <f>IF($G$1279=0,0,G97/$G$1279*100)</f>
      </c>
      <c r="I97" s="12" t="str">
        <f>IF(O97-C97&gt;0,O97-C97,"")</f>
        <v/>
      </c>
      <c r="J97" s="14" t="str">
        <f>IF(I97="","",F97*I97)</f>
        <v/>
      </c>
      <c r="K97" s="15">
        <f>IF(OR(J97="",$G$1279=0),"",J97/$G$1279*100)</f>
      </c>
      <c r="L97" s="12" t="str">
        <f>IF(C97-O97&gt;0,C97-O97,"")</f>
        <v/>
      </c>
      <c r="M97" s="14" t="str">
        <f>IF(L97="","",F97*L97)</f>
        <v/>
      </c>
      <c r="N97" s="15">
        <f>IF(OR(M97="",$G$1279=0),"",M97/$G$1279*100)</f>
      </c>
      <c r="O97" s="12">
        <v>2.03</v>
      </c>
      <c r="P97" s="14">
        <f>F97*O97</f>
        <v>3053810.4841999994</v>
      </c>
      <c r="Q97" s="15">
        <f>IF($P$1279=0,0,P97/$P$1279*100)</f>
      </c>
      <c r="R97" s="10" t="str">
        <f>IF(O97=C97,"TETAP",IF(C97=0,"BARU",IF(O97=0,"HAPUS",IF(O97&gt;C97,"TAMBAH","KURANG"))))</f>
        <v>TETAP</v>
      </c>
    </row>
    <row r="98" spans="1:18" x14ac:dyDescent="0.25">
      <c r="A98" s="5" t="s">
        <v>38</v>
      </c>
      <c r="B98" s="16" t="s">
        <v>199</v>
      </c>
      <c r="C98" s="7"/>
      <c r="D98" s="7"/>
      <c r="E98" s="5"/>
      <c r="F98" s="8"/>
      <c r="G98" s="8"/>
      <c r="H98" s="9"/>
      <c r="I98" s="7"/>
      <c r="J98" s="8"/>
      <c r="K98" s="9"/>
      <c r="L98" s="7"/>
      <c r="M98" s="8"/>
      <c r="N98" s="9"/>
      <c r="O98" s="7"/>
      <c r="P98" s="8"/>
      <c r="Q98" s="9"/>
      <c r="R98" s="5"/>
    </row>
    <row r="99" spans="1:18" x14ac:dyDescent="0.25">
      <c r="A99" s="10" t="s">
        <v>200</v>
      </c>
      <c r="B99" s="20" t="s">
        <v>201</v>
      </c>
      <c r="C99" s="12">
        <v>8.7</v>
      </c>
      <c r="D99" s="12">
        <v>0</v>
      </c>
      <c r="E99" s="10" t="s">
        <v>159</v>
      </c>
      <c r="F99" s="14">
        <v>48730.7</v>
      </c>
      <c r="G99" s="14">
        <f>F99*C99</f>
        <v>423957.08999999997</v>
      </c>
      <c r="H99" s="15">
        <f>IF($G$1279=0,0,G99/$G$1279*100)</f>
      </c>
      <c r="I99" s="12" t="str">
        <f>IF(O99-C99&gt;0,O99-C99,"")</f>
        <v/>
      </c>
      <c r="J99" s="14" t="str">
        <f>IF(I99="","",F99*I99)</f>
        <v/>
      </c>
      <c r="K99" s="15">
        <f>IF(OR(J99="",$G$1279=0),"",J99/$G$1279*100)</f>
      </c>
      <c r="L99" s="12" t="str">
        <f>IF(C99-O99&gt;0,C99-O99,"")</f>
        <v/>
      </c>
      <c r="M99" s="14" t="str">
        <f>IF(L99="","",F99*L99)</f>
        <v/>
      </c>
      <c r="N99" s="15">
        <f>IF(OR(M99="",$G$1279=0),"",M99/$G$1279*100)</f>
      </c>
      <c r="O99" s="12">
        <v>8.7</v>
      </c>
      <c r="P99" s="14">
        <f>F99*O99</f>
        <v>423957.08999999997</v>
      </c>
      <c r="Q99" s="15">
        <f>IF($P$1279=0,0,P99/$P$1279*100)</f>
      </c>
      <c r="R99" s="10" t="str">
        <f>IF(O99=C99,"TETAP",IF(C99=0,"BARU",IF(O99=0,"HAPUS",IF(O99&gt;C99,"TAMBAH","KURANG"))))</f>
        <v>TETAP</v>
      </c>
    </row>
    <row r="100" spans="1:18" x14ac:dyDescent="0.25">
      <c r="A100" s="10" t="s">
        <v>202</v>
      </c>
      <c r="B100" s="20" t="s">
        <v>194</v>
      </c>
      <c r="C100" s="12">
        <v>360</v>
      </c>
      <c r="D100" s="12">
        <v>0</v>
      </c>
      <c r="E100" s="10" t="s">
        <v>37</v>
      </c>
      <c r="F100" s="14">
        <v>28117.52</v>
      </c>
      <c r="G100" s="14">
        <f>F100*C100</f>
        <v>10122307.2</v>
      </c>
      <c r="H100" s="15">
        <f>IF($G$1279=0,0,G100/$G$1279*100)</f>
      </c>
      <c r="I100" s="12" t="str">
        <f>IF(O100-C100&gt;0,O100-C100,"")</f>
        <v/>
      </c>
      <c r="J100" s="14" t="str">
        <f>IF(I100="","",F100*I100)</f>
        <v/>
      </c>
      <c r="K100" s="15">
        <f>IF(OR(J100="",$G$1279=0),"",J100/$G$1279*100)</f>
      </c>
      <c r="L100" s="12" t="str">
        <f>IF(C100-O100&gt;0,C100-O100,"")</f>
        <v/>
      </c>
      <c r="M100" s="14" t="str">
        <f>IF(L100="","",F100*L100)</f>
        <v/>
      </c>
      <c r="N100" s="15">
        <f>IF(OR(M100="",$G$1279=0),"",M100/$G$1279*100)</f>
      </c>
      <c r="O100" s="12">
        <v>360</v>
      </c>
      <c r="P100" s="14">
        <f>F100*O100</f>
        <v>10122307.2</v>
      </c>
      <c r="Q100" s="15">
        <f>IF($P$1279=0,0,P100/$P$1279*100)</f>
      </c>
      <c r="R100" s="10" t="str">
        <f>IF(O100=C100,"TETAP",IF(C100=0,"BARU",IF(O100=0,"HAPUS",IF(O100&gt;C100,"TAMBAH","KURANG"))))</f>
        <v>TETAP</v>
      </c>
    </row>
    <row r="101" spans="1:18" x14ac:dyDescent="0.25">
      <c r="A101" s="10" t="s">
        <v>203</v>
      </c>
      <c r="B101" s="20" t="s">
        <v>196</v>
      </c>
      <c r="C101" s="12">
        <v>4.95</v>
      </c>
      <c r="D101" s="12">
        <v>0</v>
      </c>
      <c r="E101" s="10" t="s">
        <v>26</v>
      </c>
      <c r="F101" s="14">
        <v>206721.67</v>
      </c>
      <c r="G101" s="14">
        <f>F101*C101</f>
        <v>1023272.2665000001</v>
      </c>
      <c r="H101" s="15">
        <f>IF($G$1279=0,0,G101/$G$1279*100)</f>
      </c>
      <c r="I101" s="12" t="str">
        <f>IF(O101-C101&gt;0,O101-C101,"")</f>
        <v/>
      </c>
      <c r="J101" s="14" t="str">
        <f>IF(I101="","",F101*I101)</f>
        <v/>
      </c>
      <c r="K101" s="15">
        <f>IF(OR(J101="",$G$1279=0),"",J101/$G$1279*100)</f>
      </c>
      <c r="L101" s="12" t="str">
        <f>IF(C101-O101&gt;0,C101-O101,"")</f>
        <v/>
      </c>
      <c r="M101" s="14" t="str">
        <f>IF(L101="","",F101*L101)</f>
        <v/>
      </c>
      <c r="N101" s="15">
        <f>IF(OR(M101="",$G$1279=0),"",M101/$G$1279*100)</f>
      </c>
      <c r="O101" s="12">
        <v>4.95</v>
      </c>
      <c r="P101" s="14">
        <f>F101*O101</f>
        <v>1023272.2665000001</v>
      </c>
      <c r="Q101" s="15">
        <f>IF($P$1279=0,0,P101/$P$1279*100)</f>
      </c>
      <c r="R101" s="10" t="str">
        <f>IF(O101=C101,"TETAP",IF(C101=0,"BARU",IF(O101=0,"HAPUS",IF(O101&gt;C101,"TAMBAH","KURANG"))))</f>
        <v>TETAP</v>
      </c>
    </row>
    <row r="102" spans="1:18" x14ac:dyDescent="0.25">
      <c r="A102" s="10" t="s">
        <v>204</v>
      </c>
      <c r="B102" s="20" t="s">
        <v>205</v>
      </c>
      <c r="C102" s="12">
        <v>464.89</v>
      </c>
      <c r="D102" s="12">
        <v>0</v>
      </c>
      <c r="E102" s="10" t="s">
        <v>169</v>
      </c>
      <c r="F102" s="14">
        <v>28927.25</v>
      </c>
      <c r="G102" s="14">
        <f>F102*C102</f>
        <v>13447989.2525</v>
      </c>
      <c r="H102" s="15">
        <f>IF($G$1279=0,0,G102/$G$1279*100)</f>
      </c>
      <c r="I102" s="12" t="str">
        <f>IF(O102-C102&gt;0,O102-C102,"")</f>
        <v/>
      </c>
      <c r="J102" s="14" t="str">
        <f>IF(I102="","",F102*I102)</f>
        <v/>
      </c>
      <c r="K102" s="15">
        <f>IF(OR(J102="",$G$1279=0),"",J102/$G$1279*100)</f>
      </c>
      <c r="L102" s="12" t="str">
        <f>IF(C102-O102&gt;0,C102-O102,"")</f>
        <v/>
      </c>
      <c r="M102" s="14" t="str">
        <f>IF(L102="","",F102*L102)</f>
        <v/>
      </c>
      <c r="N102" s="15">
        <f>IF(OR(M102="",$G$1279=0),"",M102/$G$1279*100)</f>
      </c>
      <c r="O102" s="12">
        <v>464.89</v>
      </c>
      <c r="P102" s="14">
        <f>F102*O102</f>
        <v>13447989.2525</v>
      </c>
      <c r="Q102" s="15">
        <f>IF($P$1279=0,0,P102/$P$1279*100)</f>
      </c>
      <c r="R102" s="10" t="str">
        <f>IF(O102=C102,"TETAP",IF(C102=0,"BARU",IF(O102=0,"HAPUS",IF(O102&gt;C102,"TAMBAH","KURANG"))))</f>
        <v>TETAP</v>
      </c>
    </row>
    <row r="103" spans="1:18" x14ac:dyDescent="0.25">
      <c r="A103" s="10" t="s">
        <v>206</v>
      </c>
      <c r="B103" s="20" t="s">
        <v>207</v>
      </c>
      <c r="C103" s="12">
        <v>255.48</v>
      </c>
      <c r="D103" s="12">
        <v>0</v>
      </c>
      <c r="E103" s="10" t="s">
        <v>169</v>
      </c>
      <c r="F103" s="14">
        <v>19252.39</v>
      </c>
      <c r="G103" s="14">
        <f>F103*C103</f>
        <v>4918600.5972</v>
      </c>
      <c r="H103" s="15">
        <f>IF($G$1279=0,0,G103/$G$1279*100)</f>
      </c>
      <c r="I103" s="12" t="str">
        <f>IF(O103-C103&gt;0,O103-C103,"")</f>
        <v/>
      </c>
      <c r="J103" s="14" t="str">
        <f>IF(I103="","",F103*I103)</f>
        <v/>
      </c>
      <c r="K103" s="15">
        <f>IF(OR(J103="",$G$1279=0),"",J103/$G$1279*100)</f>
      </c>
      <c r="L103" s="12" t="str">
        <f>IF(C103-O103&gt;0,C103-O103,"")</f>
        <v/>
      </c>
      <c r="M103" s="14" t="str">
        <f>IF(L103="","",F103*L103)</f>
        <v/>
      </c>
      <c r="N103" s="15">
        <f>IF(OR(M103="",$G$1279=0),"",M103/$G$1279*100)</f>
      </c>
      <c r="O103" s="12">
        <v>255.48</v>
      </c>
      <c r="P103" s="14">
        <f>F103*O103</f>
        <v>4918600.5972</v>
      </c>
      <c r="Q103" s="15">
        <f>IF($P$1279=0,0,P103/$P$1279*100)</f>
      </c>
      <c r="R103" s="10" t="str">
        <f>IF(O103=C103,"TETAP",IF(C103=0,"BARU",IF(O103=0,"HAPUS",IF(O103&gt;C103,"TAMBAH","KURANG"))))</f>
        <v>TETAP</v>
      </c>
    </row>
    <row r="104" spans="1:18" x14ac:dyDescent="0.25">
      <c r="A104" s="10" t="s">
        <v>208</v>
      </c>
      <c r="B104" s="20" t="s">
        <v>173</v>
      </c>
      <c r="C104" s="12">
        <v>8.7</v>
      </c>
      <c r="D104" s="12">
        <v>0</v>
      </c>
      <c r="E104" s="10" t="s">
        <v>159</v>
      </c>
      <c r="F104" s="14">
        <v>1504340.14</v>
      </c>
      <c r="G104" s="14">
        <f>F104*C104</f>
        <v>13087759.217999998</v>
      </c>
      <c r="H104" s="15">
        <f>IF($G$1279=0,0,G104/$G$1279*100)</f>
      </c>
      <c r="I104" s="12" t="str">
        <f>IF(O104-C104&gt;0,O104-C104,"")</f>
        <v/>
      </c>
      <c r="J104" s="14" t="str">
        <f>IF(I104="","",F104*I104)</f>
        <v/>
      </c>
      <c r="K104" s="15">
        <f>IF(OR(J104="",$G$1279=0),"",J104/$G$1279*100)</f>
      </c>
      <c r="L104" s="12" t="str">
        <f>IF(C104-O104&gt;0,C104-O104,"")</f>
        <v/>
      </c>
      <c r="M104" s="14" t="str">
        <f>IF(L104="","",F104*L104)</f>
        <v/>
      </c>
      <c r="N104" s="15">
        <f>IF(OR(M104="",$G$1279=0),"",M104/$G$1279*100)</f>
      </c>
      <c r="O104" s="12">
        <v>8.7</v>
      </c>
      <c r="P104" s="14">
        <f>F104*O104</f>
        <v>13087759.217999998</v>
      </c>
      <c r="Q104" s="15">
        <f>IF($P$1279=0,0,P104/$P$1279*100)</f>
      </c>
      <c r="R104" s="10" t="str">
        <f>IF(O104=C104,"TETAP",IF(C104=0,"BARU",IF(O104=0,"HAPUS",IF(O104&gt;C104,"TAMBAH","KURANG"))))</f>
        <v>TETAP</v>
      </c>
    </row>
    <row r="105" spans="1:18" x14ac:dyDescent="0.25">
      <c r="A105" s="10" t="s">
        <v>209</v>
      </c>
      <c r="B105" s="20" t="s">
        <v>210</v>
      </c>
      <c r="C105" s="12">
        <v>8.7</v>
      </c>
      <c r="D105" s="12">
        <v>0</v>
      </c>
      <c r="E105" s="10" t="s">
        <v>159</v>
      </c>
      <c r="F105" s="14">
        <v>45149.88</v>
      </c>
      <c r="G105" s="14">
        <f>F105*C105</f>
        <v>392803.95599999995</v>
      </c>
      <c r="H105" s="15">
        <f>IF($G$1279=0,0,G105/$G$1279*100)</f>
      </c>
      <c r="I105" s="12" t="str">
        <f>IF(O105-C105&gt;0,O105-C105,"")</f>
        <v/>
      </c>
      <c r="J105" s="14" t="str">
        <f>IF(I105="","",F105*I105)</f>
        <v/>
      </c>
      <c r="K105" s="15">
        <f>IF(OR(J105="",$G$1279=0),"",J105/$G$1279*100)</f>
      </c>
      <c r="L105" s="12" t="str">
        <f>IF(C105-O105&gt;0,C105-O105,"")</f>
        <v/>
      </c>
      <c r="M105" s="14" t="str">
        <f>IF(L105="","",F105*L105)</f>
        <v/>
      </c>
      <c r="N105" s="15">
        <f>IF(OR(M105="",$G$1279=0),"",M105/$G$1279*100)</f>
      </c>
      <c r="O105" s="12">
        <v>8.7</v>
      </c>
      <c r="P105" s="14">
        <f>F105*O105</f>
        <v>392803.95599999995</v>
      </c>
      <c r="Q105" s="15">
        <f>IF($P$1279=0,0,P105/$P$1279*100)</f>
      </c>
      <c r="R105" s="10" t="str">
        <f>IF(O105=C105,"TETAP",IF(C105=0,"BARU",IF(O105=0,"HAPUS",IF(O105&gt;C105,"TAMBAH","KURANG"))))</f>
        <v>TETAP</v>
      </c>
    </row>
    <row r="106" spans="1:18" x14ac:dyDescent="0.25">
      <c r="A106" s="5" t="s">
        <v>108</v>
      </c>
      <c r="B106" s="16" t="s">
        <v>211</v>
      </c>
      <c r="C106" s="7"/>
      <c r="D106" s="7"/>
      <c r="E106" s="5"/>
      <c r="F106" s="8"/>
      <c r="G106" s="8"/>
      <c r="H106" s="9"/>
      <c r="I106" s="7"/>
      <c r="J106" s="8"/>
      <c r="K106" s="9"/>
      <c r="L106" s="7"/>
      <c r="M106" s="8"/>
      <c r="N106" s="9"/>
      <c r="O106" s="7"/>
      <c r="P106" s="8"/>
      <c r="Q106" s="9"/>
      <c r="R106" s="5"/>
    </row>
    <row r="107" spans="1:18" x14ac:dyDescent="0.25">
      <c r="A107" s="10" t="s">
        <v>212</v>
      </c>
      <c r="B107" s="20" t="s">
        <v>213</v>
      </c>
      <c r="C107" s="12">
        <v>69.6</v>
      </c>
      <c r="D107" s="13">
        <v>21</v>
      </c>
      <c r="E107" s="10" t="s">
        <v>26</v>
      </c>
      <c r="F107" s="14">
        <v>472402.93</v>
      </c>
      <c r="G107" s="14">
        <f>F107*C107</f>
        <v>32879243.927999996</v>
      </c>
      <c r="H107" s="15">
        <f>IF($G$1279=0,0,G107/$G$1279*100)</f>
      </c>
      <c r="I107" s="12" t="str">
        <f>IF(O107-C107&gt;0,O107-C107,"")</f>
        <v/>
      </c>
      <c r="J107" s="14" t="str">
        <f>IF(I107="","",F107*I107)</f>
        <v/>
      </c>
      <c r="K107" s="15">
        <f>IF(OR(J107="",$G$1279=0),"",J107/$G$1279*100)</f>
      </c>
      <c r="L107" s="12" t="str">
        <f>IF(C107-O107&gt;0,C107-O107,"")</f>
        <v/>
      </c>
      <c r="M107" s="14" t="str">
        <f>IF(L107="","",F107*L107)</f>
        <v/>
      </c>
      <c r="N107" s="15">
        <f>IF(OR(M107="",$G$1279=0),"",M107/$G$1279*100)</f>
      </c>
      <c r="O107" s="12">
        <v>69.6</v>
      </c>
      <c r="P107" s="14">
        <f>F107*O107</f>
        <v>32879243.927999996</v>
      </c>
      <c r="Q107" s="15">
        <f>IF($P$1279=0,0,P107/$P$1279*100)</f>
      </c>
      <c r="R107" s="10" t="str">
        <f>IF(O107=C107,"TETAP",IF(C107=0,"BARU",IF(O107=0,"HAPUS",IF(O107&gt;C107,"TAMBAH","KURANG"))))</f>
        <v>TETAP</v>
      </c>
    </row>
    <row r="108" spans="1:18" x14ac:dyDescent="0.25">
      <c r="A108" s="10" t="s">
        <v>214</v>
      </c>
      <c r="B108" s="20" t="s">
        <v>215</v>
      </c>
      <c r="C108" s="12">
        <v>730.15</v>
      </c>
      <c r="D108" s="12">
        <v>0</v>
      </c>
      <c r="E108" s="10" t="s">
        <v>169</v>
      </c>
      <c r="F108" s="14">
        <v>28927.25</v>
      </c>
      <c r="G108" s="14">
        <f>F108*C108</f>
        <v>21121231.5875</v>
      </c>
      <c r="H108" s="15">
        <f>IF($G$1279=0,0,G108/$G$1279*100)</f>
      </c>
      <c r="I108" s="12" t="str">
        <f>IF(O108-C108&gt;0,O108-C108,"")</f>
        <v/>
      </c>
      <c r="J108" s="14" t="str">
        <f>IF(I108="","",F108*I108)</f>
        <v/>
      </c>
      <c r="K108" s="15">
        <f>IF(OR(J108="",$G$1279=0),"",J108/$G$1279*100)</f>
      </c>
      <c r="L108" s="12" t="str">
        <f>IF(C108-O108&gt;0,C108-O108,"")</f>
        <v/>
      </c>
      <c r="M108" s="14" t="str">
        <f>IF(L108="","",F108*L108)</f>
        <v/>
      </c>
      <c r="N108" s="15">
        <f>IF(OR(M108="",$G$1279=0),"",M108/$G$1279*100)</f>
      </c>
      <c r="O108" s="12">
        <v>730.15</v>
      </c>
      <c r="P108" s="14">
        <f>F108*O108</f>
        <v>21121231.5875</v>
      </c>
      <c r="Q108" s="15">
        <f>IF($P$1279=0,0,P108/$P$1279*100)</f>
      </c>
      <c r="R108" s="10" t="str">
        <f>IF(O108=C108,"TETAP",IF(C108=0,"BARU",IF(O108=0,"HAPUS",IF(O108&gt;C108,"TAMBAH","KURANG"))))</f>
        <v>TETAP</v>
      </c>
    </row>
    <row r="109" spans="1:18" x14ac:dyDescent="0.25">
      <c r="A109" s="10" t="s">
        <v>216</v>
      </c>
      <c r="B109" s="20" t="s">
        <v>217</v>
      </c>
      <c r="C109" s="12">
        <v>234.02</v>
      </c>
      <c r="D109" s="12">
        <v>0</v>
      </c>
      <c r="E109" s="10" t="s">
        <v>169</v>
      </c>
      <c r="F109" s="14">
        <v>19252.39</v>
      </c>
      <c r="G109" s="14">
        <f>F109*C109</f>
        <v>4505444.3078</v>
      </c>
      <c r="H109" s="15">
        <f>IF($G$1279=0,0,G109/$G$1279*100)</f>
      </c>
      <c r="I109" s="12" t="str">
        <f>IF(O109-C109&gt;0,O109-C109,"")</f>
        <v/>
      </c>
      <c r="J109" s="14" t="str">
        <f>IF(I109="","",F109*I109)</f>
        <v/>
      </c>
      <c r="K109" s="15">
        <f>IF(OR(J109="",$G$1279=0),"",J109/$G$1279*100)</f>
      </c>
      <c r="L109" s="12" t="str">
        <f>IF(C109-O109&gt;0,C109-O109,"")</f>
        <v/>
      </c>
      <c r="M109" s="14" t="str">
        <f>IF(L109="","",F109*L109)</f>
        <v/>
      </c>
      <c r="N109" s="15">
        <f>IF(OR(M109="",$G$1279=0),"",M109/$G$1279*100)</f>
      </c>
      <c r="O109" s="12">
        <v>234.02</v>
      </c>
      <c r="P109" s="14">
        <f>F109*O109</f>
        <v>4505444.3078</v>
      </c>
      <c r="Q109" s="15">
        <f>IF($P$1279=0,0,P109/$P$1279*100)</f>
      </c>
      <c r="R109" s="10" t="str">
        <f>IF(O109=C109,"TETAP",IF(C109=0,"BARU",IF(O109=0,"HAPUS",IF(O109&gt;C109,"TAMBAH","KURANG"))))</f>
        <v>TETAP</v>
      </c>
    </row>
    <row r="110" spans="1:18" x14ac:dyDescent="0.25">
      <c r="A110" s="10" t="s">
        <v>218</v>
      </c>
      <c r="B110" s="20" t="s">
        <v>173</v>
      </c>
      <c r="C110" s="12">
        <v>12.18</v>
      </c>
      <c r="D110" s="12">
        <v>0</v>
      </c>
      <c r="E110" s="10" t="s">
        <v>159</v>
      </c>
      <c r="F110" s="14">
        <v>1504340.14</v>
      </c>
      <c r="G110" s="14">
        <f>F110*C110</f>
        <v>18322862.905199997</v>
      </c>
      <c r="H110" s="15">
        <f>IF($G$1279=0,0,G110/$G$1279*100)</f>
      </c>
      <c r="I110" s="12" t="str">
        <f>IF(O110-C110&gt;0,O110-C110,"")</f>
        <v/>
      </c>
      <c r="J110" s="14" t="str">
        <f>IF(I110="","",F110*I110)</f>
        <v/>
      </c>
      <c r="K110" s="15">
        <f>IF(OR(J110="",$G$1279=0),"",J110/$G$1279*100)</f>
      </c>
      <c r="L110" s="12" t="str">
        <f>IF(C110-O110&gt;0,C110-O110,"")</f>
        <v/>
      </c>
      <c r="M110" s="14" t="str">
        <f>IF(L110="","",F110*L110)</f>
        <v/>
      </c>
      <c r="N110" s="15">
        <f>IF(OR(M110="",$G$1279=0),"",M110/$G$1279*100)</f>
      </c>
      <c r="O110" s="12">
        <v>12.18</v>
      </c>
      <c r="P110" s="14">
        <f>F110*O110</f>
        <v>18322862.905199997</v>
      </c>
      <c r="Q110" s="15">
        <f>IF($P$1279=0,0,P110/$P$1279*100)</f>
      </c>
      <c r="R110" s="10" t="str">
        <f>IF(O110=C110,"TETAP",IF(C110=0,"BARU",IF(O110=0,"HAPUS",IF(O110&gt;C110,"TAMBAH","KURANG"))))</f>
        <v>TETAP</v>
      </c>
    </row>
    <row r="111" spans="1:18" x14ac:dyDescent="0.25">
      <c r="A111" s="10" t="s">
        <v>219</v>
      </c>
      <c r="B111" s="20" t="s">
        <v>210</v>
      </c>
      <c r="C111" s="12">
        <v>12.18</v>
      </c>
      <c r="D111" s="12">
        <v>0</v>
      </c>
      <c r="E111" s="10" t="s">
        <v>159</v>
      </c>
      <c r="F111" s="14">
        <v>45149.88</v>
      </c>
      <c r="G111" s="14">
        <f>F111*C111</f>
        <v>549925.5384</v>
      </c>
      <c r="H111" s="15">
        <f>IF($G$1279=0,0,G111/$G$1279*100)</f>
      </c>
      <c r="I111" s="12" t="str">
        <f>IF(O111-C111&gt;0,O111-C111,"")</f>
        <v/>
      </c>
      <c r="J111" s="14" t="str">
        <f>IF(I111="","",F111*I111)</f>
        <v/>
      </c>
      <c r="K111" s="15">
        <f>IF(OR(J111="",$G$1279=0),"",J111/$G$1279*100)</f>
      </c>
      <c r="L111" s="12" t="str">
        <f>IF(C111-O111&gt;0,C111-O111,"")</f>
        <v/>
      </c>
      <c r="M111" s="14" t="str">
        <f>IF(L111="","",F111*L111)</f>
        <v/>
      </c>
      <c r="N111" s="15">
        <f>IF(OR(M111="",$G$1279=0),"",M111/$G$1279*100)</f>
      </c>
      <c r="O111" s="12">
        <v>12.18</v>
      </c>
      <c r="P111" s="14">
        <f>F111*O111</f>
        <v>549925.5384</v>
      </c>
      <c r="Q111" s="15">
        <f>IF($P$1279=0,0,P111/$P$1279*100)</f>
      </c>
      <c r="R111" s="10" t="str">
        <f>IF(O111=C111,"TETAP",IF(C111=0,"BARU",IF(O111=0,"HAPUS",IF(O111&gt;C111,"TAMBAH","KURANG"))))</f>
        <v>TETAP</v>
      </c>
    </row>
    <row r="112" spans="1:18" x14ac:dyDescent="0.25">
      <c r="A112" s="5" t="s">
        <v>220</v>
      </c>
      <c r="B112" s="6" t="s">
        <v>221</v>
      </c>
      <c r="C112" s="7"/>
      <c r="D112" s="7"/>
      <c r="E112" s="5"/>
      <c r="F112" s="8"/>
      <c r="G112" s="8"/>
      <c r="H112" s="9"/>
      <c r="I112" s="7"/>
      <c r="J112" s="8"/>
      <c r="K112" s="9"/>
      <c r="L112" s="7"/>
      <c r="M112" s="8"/>
      <c r="N112" s="9"/>
      <c r="O112" s="7"/>
      <c r="P112" s="8"/>
      <c r="Q112" s="9"/>
      <c r="R112" s="5"/>
    </row>
    <row r="113" spans="1:18" x14ac:dyDescent="0.25">
      <c r="A113" s="5" t="s">
        <v>222</v>
      </c>
      <c r="B113" s="16" t="s">
        <v>223</v>
      </c>
      <c r="C113" s="7"/>
      <c r="D113" s="7"/>
      <c r="E113" s="5"/>
      <c r="F113" s="8"/>
      <c r="G113" s="8"/>
      <c r="H113" s="9"/>
      <c r="I113" s="7"/>
      <c r="J113" s="8"/>
      <c r="K113" s="9"/>
      <c r="L113" s="7"/>
      <c r="M113" s="8"/>
      <c r="N113" s="9"/>
      <c r="O113" s="7"/>
      <c r="P113" s="8"/>
      <c r="Q113" s="9"/>
      <c r="R113" s="5"/>
    </row>
    <row r="114" spans="1:18" x14ac:dyDescent="0.25">
      <c r="A114" s="10" t="s">
        <v>24</v>
      </c>
      <c r="B114" s="20" t="s">
        <v>224</v>
      </c>
      <c r="C114" s="12">
        <v>297</v>
      </c>
      <c r="D114" s="12">
        <v>0</v>
      </c>
      <c r="E114" s="10" t="s">
        <v>26</v>
      </c>
      <c r="F114" s="14">
        <v>206696.74</v>
      </c>
      <c r="G114" s="14">
        <f>F114*C114</f>
        <v>61388931.779999994</v>
      </c>
      <c r="H114" s="15">
        <f>IF($G$1279=0,0,G114/$G$1279*100)</f>
      </c>
      <c r="I114" s="12" t="str">
        <f>IF(O114-C114&gt;0,O114-C114,"")</f>
        <v/>
      </c>
      <c r="J114" s="14" t="str">
        <f>IF(I114="","",F114*I114)</f>
        <v/>
      </c>
      <c r="K114" s="15">
        <f>IF(OR(J114="",$G$1279=0),"",J114/$G$1279*100)</f>
      </c>
      <c r="L114" s="12" t="str">
        <f>IF(C114-O114&gt;0,C114-O114,"")</f>
        <v/>
      </c>
      <c r="M114" s="14" t="str">
        <f>IF(L114="","",F114*L114)</f>
        <v/>
      </c>
      <c r="N114" s="15">
        <f>IF(OR(M114="",$G$1279=0),"",M114/$G$1279*100)</f>
      </c>
      <c r="O114" s="12">
        <v>297</v>
      </c>
      <c r="P114" s="14">
        <f>F114*O114</f>
        <v>61388931.779999994</v>
      </c>
      <c r="Q114" s="15">
        <f>IF($P$1279=0,0,P114/$P$1279*100)</f>
      </c>
      <c r="R114" s="10" t="str">
        <f>IF(O114=C114,"TETAP",IF(C114=0,"BARU",IF(O114=0,"HAPUS",IF(O114&gt;C114,"TAMBAH","KURANG"))))</f>
        <v>TETAP</v>
      </c>
    </row>
    <row r="115" spans="1:18" x14ac:dyDescent="0.25">
      <c r="A115" s="10" t="s">
        <v>27</v>
      </c>
      <c r="B115" s="20" t="s">
        <v>225</v>
      </c>
      <c r="C115" s="12">
        <v>1</v>
      </c>
      <c r="D115" s="12">
        <v>0</v>
      </c>
      <c r="E115" s="10" t="s">
        <v>58</v>
      </c>
      <c r="F115" s="14">
        <v>10214335.35</v>
      </c>
      <c r="G115" s="14">
        <f>F115*C115</f>
        <v>10214335.35</v>
      </c>
      <c r="H115" s="15">
        <f>IF($G$1279=0,0,G115/$G$1279*100)</f>
      </c>
      <c r="I115" s="12" t="str">
        <f>IF(O115-C115&gt;0,O115-C115,"")</f>
        <v/>
      </c>
      <c r="J115" s="14" t="str">
        <f>IF(I115="","",F115*I115)</f>
        <v/>
      </c>
      <c r="K115" s="15">
        <f>IF(OR(J115="",$G$1279=0),"",J115/$G$1279*100)</f>
      </c>
      <c r="L115" s="12" t="str">
        <f>IF(C115-O115&gt;0,C115-O115,"")</f>
        <v/>
      </c>
      <c r="M115" s="14" t="str">
        <f>IF(L115="","",F115*L115)</f>
        <v/>
      </c>
      <c r="N115" s="15">
        <f>IF(OR(M115="",$G$1279=0),"",M115/$G$1279*100)</f>
      </c>
      <c r="O115" s="12">
        <v>1</v>
      </c>
      <c r="P115" s="14">
        <f>F115*O115</f>
        <v>10214335.35</v>
      </c>
      <c r="Q115" s="15">
        <f>IF($P$1279=0,0,P115/$P$1279*100)</f>
      </c>
      <c r="R115" s="10" t="str">
        <f>IF(O115=C115,"TETAP",IF(C115=0,"BARU",IF(O115=0,"HAPUS",IF(O115&gt;C115,"TAMBAH","KURANG"))))</f>
        <v>TETAP</v>
      </c>
    </row>
    <row r="116" spans="1:18" x14ac:dyDescent="0.25">
      <c r="A116" s="5" t="s">
        <v>226</v>
      </c>
      <c r="B116" s="16" t="s">
        <v>227</v>
      </c>
      <c r="C116" s="7"/>
      <c r="D116" s="7"/>
      <c r="E116" s="5"/>
      <c r="F116" s="8"/>
      <c r="G116" s="8"/>
      <c r="H116" s="9"/>
      <c r="I116" s="7"/>
      <c r="J116" s="8"/>
      <c r="K116" s="9"/>
      <c r="L116" s="7"/>
      <c r="M116" s="8"/>
      <c r="N116" s="9"/>
      <c r="O116" s="7"/>
      <c r="P116" s="8"/>
      <c r="Q116" s="9"/>
      <c r="R116" s="5"/>
    </row>
    <row r="117" spans="1:18" x14ac:dyDescent="0.25">
      <c r="A117" s="5" t="s">
        <v>24</v>
      </c>
      <c r="B117" s="17" t="s">
        <v>228</v>
      </c>
      <c r="C117" s="7"/>
      <c r="D117" s="7"/>
      <c r="E117" s="5"/>
      <c r="F117" s="8"/>
      <c r="G117" s="8"/>
      <c r="H117" s="9"/>
      <c r="I117" s="7"/>
      <c r="J117" s="8"/>
      <c r="K117" s="9"/>
      <c r="L117" s="7"/>
      <c r="M117" s="8"/>
      <c r="N117" s="9"/>
      <c r="O117" s="7"/>
      <c r="P117" s="8"/>
      <c r="Q117" s="9"/>
      <c r="R117" s="5"/>
    </row>
    <row r="118" spans="1:18" x14ac:dyDescent="0.25">
      <c r="A118" s="5" t="s">
        <v>229</v>
      </c>
      <c r="B118" s="19" t="s">
        <v>230</v>
      </c>
      <c r="C118" s="7"/>
      <c r="D118" s="7"/>
      <c r="E118" s="5"/>
      <c r="F118" s="8"/>
      <c r="G118" s="8"/>
      <c r="H118" s="9"/>
      <c r="I118" s="7"/>
      <c r="J118" s="8"/>
      <c r="K118" s="9"/>
      <c r="L118" s="7"/>
      <c r="M118" s="8"/>
      <c r="N118" s="9"/>
      <c r="O118" s="7"/>
      <c r="P118" s="8"/>
      <c r="Q118" s="9"/>
      <c r="R118" s="5"/>
    </row>
    <row r="119" spans="1:18" x14ac:dyDescent="0.25">
      <c r="A119" s="10" t="s">
        <v>231</v>
      </c>
      <c r="B119" s="21" t="s">
        <v>232</v>
      </c>
      <c r="C119" s="12">
        <v>97.92</v>
      </c>
      <c r="D119" s="13">
        <v>72.68</v>
      </c>
      <c r="E119" s="10" t="s">
        <v>26</v>
      </c>
      <c r="F119" s="14">
        <v>206721.67</v>
      </c>
      <c r="G119" s="14">
        <f>F119*C119</f>
        <v>20242185.926400002</v>
      </c>
      <c r="H119" s="15">
        <f>IF($G$1279=0,0,G119/$G$1279*100)</f>
      </c>
      <c r="I119" s="12" t="str">
        <f>IF(O119-C119&gt;0,O119-C119,"")</f>
        <v/>
      </c>
      <c r="J119" s="14" t="str">
        <f>IF(I119="","",F119*I119)</f>
        <v/>
      </c>
      <c r="K119" s="15">
        <f>IF(OR(J119="",$G$1279=0),"",J119/$G$1279*100)</f>
      </c>
      <c r="L119" s="12" t="str">
        <f>IF(C119-O119&gt;0,C119-O119,"")</f>
        <v/>
      </c>
      <c r="M119" s="14" t="str">
        <f>IF(L119="","",F119*L119)</f>
        <v/>
      </c>
      <c r="N119" s="15">
        <f>IF(OR(M119="",$G$1279=0),"",M119/$G$1279*100)</f>
      </c>
      <c r="O119" s="12">
        <v>97.92</v>
      </c>
      <c r="P119" s="14">
        <f>F119*O119</f>
        <v>20242185.926400002</v>
      </c>
      <c r="Q119" s="15">
        <f>IF($P$1279=0,0,P119/$P$1279*100)</f>
      </c>
      <c r="R119" s="10" t="str">
        <f>IF(O119=C119,"TETAP",IF(C119=0,"BARU",IF(O119=0,"HAPUS",IF(O119&gt;C119,"TAMBAH","KURANG"))))</f>
        <v>TETAP</v>
      </c>
    </row>
    <row r="120" spans="1:18" x14ac:dyDescent="0.25">
      <c r="A120" s="10" t="s">
        <v>233</v>
      </c>
      <c r="B120" s="21" t="s">
        <v>234</v>
      </c>
      <c r="C120" s="12">
        <v>1539.9</v>
      </c>
      <c r="D120" s="13">
        <v>1157</v>
      </c>
      <c r="E120" s="10" t="s">
        <v>169</v>
      </c>
      <c r="F120" s="14">
        <v>28927.25</v>
      </c>
      <c r="G120" s="14">
        <f>F120*C120</f>
        <v>44545072.275000006</v>
      </c>
      <c r="H120" s="15">
        <f>IF($G$1279=0,0,G120/$G$1279*100)</f>
      </c>
      <c r="I120" s="12" t="str">
        <f>IF(O120-C120&gt;0,O120-C120,"")</f>
        <v/>
      </c>
      <c r="J120" s="14" t="str">
        <f>IF(I120="","",F120*I120)</f>
        <v/>
      </c>
      <c r="K120" s="15">
        <f>IF(OR(J120="",$G$1279=0),"",J120/$G$1279*100)</f>
      </c>
      <c r="L120" s="12" t="str">
        <f>IF(C120-O120&gt;0,C120-O120,"")</f>
        <v/>
      </c>
      <c r="M120" s="14" t="str">
        <f>IF(L120="","",F120*L120)</f>
        <v/>
      </c>
      <c r="N120" s="15">
        <f>IF(OR(M120="",$G$1279=0),"",M120/$G$1279*100)</f>
      </c>
      <c r="O120" s="12">
        <v>1539.9</v>
      </c>
      <c r="P120" s="14">
        <f>F120*O120</f>
        <v>44545072.275000006</v>
      </c>
      <c r="Q120" s="15">
        <f>IF($P$1279=0,0,P120/$P$1279*100)</f>
      </c>
      <c r="R120" s="10" t="str">
        <f>IF(O120=C120,"TETAP",IF(C120=0,"BARU",IF(O120=0,"HAPUS",IF(O120&gt;C120,"TAMBAH","KURANG"))))</f>
        <v>TETAP</v>
      </c>
    </row>
    <row r="121" spans="1:18" x14ac:dyDescent="0.25">
      <c r="A121" s="10" t="s">
        <v>235</v>
      </c>
      <c r="B121" s="21" t="s">
        <v>173</v>
      </c>
      <c r="C121" s="12">
        <v>10.88</v>
      </c>
      <c r="D121" s="13">
        <v>8.317</v>
      </c>
      <c r="E121" s="10" t="s">
        <v>159</v>
      </c>
      <c r="F121" s="14">
        <v>1504340.14</v>
      </c>
      <c r="G121" s="14">
        <f>F121*C121</f>
        <v>16367220.7232</v>
      </c>
      <c r="H121" s="15">
        <f>IF($G$1279=0,0,G121/$G$1279*100)</f>
      </c>
      <c r="I121" s="12" t="str">
        <f>IF(O121-C121&gt;0,O121-C121,"")</f>
        <v/>
      </c>
      <c r="J121" s="14" t="str">
        <f>IF(I121="","",F121*I121)</f>
        <v/>
      </c>
      <c r="K121" s="15">
        <f>IF(OR(J121="",$G$1279=0),"",J121/$G$1279*100)</f>
      </c>
      <c r="L121" s="12" t="str">
        <f>IF(C121-O121&gt;0,C121-O121,"")</f>
        <v/>
      </c>
      <c r="M121" s="14" t="str">
        <f>IF(L121="","",F121*L121)</f>
        <v/>
      </c>
      <c r="N121" s="15">
        <f>IF(OR(M121="",$G$1279=0),"",M121/$G$1279*100)</f>
      </c>
      <c r="O121" s="12">
        <v>10.88</v>
      </c>
      <c r="P121" s="14">
        <f>F121*O121</f>
        <v>16367220.7232</v>
      </c>
      <c r="Q121" s="15">
        <f>IF($P$1279=0,0,P121/$P$1279*100)</f>
      </c>
      <c r="R121" s="10" t="str">
        <f>IF(O121=C121,"TETAP",IF(C121=0,"BARU",IF(O121=0,"HAPUS",IF(O121&gt;C121,"TAMBAH","KURANG"))))</f>
        <v>TETAP</v>
      </c>
    </row>
    <row r="122" spans="1:18" x14ac:dyDescent="0.25">
      <c r="A122" s="10" t="s">
        <v>236</v>
      </c>
      <c r="B122" s="21" t="s">
        <v>210</v>
      </c>
      <c r="C122" s="12">
        <v>10.88</v>
      </c>
      <c r="D122" s="13">
        <v>8.32</v>
      </c>
      <c r="E122" s="10" t="s">
        <v>159</v>
      </c>
      <c r="F122" s="14">
        <v>45149.88</v>
      </c>
      <c r="G122" s="14">
        <f>F122*C122</f>
        <v>491230.6944</v>
      </c>
      <c r="H122" s="15">
        <f>IF($G$1279=0,0,G122/$G$1279*100)</f>
      </c>
      <c r="I122" s="12" t="str">
        <f>IF(O122-C122&gt;0,O122-C122,"")</f>
        <v/>
      </c>
      <c r="J122" s="14" t="str">
        <f>IF(I122="","",F122*I122)</f>
        <v/>
      </c>
      <c r="K122" s="15">
        <f>IF(OR(J122="",$G$1279=0),"",J122/$G$1279*100)</f>
      </c>
      <c r="L122" s="12" t="str">
        <f>IF(C122-O122&gt;0,C122-O122,"")</f>
        <v/>
      </c>
      <c r="M122" s="14" t="str">
        <f>IF(L122="","",F122*L122)</f>
        <v/>
      </c>
      <c r="N122" s="15">
        <f>IF(OR(M122="",$G$1279=0),"",M122/$G$1279*100)</f>
      </c>
      <c r="O122" s="12">
        <v>10.88</v>
      </c>
      <c r="P122" s="14">
        <f>F122*O122</f>
        <v>491230.6944</v>
      </c>
      <c r="Q122" s="15">
        <f>IF($P$1279=0,0,P122/$P$1279*100)</f>
      </c>
      <c r="R122" s="10" t="str">
        <f>IF(O122=C122,"TETAP",IF(C122=0,"BARU",IF(O122=0,"HAPUS",IF(O122&gt;C122,"TAMBAH","KURANG"))))</f>
        <v>TETAP</v>
      </c>
    </row>
    <row r="123" spans="1:18" x14ac:dyDescent="0.25">
      <c r="A123" s="10" t="s">
        <v>237</v>
      </c>
      <c r="B123" s="21" t="s">
        <v>238</v>
      </c>
      <c r="C123" s="12">
        <v>2176</v>
      </c>
      <c r="D123" s="13">
        <v>1664</v>
      </c>
      <c r="E123" s="10" t="s">
        <v>37</v>
      </c>
      <c r="F123" s="14">
        <v>28117.52</v>
      </c>
      <c r="G123" s="14">
        <f>F123*C123</f>
        <v>61183723.52</v>
      </c>
      <c r="H123" s="15">
        <f>IF($G$1279=0,0,G123/$G$1279*100)</f>
      </c>
      <c r="I123" s="12" t="str">
        <f>IF(O123-C123&gt;0,O123-C123,"")</f>
        <v/>
      </c>
      <c r="J123" s="14" t="str">
        <f>IF(I123="","",F123*I123)</f>
        <v/>
      </c>
      <c r="K123" s="15">
        <f>IF(OR(J123="",$G$1279=0),"",J123/$G$1279*100)</f>
      </c>
      <c r="L123" s="12" t="str">
        <f>IF(C123-O123&gt;0,C123-O123,"")</f>
        <v/>
      </c>
      <c r="M123" s="14" t="str">
        <f>IF(L123="","",F123*L123)</f>
        <v/>
      </c>
      <c r="N123" s="15">
        <f>IF(OR(M123="",$G$1279=0),"",M123/$G$1279*100)</f>
      </c>
      <c r="O123" s="12">
        <v>2176</v>
      </c>
      <c r="P123" s="14">
        <f>F123*O123</f>
        <v>61183723.52</v>
      </c>
      <c r="Q123" s="15">
        <f>IF($P$1279=0,0,P123/$P$1279*100)</f>
      </c>
      <c r="R123" s="10" t="str">
        <f>IF(O123=C123,"TETAP",IF(C123=0,"BARU",IF(O123=0,"HAPUS",IF(O123&gt;C123,"TAMBAH","KURANG"))))</f>
        <v>TETAP</v>
      </c>
    </row>
    <row r="124" spans="1:18" x14ac:dyDescent="0.25">
      <c r="A124" s="5" t="s">
        <v>239</v>
      </c>
      <c r="B124" s="19" t="s">
        <v>240</v>
      </c>
      <c r="C124" s="7"/>
      <c r="D124" s="7"/>
      <c r="E124" s="5"/>
      <c r="F124" s="8"/>
      <c r="G124" s="8"/>
      <c r="H124" s="9"/>
      <c r="I124" s="7"/>
      <c r="J124" s="8"/>
      <c r="K124" s="9"/>
      <c r="L124" s="7"/>
      <c r="M124" s="8"/>
      <c r="N124" s="9"/>
      <c r="O124" s="7"/>
      <c r="P124" s="8"/>
      <c r="Q124" s="9"/>
      <c r="R124" s="5"/>
    </row>
    <row r="125" spans="1:18" x14ac:dyDescent="0.25">
      <c r="A125" s="10" t="s">
        <v>241</v>
      </c>
      <c r="B125" s="21" t="s">
        <v>242</v>
      </c>
      <c r="C125" s="12">
        <v>204</v>
      </c>
      <c r="D125" s="13">
        <v>146</v>
      </c>
      <c r="E125" s="10" t="s">
        <v>26</v>
      </c>
      <c r="F125" s="14">
        <v>229284.3</v>
      </c>
      <c r="G125" s="14">
        <f>F125*C125</f>
        <v>46773997.199999996</v>
      </c>
      <c r="H125" s="15">
        <f>IF($G$1279=0,0,G125/$G$1279*100)</f>
      </c>
      <c r="I125" s="12" t="str">
        <f>IF(O125-C125&gt;0,O125-C125,"")</f>
        <v/>
      </c>
      <c r="J125" s="14" t="str">
        <f>IF(I125="","",F125*I125)</f>
        <v/>
      </c>
      <c r="K125" s="15">
        <f>IF(OR(J125="",$G$1279=0),"",J125/$G$1279*100)</f>
      </c>
      <c r="L125" s="12" t="str">
        <f>IF(C125-O125&gt;0,C125-O125,"")</f>
        <v/>
      </c>
      <c r="M125" s="14" t="str">
        <f>IF(L125="","",F125*L125)</f>
        <v/>
      </c>
      <c r="N125" s="15">
        <f>IF(OR(M125="",$G$1279=0),"",M125/$G$1279*100)</f>
      </c>
      <c r="O125" s="12">
        <v>204</v>
      </c>
      <c r="P125" s="14">
        <f>F125*O125</f>
        <v>46773997.199999996</v>
      </c>
      <c r="Q125" s="15">
        <f>IF($P$1279=0,0,P125/$P$1279*100)</f>
      </c>
      <c r="R125" s="10" t="str">
        <f>IF(O125=C125,"TETAP",IF(C125=0,"BARU",IF(O125=0,"HAPUS",IF(O125&gt;C125,"TAMBAH","KURANG"))))</f>
        <v>TETAP</v>
      </c>
    </row>
    <row r="126" spans="1:18" x14ac:dyDescent="0.25">
      <c r="A126" s="10" t="s">
        <v>243</v>
      </c>
      <c r="B126" s="21" t="s">
        <v>244</v>
      </c>
      <c r="C126" s="12">
        <v>1310.69</v>
      </c>
      <c r="D126" s="13">
        <v>1011</v>
      </c>
      <c r="E126" s="10" t="s">
        <v>169</v>
      </c>
      <c r="F126" s="14">
        <v>28927.25</v>
      </c>
      <c r="G126" s="14">
        <f>F126*C126</f>
        <v>37914657.3025</v>
      </c>
      <c r="H126" s="15">
        <f>IF($G$1279=0,0,G126/$G$1279*100)</f>
      </c>
      <c r="I126" s="12" t="str">
        <f>IF(O126-C126&gt;0,O126-C126,"")</f>
        <v/>
      </c>
      <c r="J126" s="14" t="str">
        <f>IF(I126="","",F126*I126)</f>
        <v/>
      </c>
      <c r="K126" s="15">
        <f>IF(OR(J126="",$G$1279=0),"",J126/$G$1279*100)</f>
      </c>
      <c r="L126" s="12" t="str">
        <f>IF(C126-O126&gt;0,C126-O126,"")</f>
        <v/>
      </c>
      <c r="M126" s="14" t="str">
        <f>IF(L126="","",F126*L126)</f>
        <v/>
      </c>
      <c r="N126" s="15">
        <f>IF(OR(M126="",$G$1279=0),"",M126/$G$1279*100)</f>
      </c>
      <c r="O126" s="12">
        <v>1310.69</v>
      </c>
      <c r="P126" s="14">
        <f>F126*O126</f>
        <v>37914657.3025</v>
      </c>
      <c r="Q126" s="15">
        <f>IF($P$1279=0,0,P126/$P$1279*100)</f>
      </c>
      <c r="R126" s="10" t="str">
        <f>IF(O126=C126,"TETAP",IF(C126=0,"BARU",IF(O126=0,"HAPUS",IF(O126&gt;C126,"TAMBAH","KURANG"))))</f>
        <v>TETAP</v>
      </c>
    </row>
    <row r="127" spans="1:18" x14ac:dyDescent="0.25">
      <c r="A127" s="10" t="s">
        <v>245</v>
      </c>
      <c r="B127" s="21" t="s">
        <v>246</v>
      </c>
      <c r="C127" s="12">
        <v>241.47</v>
      </c>
      <c r="D127" s="13">
        <v>184.65</v>
      </c>
      <c r="E127" s="10" t="s">
        <v>169</v>
      </c>
      <c r="F127" s="14">
        <v>19252.39</v>
      </c>
      <c r="G127" s="14">
        <f>F127*C127</f>
        <v>4648874.613299999</v>
      </c>
      <c r="H127" s="15">
        <f>IF($G$1279=0,0,G127/$G$1279*100)</f>
      </c>
      <c r="I127" s="12" t="str">
        <f>IF(O127-C127&gt;0,O127-C127,"")</f>
        <v/>
      </c>
      <c r="J127" s="14" t="str">
        <f>IF(I127="","",F127*I127)</f>
        <v/>
      </c>
      <c r="K127" s="15">
        <f>IF(OR(J127="",$G$1279=0),"",J127/$G$1279*100)</f>
      </c>
      <c r="L127" s="12" t="str">
        <f>IF(C127-O127&gt;0,C127-O127,"")</f>
        <v/>
      </c>
      <c r="M127" s="14" t="str">
        <f>IF(L127="","",F127*L127)</f>
        <v/>
      </c>
      <c r="N127" s="15">
        <f>IF(OR(M127="",$G$1279=0),"",M127/$G$1279*100)</f>
      </c>
      <c r="O127" s="12">
        <v>241.47</v>
      </c>
      <c r="P127" s="14">
        <f>F127*O127</f>
        <v>4648874.613299999</v>
      </c>
      <c r="Q127" s="15">
        <f>IF($P$1279=0,0,P127/$P$1279*100)</f>
      </c>
      <c r="R127" s="10" t="str">
        <f>IF(O127=C127,"TETAP",IF(C127=0,"BARU",IF(O127=0,"HAPUS",IF(O127&gt;C127,"TAMBAH","KURANG"))))</f>
        <v>TETAP</v>
      </c>
    </row>
    <row r="128" spans="1:18" x14ac:dyDescent="0.25">
      <c r="A128" s="10" t="s">
        <v>247</v>
      </c>
      <c r="B128" s="21" t="s">
        <v>173</v>
      </c>
      <c r="C128" s="12">
        <v>12.75</v>
      </c>
      <c r="D128" s="13">
        <v>9.75</v>
      </c>
      <c r="E128" s="10" t="s">
        <v>159</v>
      </c>
      <c r="F128" s="14">
        <v>1504340.14</v>
      </c>
      <c r="G128" s="14">
        <f>F128*C128</f>
        <v>19180336.785</v>
      </c>
      <c r="H128" s="15">
        <f>IF($G$1279=0,0,G128/$G$1279*100)</f>
      </c>
      <c r="I128" s="12" t="str">
        <f>IF(O128-C128&gt;0,O128-C128,"")</f>
        <v/>
      </c>
      <c r="J128" s="14" t="str">
        <f>IF(I128="","",F128*I128)</f>
        <v/>
      </c>
      <c r="K128" s="15">
        <f>IF(OR(J128="",$G$1279=0),"",J128/$G$1279*100)</f>
      </c>
      <c r="L128" s="12" t="str">
        <f>IF(C128-O128&gt;0,C128-O128,"")</f>
        <v/>
      </c>
      <c r="M128" s="14" t="str">
        <f>IF(L128="","",F128*L128)</f>
        <v/>
      </c>
      <c r="N128" s="15">
        <f>IF(OR(M128="",$G$1279=0),"",M128/$G$1279*100)</f>
      </c>
      <c r="O128" s="12">
        <v>12.75</v>
      </c>
      <c r="P128" s="14">
        <f>F128*O128</f>
        <v>19180336.785</v>
      </c>
      <c r="Q128" s="15">
        <f>IF($P$1279=0,0,P128/$P$1279*100)</f>
      </c>
      <c r="R128" s="10" t="str">
        <f>IF(O128=C128,"TETAP",IF(C128=0,"BARU",IF(O128=0,"HAPUS",IF(O128&gt;C128,"TAMBAH","KURANG"))))</f>
        <v>TETAP</v>
      </c>
    </row>
    <row r="129" spans="1:18" x14ac:dyDescent="0.25">
      <c r="A129" s="10" t="s">
        <v>248</v>
      </c>
      <c r="B129" s="21" t="s">
        <v>210</v>
      </c>
      <c r="C129" s="12">
        <v>12.75</v>
      </c>
      <c r="D129" s="13">
        <v>9.75</v>
      </c>
      <c r="E129" s="10" t="s">
        <v>159</v>
      </c>
      <c r="F129" s="14">
        <v>45149.88</v>
      </c>
      <c r="G129" s="14">
        <f>F129*C129</f>
        <v>575660.97</v>
      </c>
      <c r="H129" s="15">
        <f>IF($G$1279=0,0,G129/$G$1279*100)</f>
      </c>
      <c r="I129" s="12" t="str">
        <f>IF(O129-C129&gt;0,O129-C129,"")</f>
        <v/>
      </c>
      <c r="J129" s="14" t="str">
        <f>IF(I129="","",F129*I129)</f>
        <v/>
      </c>
      <c r="K129" s="15">
        <f>IF(OR(J129="",$G$1279=0),"",J129/$G$1279*100)</f>
      </c>
      <c r="L129" s="12" t="str">
        <f>IF(C129-O129&gt;0,C129-O129,"")</f>
        <v/>
      </c>
      <c r="M129" s="14" t="str">
        <f>IF(L129="","",F129*L129)</f>
        <v/>
      </c>
      <c r="N129" s="15">
        <f>IF(OR(M129="",$G$1279=0),"",M129/$G$1279*100)</f>
      </c>
      <c r="O129" s="12">
        <v>12.75</v>
      </c>
      <c r="P129" s="14">
        <f>F129*O129</f>
        <v>575660.97</v>
      </c>
      <c r="Q129" s="15">
        <f>IF($P$1279=0,0,P129/$P$1279*100)</f>
      </c>
      <c r="R129" s="10" t="str">
        <f>IF(O129=C129,"TETAP",IF(C129=0,"BARU",IF(O129=0,"HAPUS",IF(O129&gt;C129,"TAMBAH","KURANG"))))</f>
        <v>TETAP</v>
      </c>
    </row>
    <row r="130" spans="1:18" x14ac:dyDescent="0.25">
      <c r="A130" s="10" t="s">
        <v>249</v>
      </c>
      <c r="B130" s="18" t="s">
        <v>250</v>
      </c>
      <c r="C130" s="12">
        <v>68</v>
      </c>
      <c r="D130" s="13">
        <v>52</v>
      </c>
      <c r="E130" s="10" t="s">
        <v>114</v>
      </c>
      <c r="F130" s="14">
        <v>236947.26</v>
      </c>
      <c r="G130" s="14">
        <f>F130*C130</f>
        <v>16112413.68</v>
      </c>
      <c r="H130" s="15">
        <f>IF($G$1279=0,0,G130/$G$1279*100)</f>
      </c>
      <c r="I130" s="12" t="str">
        <f>IF(O130-C130&gt;0,O130-C130,"")</f>
        <v/>
      </c>
      <c r="J130" s="14" t="str">
        <f>IF(I130="","",F130*I130)</f>
        <v/>
      </c>
      <c r="K130" s="15">
        <f>IF(OR(J130="",$G$1279=0),"",J130/$G$1279*100)</f>
      </c>
      <c r="L130" s="12" t="str">
        <f>IF(C130-O130&gt;0,C130-O130,"")</f>
        <v/>
      </c>
      <c r="M130" s="14" t="str">
        <f>IF(L130="","",F130*L130)</f>
        <v/>
      </c>
      <c r="N130" s="15">
        <f>IF(OR(M130="",$G$1279=0),"",M130/$G$1279*100)</f>
      </c>
      <c r="O130" s="12">
        <v>68</v>
      </c>
      <c r="P130" s="14">
        <f>F130*O130</f>
        <v>16112413.68</v>
      </c>
      <c r="Q130" s="15">
        <f>IF($P$1279=0,0,P130/$P$1279*100)</f>
      </c>
      <c r="R130" s="10" t="str">
        <f>IF(O130=C130,"TETAP",IF(C130=0,"BARU",IF(O130=0,"HAPUS",IF(O130&gt;C130,"TAMBAH","KURANG"))))</f>
        <v>TETAP</v>
      </c>
    </row>
    <row r="131" spans="1:18" x14ac:dyDescent="0.25">
      <c r="A131" s="5" t="s">
        <v>27</v>
      </c>
      <c r="B131" s="17" t="s">
        <v>251</v>
      </c>
      <c r="C131" s="7"/>
      <c r="D131" s="7"/>
      <c r="E131" s="5"/>
      <c r="F131" s="8"/>
      <c r="G131" s="8"/>
      <c r="H131" s="9"/>
      <c r="I131" s="7"/>
      <c r="J131" s="8"/>
      <c r="K131" s="9"/>
      <c r="L131" s="7"/>
      <c r="M131" s="8"/>
      <c r="N131" s="9"/>
      <c r="O131" s="7"/>
      <c r="P131" s="8"/>
      <c r="Q131" s="9"/>
      <c r="R131" s="5"/>
    </row>
    <row r="132" spans="1:18" x14ac:dyDescent="0.25">
      <c r="A132" s="10" t="s">
        <v>165</v>
      </c>
      <c r="B132" s="18" t="s">
        <v>252</v>
      </c>
      <c r="C132" s="12">
        <v>180.63</v>
      </c>
      <c r="D132" s="13">
        <v>37.17</v>
      </c>
      <c r="E132" s="10" t="s">
        <v>26</v>
      </c>
      <c r="F132" s="14">
        <v>236600.08</v>
      </c>
      <c r="G132" s="14">
        <f>F132*C132</f>
        <v>42737072.450399995</v>
      </c>
      <c r="H132" s="15">
        <f>IF($G$1279=0,0,G132/$G$1279*100)</f>
      </c>
      <c r="I132" s="12" t="str">
        <f>IF(O132-C132&gt;0,O132-C132,"")</f>
        <v/>
      </c>
      <c r="J132" s="14" t="str">
        <f>IF(I132="","",F132*I132)</f>
        <v/>
      </c>
      <c r="K132" s="15">
        <f>IF(OR(J132="",$G$1279=0),"",J132/$G$1279*100)</f>
      </c>
      <c r="L132" s="12" t="str">
        <f>IF(C132-O132&gt;0,C132-O132,"")</f>
        <v/>
      </c>
      <c r="M132" s="14" t="str">
        <f>IF(L132="","",F132*L132)</f>
        <v/>
      </c>
      <c r="N132" s="15">
        <f>IF(OR(M132="",$G$1279=0),"",M132/$G$1279*100)</f>
      </c>
      <c r="O132" s="12">
        <v>180.63</v>
      </c>
      <c r="P132" s="14">
        <f>F132*O132</f>
        <v>42737072.450399995</v>
      </c>
      <c r="Q132" s="15">
        <f>IF($P$1279=0,0,P132/$P$1279*100)</f>
      </c>
      <c r="R132" s="10" t="str">
        <f>IF(O132=C132,"TETAP",IF(C132=0,"BARU",IF(O132=0,"HAPUS",IF(O132&gt;C132,"TAMBAH","KURANG"))))</f>
        <v>TETAP</v>
      </c>
    </row>
    <row r="133" spans="1:18" x14ac:dyDescent="0.25">
      <c r="A133" s="10" t="s">
        <v>167</v>
      </c>
      <c r="B133" s="18" t="s">
        <v>253</v>
      </c>
      <c r="C133" s="12">
        <v>1290.37</v>
      </c>
      <c r="D133" s="13">
        <v>265.66</v>
      </c>
      <c r="E133" s="10" t="s">
        <v>169</v>
      </c>
      <c r="F133" s="14">
        <v>28927.25</v>
      </c>
      <c r="G133" s="14">
        <f>F133*C133</f>
        <v>37326855.582499996</v>
      </c>
      <c r="H133" s="15">
        <f>IF($G$1279=0,0,G133/$G$1279*100)</f>
      </c>
      <c r="I133" s="12" t="str">
        <f>IF(O133-C133&gt;0,O133-C133,"")</f>
        <v/>
      </c>
      <c r="J133" s="14" t="str">
        <f>IF(I133="","",F133*I133)</f>
        <v/>
      </c>
      <c r="K133" s="15">
        <f>IF(OR(J133="",$G$1279=0),"",J133/$G$1279*100)</f>
      </c>
      <c r="L133" s="12" t="str">
        <f>IF(C133-O133&gt;0,C133-O133,"")</f>
        <v/>
      </c>
      <c r="M133" s="14" t="str">
        <f>IF(L133="","",F133*L133)</f>
        <v/>
      </c>
      <c r="N133" s="15">
        <f>IF(OR(M133="",$G$1279=0),"",M133/$G$1279*100)</f>
      </c>
      <c r="O133" s="12">
        <v>1290.37</v>
      </c>
      <c r="P133" s="14">
        <f>F133*O133</f>
        <v>37326855.582499996</v>
      </c>
      <c r="Q133" s="15">
        <f>IF($P$1279=0,0,P133/$P$1279*100)</f>
      </c>
      <c r="R133" s="10" t="str">
        <f>IF(O133=C133,"TETAP",IF(C133=0,"BARU",IF(O133=0,"HAPUS",IF(O133&gt;C133,"TAMBAH","KURANG"))))</f>
        <v>TETAP</v>
      </c>
    </row>
    <row r="134" spans="1:18" x14ac:dyDescent="0.25">
      <c r="A134" s="10" t="s">
        <v>170</v>
      </c>
      <c r="B134" s="18" t="s">
        <v>254</v>
      </c>
      <c r="C134" s="12">
        <v>334.48</v>
      </c>
      <c r="D134" s="13">
        <v>68.86</v>
      </c>
      <c r="E134" s="10" t="s">
        <v>169</v>
      </c>
      <c r="F134" s="14">
        <v>19252.39</v>
      </c>
      <c r="G134" s="14">
        <f>F134*C134</f>
        <v>6439539.4072</v>
      </c>
      <c r="H134" s="15">
        <f>IF($G$1279=0,0,G134/$G$1279*100)</f>
      </c>
      <c r="I134" s="12" t="str">
        <f>IF(O134-C134&gt;0,O134-C134,"")</f>
        <v/>
      </c>
      <c r="J134" s="14" t="str">
        <f>IF(I134="","",F134*I134)</f>
        <v/>
      </c>
      <c r="K134" s="15">
        <f>IF(OR(J134="",$G$1279=0),"",J134/$G$1279*100)</f>
      </c>
      <c r="L134" s="12" t="str">
        <f>IF(C134-O134&gt;0,C134-O134,"")</f>
        <v/>
      </c>
      <c r="M134" s="14" t="str">
        <f>IF(L134="","",F134*L134)</f>
        <v/>
      </c>
      <c r="N134" s="15">
        <f>IF(OR(M134="",$G$1279=0),"",M134/$G$1279*100)</f>
      </c>
      <c r="O134" s="12">
        <v>334.48</v>
      </c>
      <c r="P134" s="14">
        <f>F134*O134</f>
        <v>6439539.4072</v>
      </c>
      <c r="Q134" s="15">
        <f>IF($P$1279=0,0,P134/$P$1279*100)</f>
      </c>
      <c r="R134" s="10" t="str">
        <f>IF(O134=C134,"TETAP",IF(C134=0,"BARU",IF(O134=0,"HAPUS",IF(O134&gt;C134,"TAMBAH","KURANG"))))</f>
        <v>TETAP</v>
      </c>
    </row>
    <row r="135" spans="1:18" x14ac:dyDescent="0.25">
      <c r="A135" s="10" t="s">
        <v>172</v>
      </c>
      <c r="B135" s="18" t="s">
        <v>173</v>
      </c>
      <c r="C135" s="12">
        <v>21.86</v>
      </c>
      <c r="D135" s="13">
        <v>4.5</v>
      </c>
      <c r="E135" s="10" t="s">
        <v>159</v>
      </c>
      <c r="F135" s="14">
        <v>1504340.14</v>
      </c>
      <c r="G135" s="14">
        <f>F135*C135</f>
        <v>32884875.460399996</v>
      </c>
      <c r="H135" s="15">
        <f>IF($G$1279=0,0,G135/$G$1279*100)</f>
      </c>
      <c r="I135" s="12" t="str">
        <f>IF(O135-C135&gt;0,O135-C135,"")</f>
        <v/>
      </c>
      <c r="J135" s="14" t="str">
        <f>IF(I135="","",F135*I135)</f>
        <v/>
      </c>
      <c r="K135" s="15">
        <f>IF(OR(J135="",$G$1279=0),"",J135/$G$1279*100)</f>
      </c>
      <c r="L135" s="12" t="str">
        <f>IF(C135-O135&gt;0,C135-O135,"")</f>
        <v/>
      </c>
      <c r="M135" s="14" t="str">
        <f>IF(L135="","",F135*L135)</f>
        <v/>
      </c>
      <c r="N135" s="15">
        <f>IF(OR(M135="",$G$1279=0),"",M135/$G$1279*100)</f>
      </c>
      <c r="O135" s="12">
        <v>21.86</v>
      </c>
      <c r="P135" s="14">
        <f>F135*O135</f>
        <v>32884875.460399996</v>
      </c>
      <c r="Q135" s="15">
        <f>IF($P$1279=0,0,P135/$P$1279*100)</f>
      </c>
      <c r="R135" s="10" t="str">
        <f>IF(O135=C135,"TETAP",IF(C135=0,"BARU",IF(O135=0,"HAPUS",IF(O135&gt;C135,"TAMBAH","KURANG"))))</f>
        <v>TETAP</v>
      </c>
    </row>
    <row r="136" spans="1:18" x14ac:dyDescent="0.25">
      <c r="A136" s="10" t="s">
        <v>255</v>
      </c>
      <c r="B136" s="18" t="s">
        <v>210</v>
      </c>
      <c r="C136" s="12">
        <v>21.86</v>
      </c>
      <c r="D136" s="13">
        <v>4.5</v>
      </c>
      <c r="E136" s="10" t="s">
        <v>159</v>
      </c>
      <c r="F136" s="14">
        <v>45149.88</v>
      </c>
      <c r="G136" s="14">
        <f>F136*C136</f>
        <v>986976.3768</v>
      </c>
      <c r="H136" s="15">
        <f>IF($G$1279=0,0,G136/$G$1279*100)</f>
      </c>
      <c r="I136" s="12" t="str">
        <f>IF(O136-C136&gt;0,O136-C136,"")</f>
        <v/>
      </c>
      <c r="J136" s="14" t="str">
        <f>IF(I136="","",F136*I136)</f>
        <v/>
      </c>
      <c r="K136" s="15">
        <f>IF(OR(J136="",$G$1279=0),"",J136/$G$1279*100)</f>
      </c>
      <c r="L136" s="12" t="str">
        <f>IF(C136-O136&gt;0,C136-O136,"")</f>
        <v/>
      </c>
      <c r="M136" s="14" t="str">
        <f>IF(L136="","",F136*L136)</f>
        <v/>
      </c>
      <c r="N136" s="15">
        <f>IF(OR(M136="",$G$1279=0),"",M136/$G$1279*100)</f>
      </c>
      <c r="O136" s="12">
        <v>21.86</v>
      </c>
      <c r="P136" s="14">
        <f>F136*O136</f>
        <v>986976.3768</v>
      </c>
      <c r="Q136" s="15">
        <f>IF($P$1279=0,0,P136/$P$1279*100)</f>
      </c>
      <c r="R136" s="10" t="str">
        <f>IF(O136=C136,"TETAP",IF(C136=0,"BARU",IF(O136=0,"HAPUS",IF(O136&gt;C136,"TAMBAH","KURANG"))))</f>
        <v>TETAP</v>
      </c>
    </row>
    <row r="137" spans="1:18" x14ac:dyDescent="0.25">
      <c r="A137" s="10" t="s">
        <v>256</v>
      </c>
      <c r="B137" s="18" t="s">
        <v>257</v>
      </c>
      <c r="C137" s="12">
        <v>21.86</v>
      </c>
      <c r="D137" s="13">
        <v>4.5</v>
      </c>
      <c r="E137" s="10" t="s">
        <v>159</v>
      </c>
      <c r="F137" s="14">
        <v>431478.14</v>
      </c>
      <c r="G137" s="14">
        <f>F137*C137</f>
        <v>9432112.1404</v>
      </c>
      <c r="H137" s="15">
        <f>IF($G$1279=0,0,G137/$G$1279*100)</f>
      </c>
      <c r="I137" s="12" t="str">
        <f>IF(O137-C137&gt;0,O137-C137,"")</f>
        <v/>
      </c>
      <c r="J137" s="14" t="str">
        <f>IF(I137="","",F137*I137)</f>
        <v/>
      </c>
      <c r="K137" s="15">
        <f>IF(OR(J137="",$G$1279=0),"",J137/$G$1279*100)</f>
      </c>
      <c r="L137" s="12" t="str">
        <f>IF(C137-O137&gt;0,C137-O137,"")</f>
        <v/>
      </c>
      <c r="M137" s="14" t="str">
        <f>IF(L137="","",F137*L137)</f>
        <v/>
      </c>
      <c r="N137" s="15">
        <f>IF(OR(M137="",$G$1279=0),"",M137/$G$1279*100)</f>
      </c>
      <c r="O137" s="12">
        <v>21.86</v>
      </c>
      <c r="P137" s="14">
        <f>F137*O137</f>
        <v>9432112.1404</v>
      </c>
      <c r="Q137" s="15">
        <f>IF($P$1279=0,0,P137/$P$1279*100)</f>
      </c>
      <c r="R137" s="10" t="str">
        <f>IF(O137=C137,"TETAP",IF(C137=0,"BARU",IF(O137=0,"HAPUS",IF(O137&gt;C137,"TAMBAH","KURANG"))))</f>
        <v>TETAP</v>
      </c>
    </row>
    <row r="138" spans="1:18" x14ac:dyDescent="0.25">
      <c r="A138" s="5" t="s">
        <v>30</v>
      </c>
      <c r="B138" s="17" t="s">
        <v>258</v>
      </c>
      <c r="C138" s="7"/>
      <c r="D138" s="7"/>
      <c r="E138" s="5"/>
      <c r="F138" s="8"/>
      <c r="G138" s="8"/>
      <c r="H138" s="9"/>
      <c r="I138" s="7"/>
      <c r="J138" s="8"/>
      <c r="K138" s="9"/>
      <c r="L138" s="7"/>
      <c r="M138" s="8"/>
      <c r="N138" s="9"/>
      <c r="O138" s="7"/>
      <c r="P138" s="8"/>
      <c r="Q138" s="9"/>
      <c r="R138" s="5"/>
    </row>
    <row r="139" spans="1:18" x14ac:dyDescent="0.25">
      <c r="A139" s="10" t="s">
        <v>175</v>
      </c>
      <c r="B139" s="18" t="s">
        <v>252</v>
      </c>
      <c r="C139" s="12">
        <v>57.04</v>
      </c>
      <c r="D139" s="13">
        <v>11.74</v>
      </c>
      <c r="E139" s="10" t="s">
        <v>26</v>
      </c>
      <c r="F139" s="14">
        <v>236600.08</v>
      </c>
      <c r="G139" s="14">
        <f>F139*C139</f>
        <v>13495668.563199999</v>
      </c>
      <c r="H139" s="15">
        <f>IF($G$1279=0,0,G139/$G$1279*100)</f>
      </c>
      <c r="I139" s="12" t="str">
        <f>IF(O139-C139&gt;0,O139-C139,"")</f>
        <v/>
      </c>
      <c r="J139" s="14" t="str">
        <f>IF(I139="","",F139*I139)</f>
        <v/>
      </c>
      <c r="K139" s="15">
        <f>IF(OR(J139="",$G$1279=0),"",J139/$G$1279*100)</f>
      </c>
      <c r="L139" s="12" t="str">
        <f>IF(C139-O139&gt;0,C139-O139,"")</f>
        <v/>
      </c>
      <c r="M139" s="14" t="str">
        <f>IF(L139="","",F139*L139)</f>
        <v/>
      </c>
      <c r="N139" s="15">
        <f>IF(OR(M139="",$G$1279=0),"",M139/$G$1279*100)</f>
      </c>
      <c r="O139" s="12">
        <v>57.04</v>
      </c>
      <c r="P139" s="14">
        <f>F139*O139</f>
        <v>13495668.563199999</v>
      </c>
      <c r="Q139" s="15">
        <f>IF($P$1279=0,0,P139/$P$1279*100)</f>
      </c>
      <c r="R139" s="10" t="str">
        <f>IF(O139=C139,"TETAP",IF(C139=0,"BARU",IF(O139=0,"HAPUS",IF(O139&gt;C139,"TAMBAH","KURANG"))))</f>
        <v>TETAP</v>
      </c>
    </row>
    <row r="140" spans="1:18" x14ac:dyDescent="0.25">
      <c r="A140" s="10" t="s">
        <v>176</v>
      </c>
      <c r="B140" s="18" t="s">
        <v>253</v>
      </c>
      <c r="C140" s="12">
        <v>540.22</v>
      </c>
      <c r="D140" s="13">
        <v>206.548</v>
      </c>
      <c r="E140" s="10" t="s">
        <v>169</v>
      </c>
      <c r="F140" s="14">
        <v>28927.25</v>
      </c>
      <c r="G140" s="14">
        <f>F140*C140</f>
        <v>15627078.995000001</v>
      </c>
      <c r="H140" s="15">
        <f>IF($G$1279=0,0,G140/$G$1279*100)</f>
      </c>
      <c r="I140" s="12" t="str">
        <f>IF(O140-C140&gt;0,O140-C140,"")</f>
        <v/>
      </c>
      <c r="J140" s="14" t="str">
        <f>IF(I140="","",F140*I140)</f>
        <v/>
      </c>
      <c r="K140" s="15">
        <f>IF(OR(J140="",$G$1279=0),"",J140/$G$1279*100)</f>
      </c>
      <c r="L140" s="12" t="str">
        <f>IF(C140-O140&gt;0,C140-O140,"")</f>
        <v/>
      </c>
      <c r="M140" s="14" t="str">
        <f>IF(L140="","",F140*L140)</f>
        <v/>
      </c>
      <c r="N140" s="15">
        <f>IF(OR(M140="",$G$1279=0),"",M140/$G$1279*100)</f>
      </c>
      <c r="O140" s="12">
        <v>540.22</v>
      </c>
      <c r="P140" s="14">
        <f>F140*O140</f>
        <v>15627078.995000001</v>
      </c>
      <c r="Q140" s="15">
        <f>IF($P$1279=0,0,P140/$P$1279*100)</f>
      </c>
      <c r="R140" s="10" t="str">
        <f>IF(O140=C140,"TETAP",IF(C140=0,"BARU",IF(O140=0,"HAPUS",IF(O140&gt;C140,"TAMBAH","KURANG"))))</f>
        <v>TETAP</v>
      </c>
    </row>
    <row r="141" spans="1:18" x14ac:dyDescent="0.25">
      <c r="A141" s="10" t="s">
        <v>178</v>
      </c>
      <c r="B141" s="18" t="s">
        <v>254</v>
      </c>
      <c r="C141" s="12">
        <v>162.32</v>
      </c>
      <c r="D141" s="13">
        <v>62.06</v>
      </c>
      <c r="E141" s="10" t="s">
        <v>169</v>
      </c>
      <c r="F141" s="14">
        <v>19252.39</v>
      </c>
      <c r="G141" s="14">
        <f>F141*C141</f>
        <v>3125047.9447999997</v>
      </c>
      <c r="H141" s="15">
        <f>IF($G$1279=0,0,G141/$G$1279*100)</f>
      </c>
      <c r="I141" s="12" t="str">
        <f>IF(O141-C141&gt;0,O141-C141,"")</f>
        <v/>
      </c>
      <c r="J141" s="14" t="str">
        <f>IF(I141="","",F141*I141)</f>
        <v/>
      </c>
      <c r="K141" s="15">
        <f>IF(OR(J141="",$G$1279=0),"",J141/$G$1279*100)</f>
      </c>
      <c r="L141" s="12" t="str">
        <f>IF(C141-O141&gt;0,C141-O141,"")</f>
        <v/>
      </c>
      <c r="M141" s="14" t="str">
        <f>IF(L141="","",F141*L141)</f>
        <v/>
      </c>
      <c r="N141" s="15">
        <f>IF(OR(M141="",$G$1279=0),"",M141/$G$1279*100)</f>
      </c>
      <c r="O141" s="12">
        <v>162.32</v>
      </c>
      <c r="P141" s="14">
        <f>F141*O141</f>
        <v>3125047.9447999997</v>
      </c>
      <c r="Q141" s="15">
        <f>IF($P$1279=0,0,P141/$P$1279*100)</f>
      </c>
      <c r="R141" s="10" t="str">
        <f>IF(O141=C141,"TETAP",IF(C141=0,"BARU",IF(O141=0,"HAPUS",IF(O141&gt;C141,"TAMBAH","KURANG"))))</f>
        <v>TETAP</v>
      </c>
    </row>
    <row r="142" spans="1:18" x14ac:dyDescent="0.25">
      <c r="A142" s="10" t="s">
        <v>180</v>
      </c>
      <c r="B142" s="18" t="s">
        <v>173</v>
      </c>
      <c r="C142" s="12">
        <v>7.01</v>
      </c>
      <c r="D142" s="13">
        <v>1.44</v>
      </c>
      <c r="E142" s="10" t="s">
        <v>159</v>
      </c>
      <c r="F142" s="14">
        <v>1504340.14</v>
      </c>
      <c r="G142" s="14">
        <f>F142*C142</f>
        <v>10545424.381399998</v>
      </c>
      <c r="H142" s="15">
        <f>IF($G$1279=0,0,G142/$G$1279*100)</f>
      </c>
      <c r="I142" s="12" t="str">
        <f>IF(O142-C142&gt;0,O142-C142,"")</f>
        <v/>
      </c>
      <c r="J142" s="14" t="str">
        <f>IF(I142="","",F142*I142)</f>
        <v/>
      </c>
      <c r="K142" s="15">
        <f>IF(OR(J142="",$G$1279=0),"",J142/$G$1279*100)</f>
      </c>
      <c r="L142" s="12" t="str">
        <f>IF(C142-O142&gt;0,C142-O142,"")</f>
        <v/>
      </c>
      <c r="M142" s="14" t="str">
        <f>IF(L142="","",F142*L142)</f>
        <v/>
      </c>
      <c r="N142" s="15">
        <f>IF(OR(M142="",$G$1279=0),"",M142/$G$1279*100)</f>
      </c>
      <c r="O142" s="12">
        <v>7.01</v>
      </c>
      <c r="P142" s="14">
        <f>F142*O142</f>
        <v>10545424.381399998</v>
      </c>
      <c r="Q142" s="15">
        <f>IF($P$1279=0,0,P142/$P$1279*100)</f>
      </c>
      <c r="R142" s="10" t="str">
        <f>IF(O142=C142,"TETAP",IF(C142=0,"BARU",IF(O142=0,"HAPUS",IF(O142&gt;C142,"TAMBAH","KURANG"))))</f>
        <v>TETAP</v>
      </c>
    </row>
    <row r="143" spans="1:18" x14ac:dyDescent="0.25">
      <c r="A143" s="10" t="s">
        <v>181</v>
      </c>
      <c r="B143" s="18" t="s">
        <v>210</v>
      </c>
      <c r="C143" s="12">
        <v>7.01</v>
      </c>
      <c r="D143" s="13">
        <v>1.44</v>
      </c>
      <c r="E143" s="10" t="s">
        <v>159</v>
      </c>
      <c r="F143" s="14">
        <v>45149.88</v>
      </c>
      <c r="G143" s="14">
        <f>F143*C143</f>
        <v>316500.6588</v>
      </c>
      <c r="H143" s="15">
        <f>IF($G$1279=0,0,G143/$G$1279*100)</f>
      </c>
      <c r="I143" s="12" t="str">
        <f>IF(O143-C143&gt;0,O143-C143,"")</f>
        <v/>
      </c>
      <c r="J143" s="14" t="str">
        <f>IF(I143="","",F143*I143)</f>
        <v/>
      </c>
      <c r="K143" s="15">
        <f>IF(OR(J143="",$G$1279=0),"",J143/$G$1279*100)</f>
      </c>
      <c r="L143" s="12" t="str">
        <f>IF(C143-O143&gt;0,C143-O143,"")</f>
        <v/>
      </c>
      <c r="M143" s="14" t="str">
        <f>IF(L143="","",F143*L143)</f>
        <v/>
      </c>
      <c r="N143" s="15">
        <f>IF(OR(M143="",$G$1279=0),"",M143/$G$1279*100)</f>
      </c>
      <c r="O143" s="12">
        <v>7.01</v>
      </c>
      <c r="P143" s="14">
        <f>F143*O143</f>
        <v>316500.6588</v>
      </c>
      <c r="Q143" s="15">
        <f>IF($P$1279=0,0,P143/$P$1279*100)</f>
      </c>
      <c r="R143" s="10" t="str">
        <f>IF(O143=C143,"TETAP",IF(C143=0,"BARU",IF(O143=0,"HAPUS",IF(O143&gt;C143,"TAMBAH","KURANG"))))</f>
        <v>TETAP</v>
      </c>
    </row>
    <row r="144" spans="1:18" x14ac:dyDescent="0.25">
      <c r="A144" s="10" t="s">
        <v>183</v>
      </c>
      <c r="B144" s="18" t="s">
        <v>257</v>
      </c>
      <c r="C144" s="12">
        <v>7.01</v>
      </c>
      <c r="D144" s="13">
        <v>1.44</v>
      </c>
      <c r="E144" s="10" t="s">
        <v>159</v>
      </c>
      <c r="F144" s="14">
        <v>431478.14</v>
      </c>
      <c r="G144" s="14">
        <f>F144*C144</f>
        <v>3024661.7614</v>
      </c>
      <c r="H144" s="15">
        <f>IF($G$1279=0,0,G144/$G$1279*100)</f>
      </c>
      <c r="I144" s="12" t="str">
        <f>IF(O144-C144&gt;0,O144-C144,"")</f>
        <v/>
      </c>
      <c r="J144" s="14" t="str">
        <f>IF(I144="","",F144*I144)</f>
        <v/>
      </c>
      <c r="K144" s="15">
        <f>IF(OR(J144="",$G$1279=0),"",J144/$G$1279*100)</f>
      </c>
      <c r="L144" s="12" t="str">
        <f>IF(C144-O144&gt;0,C144-O144,"")</f>
        <v/>
      </c>
      <c r="M144" s="14" t="str">
        <f>IF(L144="","",F144*L144)</f>
        <v/>
      </c>
      <c r="N144" s="15">
        <f>IF(OR(M144="",$G$1279=0),"",M144/$G$1279*100)</f>
      </c>
      <c r="O144" s="12">
        <v>7.01</v>
      </c>
      <c r="P144" s="14">
        <f>F144*O144</f>
        <v>3024661.7614</v>
      </c>
      <c r="Q144" s="15">
        <f>IF($P$1279=0,0,P144/$P$1279*100)</f>
      </c>
      <c r="R144" s="10" t="str">
        <f>IF(O144=C144,"TETAP",IF(C144=0,"BARU",IF(O144=0,"HAPUS",IF(O144&gt;C144,"TAMBAH","KURANG"))))</f>
        <v>TETAP</v>
      </c>
    </row>
    <row r="145" spans="1:18" x14ac:dyDescent="0.25">
      <c r="A145" s="5" t="s">
        <v>33</v>
      </c>
      <c r="B145" s="17" t="s">
        <v>259</v>
      </c>
      <c r="C145" s="7"/>
      <c r="D145" s="7"/>
      <c r="E145" s="5"/>
      <c r="F145" s="8"/>
      <c r="G145" s="8"/>
      <c r="H145" s="9"/>
      <c r="I145" s="7"/>
      <c r="J145" s="8"/>
      <c r="K145" s="9"/>
      <c r="L145" s="7"/>
      <c r="M145" s="8"/>
      <c r="N145" s="9"/>
      <c r="O145" s="7"/>
      <c r="P145" s="8"/>
      <c r="Q145" s="9"/>
      <c r="R145" s="5"/>
    </row>
    <row r="146" spans="1:18" x14ac:dyDescent="0.25">
      <c r="A146" s="10" t="s">
        <v>186</v>
      </c>
      <c r="B146" s="18" t="s">
        <v>252</v>
      </c>
      <c r="C146" s="12">
        <v>70.46</v>
      </c>
      <c r="D146" s="13">
        <v>14.51</v>
      </c>
      <c r="E146" s="10" t="s">
        <v>26</v>
      </c>
      <c r="F146" s="14">
        <v>236600.08</v>
      </c>
      <c r="G146" s="14">
        <f>F146*C146</f>
        <v>16670841.636799997</v>
      </c>
      <c r="H146" s="15">
        <f>IF($G$1279=0,0,G146/$G$1279*100)</f>
      </c>
      <c r="I146" s="12" t="str">
        <f>IF(O146-C146&gt;0,O146-C146,"")</f>
        <v/>
      </c>
      <c r="J146" s="14" t="str">
        <f>IF(I146="","",F146*I146)</f>
        <v/>
      </c>
      <c r="K146" s="15">
        <f>IF(OR(J146="",$G$1279=0),"",J146/$G$1279*100)</f>
      </c>
      <c r="L146" s="12" t="str">
        <f>IF(C146-O146&gt;0,C146-O146,"")</f>
        <v/>
      </c>
      <c r="M146" s="14" t="str">
        <f>IF(L146="","",F146*L146)</f>
        <v/>
      </c>
      <c r="N146" s="15">
        <f>IF(OR(M146="",$G$1279=0),"",M146/$G$1279*100)</f>
      </c>
      <c r="O146" s="12">
        <v>70.46</v>
      </c>
      <c r="P146" s="14">
        <f>F146*O146</f>
        <v>16670841.636799997</v>
      </c>
      <c r="Q146" s="15">
        <f>IF($P$1279=0,0,P146/$P$1279*100)</f>
      </c>
      <c r="R146" s="10" t="str">
        <f>IF(O146=C146,"TETAP",IF(C146=0,"BARU",IF(O146=0,"HAPUS",IF(O146&gt;C146,"TAMBAH","KURANG"))))</f>
        <v>TETAP</v>
      </c>
    </row>
    <row r="147" spans="1:18" x14ac:dyDescent="0.25">
      <c r="A147" s="10" t="s">
        <v>188</v>
      </c>
      <c r="B147" s="18" t="s">
        <v>253</v>
      </c>
      <c r="C147" s="12">
        <v>790.79</v>
      </c>
      <c r="D147" s="13">
        <v>302.36</v>
      </c>
      <c r="E147" s="10" t="s">
        <v>169</v>
      </c>
      <c r="F147" s="14">
        <v>28927.25</v>
      </c>
      <c r="G147" s="14">
        <f>F147*C147</f>
        <v>22875380.0275</v>
      </c>
      <c r="H147" s="15">
        <f>IF($G$1279=0,0,G147/$G$1279*100)</f>
      </c>
      <c r="I147" s="12" t="str">
        <f>IF(O147-C147&gt;0,O147-C147,"")</f>
        <v/>
      </c>
      <c r="J147" s="14" t="str">
        <f>IF(I147="","",F147*I147)</f>
        <v/>
      </c>
      <c r="K147" s="15">
        <f>IF(OR(J147="",$G$1279=0),"",J147/$G$1279*100)</f>
      </c>
      <c r="L147" s="12" t="str">
        <f>IF(C147-O147&gt;0,C147-O147,"")</f>
        <v/>
      </c>
      <c r="M147" s="14" t="str">
        <f>IF(L147="","",F147*L147)</f>
        <v/>
      </c>
      <c r="N147" s="15">
        <f>IF(OR(M147="",$G$1279=0),"",M147/$G$1279*100)</f>
      </c>
      <c r="O147" s="12">
        <v>790.79</v>
      </c>
      <c r="P147" s="14">
        <f>F147*O147</f>
        <v>22875380.0275</v>
      </c>
      <c r="Q147" s="15">
        <f>IF($P$1279=0,0,P147/$P$1279*100)</f>
      </c>
      <c r="R147" s="10" t="str">
        <f>IF(O147=C147,"TETAP",IF(C147=0,"BARU",IF(O147=0,"HAPUS",IF(O147&gt;C147,"TAMBAH","KURANG"))))</f>
        <v>TETAP</v>
      </c>
    </row>
    <row r="148" spans="1:18" x14ac:dyDescent="0.25">
      <c r="A148" s="10" t="s">
        <v>189</v>
      </c>
      <c r="B148" s="18" t="s">
        <v>254</v>
      </c>
      <c r="C148" s="12">
        <v>229.16</v>
      </c>
      <c r="D148" s="13">
        <v>87.618</v>
      </c>
      <c r="E148" s="10" t="s">
        <v>169</v>
      </c>
      <c r="F148" s="14">
        <v>19252.39</v>
      </c>
      <c r="G148" s="14">
        <f>F148*C148</f>
        <v>4411877.6924</v>
      </c>
      <c r="H148" s="15">
        <f>IF($G$1279=0,0,G148/$G$1279*100)</f>
      </c>
      <c r="I148" s="12" t="str">
        <f>IF(O148-C148&gt;0,O148-C148,"")</f>
        <v/>
      </c>
      <c r="J148" s="14" t="str">
        <f>IF(I148="","",F148*I148)</f>
        <v/>
      </c>
      <c r="K148" s="15">
        <f>IF(OR(J148="",$G$1279=0),"",J148/$G$1279*100)</f>
      </c>
      <c r="L148" s="12" t="str">
        <f>IF(C148-O148&gt;0,C148-O148,"")</f>
        <v/>
      </c>
      <c r="M148" s="14" t="str">
        <f>IF(L148="","",F148*L148)</f>
        <v/>
      </c>
      <c r="N148" s="15">
        <f>IF(OR(M148="",$G$1279=0),"",M148/$G$1279*100)</f>
      </c>
      <c r="O148" s="12">
        <v>229.16</v>
      </c>
      <c r="P148" s="14">
        <f>F148*O148</f>
        <v>4411877.6924</v>
      </c>
      <c r="Q148" s="15">
        <f>IF($P$1279=0,0,P148/$P$1279*100)</f>
      </c>
      <c r="R148" s="10" t="str">
        <f>IF(O148=C148,"TETAP",IF(C148=0,"BARU",IF(O148=0,"HAPUS",IF(O148&gt;C148,"TAMBAH","KURANG"))))</f>
        <v>TETAP</v>
      </c>
    </row>
    <row r="149" spans="1:18" x14ac:dyDescent="0.25">
      <c r="A149" s="10" t="s">
        <v>191</v>
      </c>
      <c r="B149" s="18" t="s">
        <v>173</v>
      </c>
      <c r="C149" s="12">
        <v>8.66</v>
      </c>
      <c r="D149" s="12">
        <v>0</v>
      </c>
      <c r="E149" s="10" t="s">
        <v>159</v>
      </c>
      <c r="F149" s="14">
        <v>1504340.14</v>
      </c>
      <c r="G149" s="14">
        <f>F149*C149</f>
        <v>13027585.612399999</v>
      </c>
      <c r="H149" s="15">
        <f>IF($G$1279=0,0,G149/$G$1279*100)</f>
      </c>
      <c r="I149" s="12" t="str">
        <f>IF(O149-C149&gt;0,O149-C149,"")</f>
        <v/>
      </c>
      <c r="J149" s="14" t="str">
        <f>IF(I149="","",F149*I149)</f>
        <v/>
      </c>
      <c r="K149" s="15">
        <f>IF(OR(J149="",$G$1279=0),"",J149/$G$1279*100)</f>
      </c>
      <c r="L149" s="12" t="str">
        <f>IF(C149-O149&gt;0,C149-O149,"")</f>
        <v/>
      </c>
      <c r="M149" s="14" t="str">
        <f>IF(L149="","",F149*L149)</f>
        <v/>
      </c>
      <c r="N149" s="15">
        <f>IF(OR(M149="",$G$1279=0),"",M149/$G$1279*100)</f>
      </c>
      <c r="O149" s="12">
        <v>8.66</v>
      </c>
      <c r="P149" s="14">
        <f>F149*O149</f>
        <v>13027585.612399999</v>
      </c>
      <c r="Q149" s="15">
        <f>IF($P$1279=0,0,P149/$P$1279*100)</f>
      </c>
      <c r="R149" s="10" t="str">
        <f>IF(O149=C149,"TETAP",IF(C149=0,"BARU",IF(O149=0,"HAPUS",IF(O149&gt;C149,"TAMBAH","KURANG"))))</f>
        <v>TETAP</v>
      </c>
    </row>
    <row r="150" spans="1:18" x14ac:dyDescent="0.25">
      <c r="A150" s="10" t="s">
        <v>260</v>
      </c>
      <c r="B150" s="18" t="s">
        <v>210</v>
      </c>
      <c r="C150" s="12">
        <v>8.66</v>
      </c>
      <c r="D150" s="12">
        <v>0</v>
      </c>
      <c r="E150" s="10" t="s">
        <v>159</v>
      </c>
      <c r="F150" s="14">
        <v>45149.88</v>
      </c>
      <c r="G150" s="14">
        <f>F150*C150</f>
        <v>390997.9608</v>
      </c>
      <c r="H150" s="15">
        <f>IF($G$1279=0,0,G150/$G$1279*100)</f>
      </c>
      <c r="I150" s="12" t="str">
        <f>IF(O150-C150&gt;0,O150-C150,"")</f>
        <v/>
      </c>
      <c r="J150" s="14" t="str">
        <f>IF(I150="","",F150*I150)</f>
        <v/>
      </c>
      <c r="K150" s="15">
        <f>IF(OR(J150="",$G$1279=0),"",J150/$G$1279*100)</f>
      </c>
      <c r="L150" s="12" t="str">
        <f>IF(C150-O150&gt;0,C150-O150,"")</f>
        <v/>
      </c>
      <c r="M150" s="14" t="str">
        <f>IF(L150="","",F150*L150)</f>
        <v/>
      </c>
      <c r="N150" s="15">
        <f>IF(OR(M150="",$G$1279=0),"",M150/$G$1279*100)</f>
      </c>
      <c r="O150" s="12">
        <v>8.66</v>
      </c>
      <c r="P150" s="14">
        <f>F150*O150</f>
        <v>390997.9608</v>
      </c>
      <c r="Q150" s="15">
        <f>IF($P$1279=0,0,P150/$P$1279*100)</f>
      </c>
      <c r="R150" s="10" t="str">
        <f>IF(O150=C150,"TETAP",IF(C150=0,"BARU",IF(O150=0,"HAPUS",IF(O150&gt;C150,"TAMBAH","KURANG"))))</f>
        <v>TETAP</v>
      </c>
    </row>
    <row r="151" spans="1:18" x14ac:dyDescent="0.25">
      <c r="A151" s="10" t="s">
        <v>261</v>
      </c>
      <c r="B151" s="18" t="s">
        <v>257</v>
      </c>
      <c r="C151" s="12">
        <v>8.66</v>
      </c>
      <c r="D151" s="12">
        <v>0</v>
      </c>
      <c r="E151" s="10" t="s">
        <v>159</v>
      </c>
      <c r="F151" s="14">
        <v>431478.14</v>
      </c>
      <c r="G151" s="14">
        <f>F151*C151</f>
        <v>3736600.6924</v>
      </c>
      <c r="H151" s="15">
        <f>IF($G$1279=0,0,G151/$G$1279*100)</f>
      </c>
      <c r="I151" s="12" t="str">
        <f>IF(O151-C151&gt;0,O151-C151,"")</f>
        <v/>
      </c>
      <c r="J151" s="14" t="str">
        <f>IF(I151="","",F151*I151)</f>
        <v/>
      </c>
      <c r="K151" s="15">
        <f>IF(OR(J151="",$G$1279=0),"",J151/$G$1279*100)</f>
      </c>
      <c r="L151" s="12" t="str">
        <f>IF(C151-O151&gt;0,C151-O151,"")</f>
        <v/>
      </c>
      <c r="M151" s="14" t="str">
        <f>IF(L151="","",F151*L151)</f>
        <v/>
      </c>
      <c r="N151" s="15">
        <f>IF(OR(M151="",$G$1279=0),"",M151/$G$1279*100)</f>
      </c>
      <c r="O151" s="12">
        <v>8.66</v>
      </c>
      <c r="P151" s="14">
        <f>F151*O151</f>
        <v>3736600.6924</v>
      </c>
      <c r="Q151" s="15">
        <f>IF($P$1279=0,0,P151/$P$1279*100)</f>
      </c>
      <c r="R151" s="10" t="str">
        <f>IF(O151=C151,"TETAP",IF(C151=0,"BARU",IF(O151=0,"HAPUS",IF(O151&gt;C151,"TAMBAH","KURANG"))))</f>
        <v>TETAP</v>
      </c>
    </row>
    <row r="152" spans="1:18" x14ac:dyDescent="0.25">
      <c r="A152" s="5" t="s">
        <v>35</v>
      </c>
      <c r="B152" s="17" t="s">
        <v>262</v>
      </c>
      <c r="C152" s="7"/>
      <c r="D152" s="7"/>
      <c r="E152" s="5"/>
      <c r="F152" s="8"/>
      <c r="G152" s="8"/>
      <c r="H152" s="9"/>
      <c r="I152" s="7"/>
      <c r="J152" s="8"/>
      <c r="K152" s="9"/>
      <c r="L152" s="7"/>
      <c r="M152" s="8"/>
      <c r="N152" s="9"/>
      <c r="O152" s="7"/>
      <c r="P152" s="8"/>
      <c r="Q152" s="9"/>
      <c r="R152" s="5"/>
    </row>
    <row r="153" spans="1:18" x14ac:dyDescent="0.25">
      <c r="A153" s="10" t="s">
        <v>193</v>
      </c>
      <c r="B153" s="18" t="s">
        <v>252</v>
      </c>
      <c r="C153" s="12">
        <v>32.34</v>
      </c>
      <c r="D153" s="13">
        <v>4.9</v>
      </c>
      <c r="E153" s="10" t="s">
        <v>26</v>
      </c>
      <c r="F153" s="14">
        <v>236600.08</v>
      </c>
      <c r="G153" s="14">
        <f>F153*C153</f>
        <v>7651646.5872</v>
      </c>
      <c r="H153" s="15">
        <f>IF($G$1279=0,0,G153/$G$1279*100)</f>
      </c>
      <c r="I153" s="12" t="str">
        <f>IF(O153-C153&gt;0,O153-C153,"")</f>
        <v/>
      </c>
      <c r="J153" s="14" t="str">
        <f>IF(I153="","",F153*I153)</f>
        <v/>
      </c>
      <c r="K153" s="15">
        <f>IF(OR(J153="",$G$1279=0),"",J153/$G$1279*100)</f>
      </c>
      <c r="L153" s="12" t="str">
        <f>IF(C153-O153&gt;0,C153-O153,"")</f>
        <v/>
      </c>
      <c r="M153" s="14" t="str">
        <f>IF(L153="","",F153*L153)</f>
        <v/>
      </c>
      <c r="N153" s="15">
        <f>IF(OR(M153="",$G$1279=0),"",M153/$G$1279*100)</f>
      </c>
      <c r="O153" s="12">
        <v>32.34</v>
      </c>
      <c r="P153" s="14">
        <f>F153*O153</f>
        <v>7651646.5872</v>
      </c>
      <c r="Q153" s="15">
        <f>IF($P$1279=0,0,P153/$P$1279*100)</f>
      </c>
      <c r="R153" s="10" t="str">
        <f>IF(O153=C153,"TETAP",IF(C153=0,"BARU",IF(O153=0,"HAPUS",IF(O153&gt;C153,"TAMBAH","KURANG"))))</f>
        <v>TETAP</v>
      </c>
    </row>
    <row r="154" spans="1:18" x14ac:dyDescent="0.25">
      <c r="A154" s="10" t="s">
        <v>195</v>
      </c>
      <c r="B154" s="18" t="s">
        <v>263</v>
      </c>
      <c r="C154" s="12">
        <v>187.17</v>
      </c>
      <c r="D154" s="13">
        <v>28.36</v>
      </c>
      <c r="E154" s="10" t="s">
        <v>169</v>
      </c>
      <c r="F154" s="14">
        <v>19252.39</v>
      </c>
      <c r="G154" s="14">
        <f>F154*C154</f>
        <v>3603469.8362999996</v>
      </c>
      <c r="H154" s="15">
        <f>IF($G$1279=0,0,G154/$G$1279*100)</f>
      </c>
      <c r="I154" s="12" t="str">
        <f>IF(O154-C154&gt;0,O154-C154,"")</f>
        <v/>
      </c>
      <c r="J154" s="14" t="str">
        <f>IF(I154="","",F154*I154)</f>
        <v/>
      </c>
      <c r="K154" s="15">
        <f>IF(OR(J154="",$G$1279=0),"",J154/$G$1279*100)</f>
      </c>
      <c r="L154" s="12" t="str">
        <f>IF(C154-O154&gt;0,C154-O154,"")</f>
        <v/>
      </c>
      <c r="M154" s="14" t="str">
        <f>IF(L154="","",F154*L154)</f>
        <v/>
      </c>
      <c r="N154" s="15">
        <f>IF(OR(M154="",$G$1279=0),"",M154/$G$1279*100)</f>
      </c>
      <c r="O154" s="12">
        <v>187.17</v>
      </c>
      <c r="P154" s="14">
        <f>F154*O154</f>
        <v>3603469.8362999996</v>
      </c>
      <c r="Q154" s="15">
        <f>IF($P$1279=0,0,P154/$P$1279*100)</f>
      </c>
      <c r="R154" s="10" t="str">
        <f>IF(O154=C154,"TETAP",IF(C154=0,"BARU",IF(O154=0,"HAPUS",IF(O154&gt;C154,"TAMBAH","KURANG"))))</f>
        <v>TETAP</v>
      </c>
    </row>
    <row r="155" spans="1:18" x14ac:dyDescent="0.25">
      <c r="A155" s="10" t="s">
        <v>197</v>
      </c>
      <c r="B155" s="18" t="s">
        <v>254</v>
      </c>
      <c r="C155" s="12">
        <v>83.33</v>
      </c>
      <c r="D155" s="13">
        <v>12.63</v>
      </c>
      <c r="E155" s="10" t="s">
        <v>169</v>
      </c>
      <c r="F155" s="14">
        <v>19252.39</v>
      </c>
      <c r="G155" s="14">
        <f>F155*C155</f>
        <v>1604301.6587</v>
      </c>
      <c r="H155" s="15">
        <f>IF($G$1279=0,0,G155/$G$1279*100)</f>
      </c>
      <c r="I155" s="12" t="str">
        <f>IF(O155-C155&gt;0,O155-C155,"")</f>
        <v/>
      </c>
      <c r="J155" s="14" t="str">
        <f>IF(I155="","",F155*I155)</f>
        <v/>
      </c>
      <c r="K155" s="15">
        <f>IF(OR(J155="",$G$1279=0),"",J155/$G$1279*100)</f>
      </c>
      <c r="L155" s="12" t="str">
        <f>IF(C155-O155&gt;0,C155-O155,"")</f>
        <v/>
      </c>
      <c r="M155" s="14" t="str">
        <f>IF(L155="","",F155*L155)</f>
        <v/>
      </c>
      <c r="N155" s="15">
        <f>IF(OR(M155="",$G$1279=0),"",M155/$G$1279*100)</f>
      </c>
      <c r="O155" s="12">
        <v>83.33</v>
      </c>
      <c r="P155" s="14">
        <f>F155*O155</f>
        <v>1604301.6587</v>
      </c>
      <c r="Q155" s="15">
        <f>IF($P$1279=0,0,P155/$P$1279*100)</f>
      </c>
      <c r="R155" s="10" t="str">
        <f>IF(O155=C155,"TETAP",IF(C155=0,"BARU",IF(O155=0,"HAPUS",IF(O155&gt;C155,"TAMBAH","KURANG"))))</f>
        <v>TETAP</v>
      </c>
    </row>
    <row r="156" spans="1:18" x14ac:dyDescent="0.25">
      <c r="A156" s="10" t="s">
        <v>198</v>
      </c>
      <c r="B156" s="18" t="s">
        <v>173</v>
      </c>
      <c r="C156" s="12">
        <v>3.61</v>
      </c>
      <c r="D156" s="12">
        <v>0</v>
      </c>
      <c r="E156" s="10" t="s">
        <v>159</v>
      </c>
      <c r="F156" s="14">
        <v>1504340.14</v>
      </c>
      <c r="G156" s="14">
        <f>F156*C156</f>
        <v>5430667.9054</v>
      </c>
      <c r="H156" s="15">
        <f>IF($G$1279=0,0,G156/$G$1279*100)</f>
      </c>
      <c r="I156" s="12" t="str">
        <f>IF(O156-C156&gt;0,O156-C156,"")</f>
        <v/>
      </c>
      <c r="J156" s="14" t="str">
        <f>IF(I156="","",F156*I156)</f>
        <v/>
      </c>
      <c r="K156" s="15">
        <f>IF(OR(J156="",$G$1279=0),"",J156/$G$1279*100)</f>
      </c>
      <c r="L156" s="12" t="str">
        <f>IF(C156-O156&gt;0,C156-O156,"")</f>
        <v/>
      </c>
      <c r="M156" s="14" t="str">
        <f>IF(L156="","",F156*L156)</f>
        <v/>
      </c>
      <c r="N156" s="15">
        <f>IF(OR(M156="",$G$1279=0),"",M156/$G$1279*100)</f>
      </c>
      <c r="O156" s="12">
        <v>3.61</v>
      </c>
      <c r="P156" s="14">
        <f>F156*O156</f>
        <v>5430667.9054</v>
      </c>
      <c r="Q156" s="15">
        <f>IF($P$1279=0,0,P156/$P$1279*100)</f>
      </c>
      <c r="R156" s="10" t="str">
        <f>IF(O156=C156,"TETAP",IF(C156=0,"BARU",IF(O156=0,"HAPUS",IF(O156&gt;C156,"TAMBAH","KURANG"))))</f>
        <v>TETAP</v>
      </c>
    </row>
    <row r="157" spans="1:18" x14ac:dyDescent="0.25">
      <c r="A157" s="10" t="s">
        <v>264</v>
      </c>
      <c r="B157" s="18" t="s">
        <v>210</v>
      </c>
      <c r="C157" s="12">
        <v>3.61</v>
      </c>
      <c r="D157" s="12">
        <v>0</v>
      </c>
      <c r="E157" s="10" t="s">
        <v>159</v>
      </c>
      <c r="F157" s="14">
        <v>45149.88</v>
      </c>
      <c r="G157" s="14">
        <f>F157*C157</f>
        <v>162991.06679999997</v>
      </c>
      <c r="H157" s="15">
        <f>IF($G$1279=0,0,G157/$G$1279*100)</f>
      </c>
      <c r="I157" s="12" t="str">
        <f>IF(O157-C157&gt;0,O157-C157,"")</f>
        <v/>
      </c>
      <c r="J157" s="14" t="str">
        <f>IF(I157="","",F157*I157)</f>
        <v/>
      </c>
      <c r="K157" s="15">
        <f>IF(OR(J157="",$G$1279=0),"",J157/$G$1279*100)</f>
      </c>
      <c r="L157" s="12" t="str">
        <f>IF(C157-O157&gt;0,C157-O157,"")</f>
        <v/>
      </c>
      <c r="M157" s="14" t="str">
        <f>IF(L157="","",F157*L157)</f>
        <v/>
      </c>
      <c r="N157" s="15">
        <f>IF(OR(M157="",$G$1279=0),"",M157/$G$1279*100)</f>
      </c>
      <c r="O157" s="12">
        <v>3.61</v>
      </c>
      <c r="P157" s="14">
        <f>F157*O157</f>
        <v>162991.06679999997</v>
      </c>
      <c r="Q157" s="15">
        <f>IF($P$1279=0,0,P157/$P$1279*100)</f>
      </c>
      <c r="R157" s="10" t="str">
        <f>IF(O157=C157,"TETAP",IF(C157=0,"BARU",IF(O157=0,"HAPUS",IF(O157&gt;C157,"TAMBAH","KURANG"))))</f>
        <v>TETAP</v>
      </c>
    </row>
    <row r="158" spans="1:18" x14ac:dyDescent="0.25">
      <c r="A158" s="10" t="s">
        <v>265</v>
      </c>
      <c r="B158" s="18" t="s">
        <v>257</v>
      </c>
      <c r="C158" s="12">
        <v>3.61</v>
      </c>
      <c r="D158" s="12">
        <v>0</v>
      </c>
      <c r="E158" s="10" t="s">
        <v>159</v>
      </c>
      <c r="F158" s="14">
        <v>431478.14</v>
      </c>
      <c r="G158" s="14">
        <f>F158*C158</f>
        <v>1557636.0854</v>
      </c>
      <c r="H158" s="15">
        <f>IF($G$1279=0,0,G158/$G$1279*100)</f>
      </c>
      <c r="I158" s="12" t="str">
        <f>IF(O158-C158&gt;0,O158-C158,"")</f>
        <v/>
      </c>
      <c r="J158" s="14" t="str">
        <f>IF(I158="","",F158*I158)</f>
        <v/>
      </c>
      <c r="K158" s="15">
        <f>IF(OR(J158="",$G$1279=0),"",J158/$G$1279*100)</f>
      </c>
      <c r="L158" s="12" t="str">
        <f>IF(C158-O158&gt;0,C158-O158,"")</f>
        <v/>
      </c>
      <c r="M158" s="14" t="str">
        <f>IF(L158="","",F158*L158)</f>
        <v/>
      </c>
      <c r="N158" s="15">
        <f>IF(OR(M158="",$G$1279=0),"",M158/$G$1279*100)</f>
      </c>
      <c r="O158" s="12">
        <v>3.61</v>
      </c>
      <c r="P158" s="14">
        <f>F158*O158</f>
        <v>1557636.0854</v>
      </c>
      <c r="Q158" s="15">
        <f>IF($P$1279=0,0,P158/$P$1279*100)</f>
      </c>
      <c r="R158" s="10" t="str">
        <f>IF(O158=C158,"TETAP",IF(C158=0,"BARU",IF(O158=0,"HAPUS",IF(O158&gt;C158,"TAMBAH","KURANG"))))</f>
        <v>TETAP</v>
      </c>
    </row>
    <row r="159" spans="1:18" x14ac:dyDescent="0.25">
      <c r="A159" s="5" t="s">
        <v>38</v>
      </c>
      <c r="B159" s="17" t="s">
        <v>266</v>
      </c>
      <c r="C159" s="7"/>
      <c r="D159" s="7"/>
      <c r="E159" s="5"/>
      <c r="F159" s="8"/>
      <c r="G159" s="8"/>
      <c r="H159" s="9"/>
      <c r="I159" s="7"/>
      <c r="J159" s="8"/>
      <c r="K159" s="9"/>
      <c r="L159" s="7"/>
      <c r="M159" s="8"/>
      <c r="N159" s="9"/>
      <c r="O159" s="7"/>
      <c r="P159" s="8"/>
      <c r="Q159" s="9"/>
      <c r="R159" s="5"/>
    </row>
    <row r="160" spans="1:18" x14ac:dyDescent="0.25">
      <c r="A160" s="10" t="s">
        <v>200</v>
      </c>
      <c r="B160" s="18" t="s">
        <v>267</v>
      </c>
      <c r="C160" s="12">
        <v>297.39</v>
      </c>
      <c r="D160" s="13">
        <v>54.067</v>
      </c>
      <c r="E160" s="10" t="s">
        <v>26</v>
      </c>
      <c r="F160" s="14">
        <v>243079.61</v>
      </c>
      <c r="G160" s="14">
        <f>F160*C160</f>
        <v>72289445.2179</v>
      </c>
      <c r="H160" s="15">
        <f>IF($G$1279=0,0,G160/$G$1279*100)</f>
      </c>
      <c r="I160" s="12" t="str">
        <f>IF(O160-C160&gt;0,O160-C160,"")</f>
        <v/>
      </c>
      <c r="J160" s="14" t="str">
        <f>IF(I160="","",F160*I160)</f>
        <v/>
      </c>
      <c r="K160" s="15">
        <f>IF(OR(J160="",$G$1279=0),"",J160/$G$1279*100)</f>
      </c>
      <c r="L160" s="12" t="str">
        <f>IF(C160-O160&gt;0,C160-O160,"")</f>
        <v/>
      </c>
      <c r="M160" s="14" t="str">
        <f>IF(L160="","",F160*L160)</f>
        <v/>
      </c>
      <c r="N160" s="15">
        <f>IF(OR(M160="",$G$1279=0),"",M160/$G$1279*100)</f>
      </c>
      <c r="O160" s="12">
        <v>297.39</v>
      </c>
      <c r="P160" s="14">
        <f>F160*O160</f>
        <v>72289445.2179</v>
      </c>
      <c r="Q160" s="15">
        <f>IF($P$1279=0,0,P160/$P$1279*100)</f>
      </c>
      <c r="R160" s="10" t="str">
        <f>IF(O160=C160,"TETAP",IF(C160=0,"BARU",IF(O160=0,"HAPUS",IF(O160&gt;C160,"TAMBAH","KURANG"))))</f>
        <v>TETAP</v>
      </c>
    </row>
    <row r="161" spans="1:18" x14ac:dyDescent="0.25">
      <c r="A161" s="10" t="s">
        <v>202</v>
      </c>
      <c r="B161" s="18" t="s">
        <v>268</v>
      </c>
      <c r="C161" s="12">
        <v>1263.21</v>
      </c>
      <c r="D161" s="13">
        <v>229.67</v>
      </c>
      <c r="E161" s="10" t="s">
        <v>169</v>
      </c>
      <c r="F161" s="14">
        <v>19252.39</v>
      </c>
      <c r="G161" s="14">
        <f>F161*C161</f>
        <v>24319811.5719</v>
      </c>
      <c r="H161" s="15">
        <f>IF($G$1279=0,0,G161/$G$1279*100)</f>
      </c>
      <c r="I161" s="12" t="str">
        <f>IF(O161-C161&gt;0,O161-C161,"")</f>
        <v/>
      </c>
      <c r="J161" s="14" t="str">
        <f>IF(I161="","",F161*I161)</f>
        <v/>
      </c>
      <c r="K161" s="15">
        <f>IF(OR(J161="",$G$1279=0),"",J161/$G$1279*100)</f>
      </c>
      <c r="L161" s="12" t="str">
        <f>IF(C161-O161&gt;0,C161-O161,"")</f>
        <v/>
      </c>
      <c r="M161" s="14" t="str">
        <f>IF(L161="","",F161*L161)</f>
        <v/>
      </c>
      <c r="N161" s="15">
        <f>IF(OR(M161="",$G$1279=0),"",M161/$G$1279*100)</f>
      </c>
      <c r="O161" s="12">
        <v>1263.21</v>
      </c>
      <c r="P161" s="14">
        <f>F161*O161</f>
        <v>24319811.5719</v>
      </c>
      <c r="Q161" s="15">
        <f>IF($P$1279=0,0,P161/$P$1279*100)</f>
      </c>
      <c r="R161" s="10" t="str">
        <f>IF(O161=C161,"TETAP",IF(C161=0,"BARU",IF(O161=0,"HAPUS",IF(O161&gt;C161,"TAMBAH","KURANG"))))</f>
        <v>TETAP</v>
      </c>
    </row>
    <row r="162" spans="1:18" x14ac:dyDescent="0.25">
      <c r="A162" s="10" t="s">
        <v>203</v>
      </c>
      <c r="B162" s="18" t="s">
        <v>173</v>
      </c>
      <c r="C162" s="12">
        <v>23.76</v>
      </c>
      <c r="D162" s="13">
        <v>4.32</v>
      </c>
      <c r="E162" s="10" t="s">
        <v>159</v>
      </c>
      <c r="F162" s="14">
        <v>1504340.14</v>
      </c>
      <c r="G162" s="14">
        <f>F162*C162</f>
        <v>35743121.7264</v>
      </c>
      <c r="H162" s="15">
        <f>IF($G$1279=0,0,G162/$G$1279*100)</f>
      </c>
      <c r="I162" s="12" t="str">
        <f>IF(O162-C162&gt;0,O162-C162,"")</f>
        <v/>
      </c>
      <c r="J162" s="14" t="str">
        <f>IF(I162="","",F162*I162)</f>
        <v/>
      </c>
      <c r="K162" s="15">
        <f>IF(OR(J162="",$G$1279=0),"",J162/$G$1279*100)</f>
      </c>
      <c r="L162" s="12" t="str">
        <f>IF(C162-O162&gt;0,C162-O162,"")</f>
        <v/>
      </c>
      <c r="M162" s="14" t="str">
        <f>IF(L162="","",F162*L162)</f>
        <v/>
      </c>
      <c r="N162" s="15">
        <f>IF(OR(M162="",$G$1279=0),"",M162/$G$1279*100)</f>
      </c>
      <c r="O162" s="12">
        <v>23.76</v>
      </c>
      <c r="P162" s="14">
        <f>F162*O162</f>
        <v>35743121.7264</v>
      </c>
      <c r="Q162" s="15">
        <f>IF($P$1279=0,0,P162/$P$1279*100)</f>
      </c>
      <c r="R162" s="10" t="str">
        <f>IF(O162=C162,"TETAP",IF(C162=0,"BARU",IF(O162=0,"HAPUS",IF(O162&gt;C162,"TAMBAH","KURANG"))))</f>
        <v>TETAP</v>
      </c>
    </row>
    <row r="163" spans="1:18" x14ac:dyDescent="0.25">
      <c r="A163" s="10" t="s">
        <v>204</v>
      </c>
      <c r="B163" s="18" t="s">
        <v>210</v>
      </c>
      <c r="C163" s="12">
        <v>23.76</v>
      </c>
      <c r="D163" s="13">
        <v>4.32</v>
      </c>
      <c r="E163" s="10" t="s">
        <v>159</v>
      </c>
      <c r="F163" s="14">
        <v>45149.88</v>
      </c>
      <c r="G163" s="14">
        <f>F163*C163</f>
        <v>1072761.1488</v>
      </c>
      <c r="H163" s="15">
        <f>IF($G$1279=0,0,G163/$G$1279*100)</f>
      </c>
      <c r="I163" s="12" t="str">
        <f>IF(O163-C163&gt;0,O163-C163,"")</f>
        <v/>
      </c>
      <c r="J163" s="14" t="str">
        <f>IF(I163="","",F163*I163)</f>
        <v/>
      </c>
      <c r="K163" s="15">
        <f>IF(OR(J163="",$G$1279=0),"",J163/$G$1279*100)</f>
      </c>
      <c r="L163" s="12" t="str">
        <f>IF(C163-O163&gt;0,C163-O163,"")</f>
        <v/>
      </c>
      <c r="M163" s="14" t="str">
        <f>IF(L163="","",F163*L163)</f>
        <v/>
      </c>
      <c r="N163" s="15">
        <f>IF(OR(M163="",$G$1279=0),"",M163/$G$1279*100)</f>
      </c>
      <c r="O163" s="12">
        <v>23.76</v>
      </c>
      <c r="P163" s="14">
        <f>F163*O163</f>
        <v>1072761.1488</v>
      </c>
      <c r="Q163" s="15">
        <f>IF($P$1279=0,0,P163/$P$1279*100)</f>
      </c>
      <c r="R163" s="10" t="str">
        <f>IF(O163=C163,"TETAP",IF(C163=0,"BARU",IF(O163=0,"HAPUS",IF(O163&gt;C163,"TAMBAH","KURANG"))))</f>
        <v>TETAP</v>
      </c>
    </row>
    <row r="164" spans="1:18" x14ac:dyDescent="0.25">
      <c r="A164" s="10" t="s">
        <v>206</v>
      </c>
      <c r="B164" s="18" t="s">
        <v>257</v>
      </c>
      <c r="C164" s="12">
        <v>23.76</v>
      </c>
      <c r="D164" s="13">
        <v>4.32</v>
      </c>
      <c r="E164" s="10" t="s">
        <v>159</v>
      </c>
      <c r="F164" s="14">
        <v>431478.14</v>
      </c>
      <c r="G164" s="14">
        <f>F164*C164</f>
        <v>10251920.606400002</v>
      </c>
      <c r="H164" s="15">
        <f>IF($G$1279=0,0,G164/$G$1279*100)</f>
      </c>
      <c r="I164" s="12" t="str">
        <f>IF(O164-C164&gt;0,O164-C164,"")</f>
        <v/>
      </c>
      <c r="J164" s="14" t="str">
        <f>IF(I164="","",F164*I164)</f>
        <v/>
      </c>
      <c r="K164" s="15">
        <f>IF(OR(J164="",$G$1279=0),"",J164/$G$1279*100)</f>
      </c>
      <c r="L164" s="12" t="str">
        <f>IF(C164-O164&gt;0,C164-O164,"")</f>
        <v/>
      </c>
      <c r="M164" s="14" t="str">
        <f>IF(L164="","",F164*L164)</f>
        <v/>
      </c>
      <c r="N164" s="15">
        <f>IF(OR(M164="",$G$1279=0),"",M164/$G$1279*100)</f>
      </c>
      <c r="O164" s="12">
        <v>23.76</v>
      </c>
      <c r="P164" s="14">
        <f>F164*O164</f>
        <v>10251920.606400002</v>
      </c>
      <c r="Q164" s="15">
        <f>IF($P$1279=0,0,P164/$P$1279*100)</f>
      </c>
      <c r="R164" s="10" t="str">
        <f>IF(O164=C164,"TETAP",IF(C164=0,"BARU",IF(O164=0,"HAPUS",IF(O164&gt;C164,"TAMBAH","KURANG"))))</f>
        <v>TETAP</v>
      </c>
    </row>
    <row r="165" spans="1:18" x14ac:dyDescent="0.25">
      <c r="A165" s="5" t="s">
        <v>108</v>
      </c>
      <c r="B165" s="17" t="s">
        <v>269</v>
      </c>
      <c r="C165" s="7"/>
      <c r="D165" s="7"/>
      <c r="E165" s="5"/>
      <c r="F165" s="8"/>
      <c r="G165" s="8"/>
      <c r="H165" s="9"/>
      <c r="I165" s="7"/>
      <c r="J165" s="8"/>
      <c r="K165" s="9"/>
      <c r="L165" s="7"/>
      <c r="M165" s="8"/>
      <c r="N165" s="9"/>
      <c r="O165" s="7"/>
      <c r="P165" s="8"/>
      <c r="Q165" s="9"/>
      <c r="R165" s="5"/>
    </row>
    <row r="166" spans="1:18" x14ac:dyDescent="0.25">
      <c r="A166" s="10" t="s">
        <v>212</v>
      </c>
      <c r="B166" s="18" t="s">
        <v>242</v>
      </c>
      <c r="C166" s="12">
        <v>7.04</v>
      </c>
      <c r="D166" s="13">
        <v>1.28</v>
      </c>
      <c r="E166" s="10" t="s">
        <v>26</v>
      </c>
      <c r="F166" s="14">
        <v>229284.3</v>
      </c>
      <c r="G166" s="14">
        <f>F166*C166</f>
        <v>1614161.4719999998</v>
      </c>
      <c r="H166" s="15">
        <f>IF($G$1279=0,0,G166/$G$1279*100)</f>
      </c>
      <c r="I166" s="12" t="str">
        <f>IF(O166-C166&gt;0,O166-C166,"")</f>
        <v/>
      </c>
      <c r="J166" s="14" t="str">
        <f>IF(I166="","",F166*I166)</f>
        <v/>
      </c>
      <c r="K166" s="15">
        <f>IF(OR(J166="",$G$1279=0),"",J166/$G$1279*100)</f>
      </c>
      <c r="L166" s="12" t="str">
        <f>IF(C166-O166&gt;0,C166-O166,"")</f>
        <v/>
      </c>
      <c r="M166" s="14" t="str">
        <f>IF(L166="","",F166*L166)</f>
        <v/>
      </c>
      <c r="N166" s="15">
        <f>IF(OR(M166="",$G$1279=0),"",M166/$G$1279*100)</f>
      </c>
      <c r="O166" s="12">
        <v>7.04</v>
      </c>
      <c r="P166" s="14">
        <f>F166*O166</f>
        <v>1614161.4719999998</v>
      </c>
      <c r="Q166" s="15">
        <f>IF($P$1279=0,0,P166/$P$1279*100)</f>
      </c>
      <c r="R166" s="10" t="str">
        <f>IF(O166=C166,"TETAP",IF(C166=0,"BARU",IF(O166=0,"HAPUS",IF(O166&gt;C166,"TAMBAH","KURANG"))))</f>
        <v>TETAP</v>
      </c>
    </row>
    <row r="167" spans="1:18" x14ac:dyDescent="0.25">
      <c r="A167" s="10" t="s">
        <v>214</v>
      </c>
      <c r="B167" s="18" t="s">
        <v>270</v>
      </c>
      <c r="C167" s="12">
        <v>25.65</v>
      </c>
      <c r="D167" s="12">
        <v>0</v>
      </c>
      <c r="E167" s="10" t="s">
        <v>169</v>
      </c>
      <c r="F167" s="14">
        <v>19252.39</v>
      </c>
      <c r="G167" s="14">
        <f>F167*C167</f>
        <v>493823.8035</v>
      </c>
      <c r="H167" s="15">
        <f>IF($G$1279=0,0,G167/$G$1279*100)</f>
      </c>
      <c r="I167" s="12" t="str">
        <f>IF(O167-C167&gt;0,O167-C167,"")</f>
        <v/>
      </c>
      <c r="J167" s="14" t="str">
        <f>IF(I167="","",F167*I167)</f>
        <v/>
      </c>
      <c r="K167" s="15">
        <f>IF(OR(J167="",$G$1279=0),"",J167/$G$1279*100)</f>
      </c>
      <c r="L167" s="12" t="str">
        <f>IF(C167-O167&gt;0,C167-O167,"")</f>
        <v/>
      </c>
      <c r="M167" s="14" t="str">
        <f>IF(L167="","",F167*L167)</f>
        <v/>
      </c>
      <c r="N167" s="15">
        <f>IF(OR(M167="",$G$1279=0),"",M167/$G$1279*100)</f>
      </c>
      <c r="O167" s="12">
        <v>25.65</v>
      </c>
      <c r="P167" s="14">
        <f>F167*O167</f>
        <v>493823.8035</v>
      </c>
      <c r="Q167" s="15">
        <f>IF($P$1279=0,0,P167/$P$1279*100)</f>
      </c>
      <c r="R167" s="10" t="str">
        <f>IF(O167=C167,"TETAP",IF(C167=0,"BARU",IF(O167=0,"HAPUS",IF(O167&gt;C167,"TAMBAH","KURANG"))))</f>
        <v>TETAP</v>
      </c>
    </row>
    <row r="168" spans="1:18" x14ac:dyDescent="0.25">
      <c r="A168" s="10" t="s">
        <v>216</v>
      </c>
      <c r="B168" s="18" t="s">
        <v>271</v>
      </c>
      <c r="C168" s="12">
        <v>11.1</v>
      </c>
      <c r="D168" s="13">
        <v>2.02</v>
      </c>
      <c r="E168" s="10" t="s">
        <v>169</v>
      </c>
      <c r="F168" s="14">
        <v>19252.39</v>
      </c>
      <c r="G168" s="14">
        <f>F168*C168</f>
        <v>213701.52899999998</v>
      </c>
      <c r="H168" s="15">
        <f>IF($G$1279=0,0,G168/$G$1279*100)</f>
      </c>
      <c r="I168" s="12" t="str">
        <f>IF(O168-C168&gt;0,O168-C168,"")</f>
        <v/>
      </c>
      <c r="J168" s="14" t="str">
        <f>IF(I168="","",F168*I168)</f>
        <v/>
      </c>
      <c r="K168" s="15">
        <f>IF(OR(J168="",$G$1279=0),"",J168/$G$1279*100)</f>
      </c>
      <c r="L168" s="12" t="str">
        <f>IF(C168-O168&gt;0,C168-O168,"")</f>
        <v/>
      </c>
      <c r="M168" s="14" t="str">
        <f>IF(L168="","",F168*L168)</f>
        <v/>
      </c>
      <c r="N168" s="15">
        <f>IF(OR(M168="",$G$1279=0),"",M168/$G$1279*100)</f>
      </c>
      <c r="O168" s="12">
        <v>11.1</v>
      </c>
      <c r="P168" s="14">
        <f>F168*O168</f>
        <v>213701.52899999998</v>
      </c>
      <c r="Q168" s="15">
        <f>IF($P$1279=0,0,P168/$P$1279*100)</f>
      </c>
      <c r="R168" s="10" t="str">
        <f>IF(O168=C168,"TETAP",IF(C168=0,"BARU",IF(O168=0,"HAPUS",IF(O168&gt;C168,"TAMBAH","KURANG"))))</f>
        <v>TETAP</v>
      </c>
    </row>
    <row r="169" spans="1:18" x14ac:dyDescent="0.25">
      <c r="A169" s="10" t="s">
        <v>218</v>
      </c>
      <c r="B169" s="18" t="s">
        <v>173</v>
      </c>
      <c r="C169" s="12">
        <v>0.69</v>
      </c>
      <c r="D169" s="12">
        <v>0</v>
      </c>
      <c r="E169" s="10" t="s">
        <v>159</v>
      </c>
      <c r="F169" s="14">
        <v>1504340.14</v>
      </c>
      <c r="G169" s="14">
        <f>F169*C169</f>
        <v>1037994.6965999998</v>
      </c>
      <c r="H169" s="15">
        <f>IF($G$1279=0,0,G169/$G$1279*100)</f>
      </c>
      <c r="I169" s="12" t="str">
        <f>IF(O169-C169&gt;0,O169-C169,"")</f>
        <v/>
      </c>
      <c r="J169" s="14" t="str">
        <f>IF(I169="","",F169*I169)</f>
        <v/>
      </c>
      <c r="K169" s="15">
        <f>IF(OR(J169="",$G$1279=0),"",J169/$G$1279*100)</f>
      </c>
      <c r="L169" s="12" t="str">
        <f>IF(C169-O169&gt;0,C169-O169,"")</f>
        <v/>
      </c>
      <c r="M169" s="14" t="str">
        <f>IF(L169="","",F169*L169)</f>
        <v/>
      </c>
      <c r="N169" s="15">
        <f>IF(OR(M169="",$G$1279=0),"",M169/$G$1279*100)</f>
      </c>
      <c r="O169" s="12">
        <v>0.69</v>
      </c>
      <c r="P169" s="14">
        <f>F169*O169</f>
        <v>1037994.6965999998</v>
      </c>
      <c r="Q169" s="15">
        <f>IF($P$1279=0,0,P169/$P$1279*100)</f>
      </c>
      <c r="R169" s="10" t="str">
        <f>IF(O169=C169,"TETAP",IF(C169=0,"BARU",IF(O169=0,"HAPUS",IF(O169&gt;C169,"TAMBAH","KURANG"))))</f>
        <v>TETAP</v>
      </c>
    </row>
    <row r="170" spans="1:18" x14ac:dyDescent="0.25">
      <c r="A170" s="10" t="s">
        <v>219</v>
      </c>
      <c r="B170" s="18" t="s">
        <v>257</v>
      </c>
      <c r="C170" s="12">
        <v>0.69</v>
      </c>
      <c r="D170" s="12">
        <v>0</v>
      </c>
      <c r="E170" s="10" t="s">
        <v>159</v>
      </c>
      <c r="F170" s="14">
        <v>431478.14</v>
      </c>
      <c r="G170" s="14">
        <f>F170*C170</f>
        <v>297719.9166</v>
      </c>
      <c r="H170" s="15">
        <f>IF($G$1279=0,0,G170/$G$1279*100)</f>
      </c>
      <c r="I170" s="12" t="str">
        <f>IF(O170-C170&gt;0,O170-C170,"")</f>
        <v/>
      </c>
      <c r="J170" s="14" t="str">
        <f>IF(I170="","",F170*I170)</f>
        <v/>
      </c>
      <c r="K170" s="15">
        <f>IF(OR(J170="",$G$1279=0),"",J170/$G$1279*100)</f>
      </c>
      <c r="L170" s="12" t="str">
        <f>IF(C170-O170&gt;0,C170-O170,"")</f>
        <v/>
      </c>
      <c r="M170" s="14" t="str">
        <f>IF(L170="","",F170*L170)</f>
        <v/>
      </c>
      <c r="N170" s="15">
        <f>IF(OR(M170="",$G$1279=0),"",M170/$G$1279*100)</f>
      </c>
      <c r="O170" s="12">
        <v>0.69</v>
      </c>
      <c r="P170" s="14">
        <f>F170*O170</f>
        <v>297719.9166</v>
      </c>
      <c r="Q170" s="15">
        <f>IF($P$1279=0,0,P170/$P$1279*100)</f>
      </c>
      <c r="R170" s="10" t="str">
        <f>IF(O170=C170,"TETAP",IF(C170=0,"BARU",IF(O170=0,"HAPUS",IF(O170&gt;C170,"TAMBAH","KURANG"))))</f>
        <v>TETAP</v>
      </c>
    </row>
    <row r="171" spans="1:18" x14ac:dyDescent="0.25">
      <c r="A171" s="10" t="s">
        <v>272</v>
      </c>
      <c r="B171" s="18" t="s">
        <v>273</v>
      </c>
      <c r="C171" s="12">
        <v>7.36</v>
      </c>
      <c r="D171" s="12">
        <v>0</v>
      </c>
      <c r="E171" s="10" t="s">
        <v>26</v>
      </c>
      <c r="F171" s="14">
        <v>92448.72</v>
      </c>
      <c r="G171" s="14">
        <f>F171*C171</f>
        <v>680422.5792</v>
      </c>
      <c r="H171" s="15">
        <f>IF($G$1279=0,0,G171/$G$1279*100)</f>
      </c>
      <c r="I171" s="12" t="str">
        <f>IF(O171-C171&gt;0,O171-C171,"")</f>
        <v/>
      </c>
      <c r="J171" s="14" t="str">
        <f>IF(I171="","",F171*I171)</f>
        <v/>
      </c>
      <c r="K171" s="15">
        <f>IF(OR(J171="",$G$1279=0),"",J171/$G$1279*100)</f>
      </c>
      <c r="L171" s="12" t="str">
        <f>IF(C171-O171&gt;0,C171-O171,"")</f>
        <v/>
      </c>
      <c r="M171" s="14" t="str">
        <f>IF(L171="","",F171*L171)</f>
        <v/>
      </c>
      <c r="N171" s="15">
        <f>IF(OR(M171="",$G$1279=0),"",M171/$G$1279*100)</f>
      </c>
      <c r="O171" s="12">
        <v>7.36</v>
      </c>
      <c r="P171" s="14">
        <f>F171*O171</f>
        <v>680422.5792</v>
      </c>
      <c r="Q171" s="15">
        <f>IF($P$1279=0,0,P171/$P$1279*100)</f>
      </c>
      <c r="R171" s="10" t="str">
        <f>IF(O171=C171,"TETAP",IF(C171=0,"BARU",IF(O171=0,"HAPUS",IF(O171&gt;C171,"TAMBAH","KURANG"))))</f>
        <v>TETAP</v>
      </c>
    </row>
    <row r="172" spans="1:18" x14ac:dyDescent="0.25">
      <c r="A172" s="5" t="s">
        <v>110</v>
      </c>
      <c r="B172" s="17" t="s">
        <v>274</v>
      </c>
      <c r="C172" s="7"/>
      <c r="D172" s="7"/>
      <c r="E172" s="5"/>
      <c r="F172" s="8"/>
      <c r="G172" s="8"/>
      <c r="H172" s="9"/>
      <c r="I172" s="7"/>
      <c r="J172" s="8"/>
      <c r="K172" s="9"/>
      <c r="L172" s="7"/>
      <c r="M172" s="8"/>
      <c r="N172" s="9"/>
      <c r="O172" s="7"/>
      <c r="P172" s="8"/>
      <c r="Q172" s="9"/>
      <c r="R172" s="5"/>
    </row>
    <row r="173" spans="1:18" x14ac:dyDescent="0.25">
      <c r="A173" s="10" t="s">
        <v>275</v>
      </c>
      <c r="B173" s="18" t="s">
        <v>242</v>
      </c>
      <c r="C173" s="12">
        <v>2.4</v>
      </c>
      <c r="D173" s="13">
        <v>0.44</v>
      </c>
      <c r="E173" s="10" t="s">
        <v>26</v>
      </c>
      <c r="F173" s="14">
        <v>229284.3</v>
      </c>
      <c r="G173" s="14">
        <f>F173*C173</f>
        <v>550282.32</v>
      </c>
      <c r="H173" s="15">
        <f>IF($G$1279=0,0,G173/$G$1279*100)</f>
      </c>
      <c r="I173" s="12" t="str">
        <f>IF(O173-C173&gt;0,O173-C173,"")</f>
        <v/>
      </c>
      <c r="J173" s="14" t="str">
        <f>IF(I173="","",F173*I173)</f>
        <v/>
      </c>
      <c r="K173" s="15">
        <f>IF(OR(J173="",$G$1279=0),"",J173/$G$1279*100)</f>
      </c>
      <c r="L173" s="12" t="str">
        <f>IF(C173-O173&gt;0,C173-O173,"")</f>
        <v/>
      </c>
      <c r="M173" s="14" t="str">
        <f>IF(L173="","",F173*L173)</f>
        <v/>
      </c>
      <c r="N173" s="15">
        <f>IF(OR(M173="",$G$1279=0),"",M173/$G$1279*100)</f>
      </c>
      <c r="O173" s="12">
        <v>2.4</v>
      </c>
      <c r="P173" s="14">
        <f>F173*O173</f>
        <v>550282.32</v>
      </c>
      <c r="Q173" s="15">
        <f>IF($P$1279=0,0,P173/$P$1279*100)</f>
      </c>
      <c r="R173" s="10" t="str">
        <f>IF(O173=C173,"TETAP",IF(C173=0,"BARU",IF(O173=0,"HAPUS",IF(O173&gt;C173,"TAMBAH","KURANG"))))</f>
        <v>TETAP</v>
      </c>
    </row>
    <row r="174" spans="1:18" x14ac:dyDescent="0.25">
      <c r="A174" s="10" t="s">
        <v>276</v>
      </c>
      <c r="B174" s="18" t="s">
        <v>277</v>
      </c>
      <c r="C174" s="12">
        <v>4.4</v>
      </c>
      <c r="D174" s="13">
        <v>0.8</v>
      </c>
      <c r="E174" s="10" t="s">
        <v>169</v>
      </c>
      <c r="F174" s="14">
        <v>28927.25</v>
      </c>
      <c r="G174" s="14">
        <f>F174*C174</f>
        <v>127279.90000000001</v>
      </c>
      <c r="H174" s="15">
        <f>IF($G$1279=0,0,G174/$G$1279*100)</f>
      </c>
      <c r="I174" s="12" t="str">
        <f>IF(O174-C174&gt;0,O174-C174,"")</f>
        <v/>
      </c>
      <c r="J174" s="14" t="str">
        <f>IF(I174="","",F174*I174)</f>
        <v/>
      </c>
      <c r="K174" s="15">
        <f>IF(OR(J174="",$G$1279=0),"",J174/$G$1279*100)</f>
      </c>
      <c r="L174" s="12" t="str">
        <f>IF(C174-O174&gt;0,C174-O174,"")</f>
        <v/>
      </c>
      <c r="M174" s="14" t="str">
        <f>IF(L174="","",F174*L174)</f>
        <v/>
      </c>
      <c r="N174" s="15">
        <f>IF(OR(M174="",$G$1279=0),"",M174/$G$1279*100)</f>
      </c>
      <c r="O174" s="12">
        <v>4.4</v>
      </c>
      <c r="P174" s="14">
        <f>F174*O174</f>
        <v>127279.90000000001</v>
      </c>
      <c r="Q174" s="15">
        <f>IF($P$1279=0,0,P174/$P$1279*100)</f>
      </c>
      <c r="R174" s="10" t="str">
        <f>IF(O174=C174,"TETAP",IF(C174=0,"BARU",IF(O174=0,"HAPUS",IF(O174&gt;C174,"TAMBAH","KURANG"))))</f>
        <v>TETAP</v>
      </c>
    </row>
    <row r="175" spans="1:18" x14ac:dyDescent="0.25">
      <c r="A175" s="10" t="s">
        <v>278</v>
      </c>
      <c r="B175" s="18" t="s">
        <v>253</v>
      </c>
      <c r="C175" s="12">
        <v>27.09</v>
      </c>
      <c r="D175" s="12">
        <v>0</v>
      </c>
      <c r="E175" s="10" t="s">
        <v>169</v>
      </c>
      <c r="F175" s="14">
        <v>28927.25</v>
      </c>
      <c r="G175" s="14">
        <f>F175*C175</f>
        <v>783639.2025</v>
      </c>
      <c r="H175" s="15">
        <f>IF($G$1279=0,0,G175/$G$1279*100)</f>
      </c>
      <c r="I175" s="12" t="str">
        <f>IF(O175-C175&gt;0,O175-C175,"")</f>
        <v/>
      </c>
      <c r="J175" s="14" t="str">
        <f>IF(I175="","",F175*I175)</f>
        <v/>
      </c>
      <c r="K175" s="15">
        <f>IF(OR(J175="",$G$1279=0),"",J175/$G$1279*100)</f>
      </c>
      <c r="L175" s="12" t="str">
        <f>IF(C175-O175&gt;0,C175-O175,"")</f>
        <v/>
      </c>
      <c r="M175" s="14" t="str">
        <f>IF(L175="","",F175*L175)</f>
        <v/>
      </c>
      <c r="N175" s="15">
        <f>IF(OR(M175="",$G$1279=0),"",M175/$G$1279*100)</f>
      </c>
      <c r="O175" s="12">
        <v>27.09</v>
      </c>
      <c r="P175" s="14">
        <f>F175*O175</f>
        <v>783639.2025</v>
      </c>
      <c r="Q175" s="15">
        <f>IF($P$1279=0,0,P175/$P$1279*100)</f>
      </c>
      <c r="R175" s="10" t="str">
        <f>IF(O175=C175,"TETAP",IF(C175=0,"BARU",IF(O175=0,"HAPUS",IF(O175&gt;C175,"TAMBAH","KURANG"))))</f>
        <v>TETAP</v>
      </c>
    </row>
    <row r="176" spans="1:18" x14ac:dyDescent="0.25">
      <c r="A176" s="10" t="s">
        <v>279</v>
      </c>
      <c r="B176" s="18" t="s">
        <v>280</v>
      </c>
      <c r="C176" s="12">
        <v>4.26</v>
      </c>
      <c r="D176" s="12">
        <v>0</v>
      </c>
      <c r="E176" s="10" t="s">
        <v>169</v>
      </c>
      <c r="F176" s="14">
        <v>19252.39</v>
      </c>
      <c r="G176" s="14">
        <f>F176*C176</f>
        <v>82015.18139999999</v>
      </c>
      <c r="H176" s="15">
        <f>IF($G$1279=0,0,G176/$G$1279*100)</f>
      </c>
      <c r="I176" s="12" t="str">
        <f>IF(O176-C176&gt;0,O176-C176,"")</f>
        <v/>
      </c>
      <c r="J176" s="14" t="str">
        <f>IF(I176="","",F176*I176)</f>
        <v/>
      </c>
      <c r="K176" s="15">
        <f>IF(OR(J176="",$G$1279=0),"",J176/$G$1279*100)</f>
      </c>
      <c r="L176" s="12" t="str">
        <f>IF(C176-O176&gt;0,C176-O176,"")</f>
        <v/>
      </c>
      <c r="M176" s="14" t="str">
        <f>IF(L176="","",F176*L176)</f>
        <v/>
      </c>
      <c r="N176" s="15">
        <f>IF(OR(M176="",$G$1279=0),"",M176/$G$1279*100)</f>
      </c>
      <c r="O176" s="12">
        <v>4.26</v>
      </c>
      <c r="P176" s="14">
        <f>F176*O176</f>
        <v>82015.18139999999</v>
      </c>
      <c r="Q176" s="15">
        <f>IF($P$1279=0,0,P176/$P$1279*100)</f>
      </c>
      <c r="R176" s="10" t="str">
        <f>IF(O176=C176,"TETAP",IF(C176=0,"BARU",IF(O176=0,"HAPUS",IF(O176&gt;C176,"TAMBAH","KURANG"))))</f>
        <v>TETAP</v>
      </c>
    </row>
    <row r="177" spans="1:18" x14ac:dyDescent="0.25">
      <c r="A177" s="10" t="s">
        <v>281</v>
      </c>
      <c r="B177" s="18" t="s">
        <v>173</v>
      </c>
      <c r="C177" s="12">
        <v>0.15</v>
      </c>
      <c r="D177" s="12">
        <v>0</v>
      </c>
      <c r="E177" s="10" t="s">
        <v>159</v>
      </c>
      <c r="F177" s="14">
        <v>1504340.14</v>
      </c>
      <c r="G177" s="14">
        <f>F177*C177</f>
        <v>225651.02099999998</v>
      </c>
      <c r="H177" s="15">
        <f>IF($G$1279=0,0,G177/$G$1279*100)</f>
      </c>
      <c r="I177" s="12" t="str">
        <f>IF(O177-C177&gt;0,O177-C177,"")</f>
        <v/>
      </c>
      <c r="J177" s="14" t="str">
        <f>IF(I177="","",F177*I177)</f>
        <v/>
      </c>
      <c r="K177" s="15">
        <f>IF(OR(J177="",$G$1279=0),"",J177/$G$1279*100)</f>
      </c>
      <c r="L177" s="12" t="str">
        <f>IF(C177-O177&gt;0,C177-O177,"")</f>
        <v/>
      </c>
      <c r="M177" s="14" t="str">
        <f>IF(L177="","",F177*L177)</f>
        <v/>
      </c>
      <c r="N177" s="15">
        <f>IF(OR(M177="",$G$1279=0),"",M177/$G$1279*100)</f>
      </c>
      <c r="O177" s="12">
        <v>0.15</v>
      </c>
      <c r="P177" s="14">
        <f>F177*O177</f>
        <v>225651.02099999998</v>
      </c>
      <c r="Q177" s="15">
        <f>IF($P$1279=0,0,P177/$P$1279*100)</f>
      </c>
      <c r="R177" s="10" t="str">
        <f>IF(O177=C177,"TETAP",IF(C177=0,"BARU",IF(O177=0,"HAPUS",IF(O177&gt;C177,"TAMBAH","KURANG"))))</f>
        <v>TETAP</v>
      </c>
    </row>
    <row r="178" spans="1:18" x14ac:dyDescent="0.25">
      <c r="A178" s="10" t="s">
        <v>282</v>
      </c>
      <c r="B178" s="18" t="s">
        <v>210</v>
      </c>
      <c r="C178" s="12">
        <v>0.15</v>
      </c>
      <c r="D178" s="12">
        <v>0</v>
      </c>
      <c r="E178" s="10" t="s">
        <v>159</v>
      </c>
      <c r="F178" s="14">
        <v>45149.88</v>
      </c>
      <c r="G178" s="14">
        <f>F178*C178</f>
        <v>6772.481999999999</v>
      </c>
      <c r="H178" s="15">
        <f>IF($G$1279=0,0,G178/$G$1279*100)</f>
      </c>
      <c r="I178" s="12" t="str">
        <f>IF(O178-C178&gt;0,O178-C178,"")</f>
        <v/>
      </c>
      <c r="J178" s="14" t="str">
        <f>IF(I178="","",F178*I178)</f>
        <v/>
      </c>
      <c r="K178" s="15">
        <f>IF(OR(J178="",$G$1279=0),"",J178/$G$1279*100)</f>
      </c>
      <c r="L178" s="12" t="str">
        <f>IF(C178-O178&gt;0,C178-O178,"")</f>
        <v/>
      </c>
      <c r="M178" s="14" t="str">
        <f>IF(L178="","",F178*L178)</f>
        <v/>
      </c>
      <c r="N178" s="15">
        <f>IF(OR(M178="",$G$1279=0),"",M178/$G$1279*100)</f>
      </c>
      <c r="O178" s="12">
        <v>0.15</v>
      </c>
      <c r="P178" s="14">
        <f>F178*O178</f>
        <v>6772.481999999999</v>
      </c>
      <c r="Q178" s="15">
        <f>IF($P$1279=0,0,P178/$P$1279*100)</f>
      </c>
      <c r="R178" s="10" t="str">
        <f>IF(O178=C178,"TETAP",IF(C178=0,"BARU",IF(O178=0,"HAPUS",IF(O178&gt;C178,"TAMBAH","KURANG"))))</f>
        <v>TETAP</v>
      </c>
    </row>
    <row r="179" spans="1:18" x14ac:dyDescent="0.25">
      <c r="A179" s="10" t="s">
        <v>283</v>
      </c>
      <c r="B179" s="18" t="s">
        <v>257</v>
      </c>
      <c r="C179" s="12">
        <v>0.15</v>
      </c>
      <c r="D179" s="12">
        <v>0</v>
      </c>
      <c r="E179" s="10" t="s">
        <v>159</v>
      </c>
      <c r="F179" s="14">
        <v>431478.14</v>
      </c>
      <c r="G179" s="14">
        <f>F179*C179</f>
        <v>64721.721</v>
      </c>
      <c r="H179" s="15">
        <f>IF($G$1279=0,0,G179/$G$1279*100)</f>
      </c>
      <c r="I179" s="12" t="str">
        <f>IF(O179-C179&gt;0,O179-C179,"")</f>
        <v/>
      </c>
      <c r="J179" s="14" t="str">
        <f>IF(I179="","",F179*I179)</f>
        <v/>
      </c>
      <c r="K179" s="15">
        <f>IF(OR(J179="",$G$1279=0),"",J179/$G$1279*100)</f>
      </c>
      <c r="L179" s="12" t="str">
        <f>IF(C179-O179&gt;0,C179-O179,"")</f>
        <v/>
      </c>
      <c r="M179" s="14" t="str">
        <f>IF(L179="","",F179*L179)</f>
        <v/>
      </c>
      <c r="N179" s="15">
        <f>IF(OR(M179="",$G$1279=0),"",M179/$G$1279*100)</f>
      </c>
      <c r="O179" s="12">
        <v>0.15</v>
      </c>
      <c r="P179" s="14">
        <f>F179*O179</f>
        <v>64721.721</v>
      </c>
      <c r="Q179" s="15">
        <f>IF($P$1279=0,0,P179/$P$1279*100)</f>
      </c>
      <c r="R179" s="10" t="str">
        <f>IF(O179=C179,"TETAP",IF(C179=0,"BARU",IF(O179=0,"HAPUS",IF(O179&gt;C179,"TAMBAH","KURANG"))))</f>
        <v>TETAP</v>
      </c>
    </row>
    <row r="180" spans="1:18" x14ac:dyDescent="0.25">
      <c r="A180" s="10" t="s">
        <v>284</v>
      </c>
      <c r="B180" s="18" t="s">
        <v>285</v>
      </c>
      <c r="C180" s="12">
        <v>2.9</v>
      </c>
      <c r="D180" s="12">
        <v>0</v>
      </c>
      <c r="E180" s="10" t="s">
        <v>26</v>
      </c>
      <c r="F180" s="14">
        <v>92448.72</v>
      </c>
      <c r="G180" s="14">
        <f>F180*C180</f>
        <v>268101.288</v>
      </c>
      <c r="H180" s="15">
        <f>IF($G$1279=0,0,G180/$G$1279*100)</f>
      </c>
      <c r="I180" s="12" t="str">
        <f>IF(O180-C180&gt;0,O180-C180,"")</f>
        <v/>
      </c>
      <c r="J180" s="14" t="str">
        <f>IF(I180="","",F180*I180)</f>
        <v/>
      </c>
      <c r="K180" s="15">
        <f>IF(OR(J180="",$G$1279=0),"",J180/$G$1279*100)</f>
      </c>
      <c r="L180" s="12" t="str">
        <f>IF(C180-O180&gt;0,C180-O180,"")</f>
        <v/>
      </c>
      <c r="M180" s="14" t="str">
        <f>IF(L180="","",F180*L180)</f>
        <v/>
      </c>
      <c r="N180" s="15">
        <f>IF(OR(M180="",$G$1279=0),"",M180/$G$1279*100)</f>
      </c>
      <c r="O180" s="12">
        <v>2.9</v>
      </c>
      <c r="P180" s="14">
        <f>F180*O180</f>
        <v>268101.288</v>
      </c>
      <c r="Q180" s="15">
        <f>IF($P$1279=0,0,P180/$P$1279*100)</f>
      </c>
      <c r="R180" s="10" t="str">
        <f>IF(O180=C180,"TETAP",IF(C180=0,"BARU",IF(O180=0,"HAPUS",IF(O180&gt;C180,"TAMBAH","KURANG"))))</f>
        <v>TETAP</v>
      </c>
    </row>
    <row r="181" spans="1:18" x14ac:dyDescent="0.25">
      <c r="A181" s="5" t="s">
        <v>112</v>
      </c>
      <c r="B181" s="17" t="s">
        <v>286</v>
      </c>
      <c r="C181" s="7"/>
      <c r="D181" s="7"/>
      <c r="E181" s="5"/>
      <c r="F181" s="8"/>
      <c r="G181" s="8"/>
      <c r="H181" s="9"/>
      <c r="I181" s="7"/>
      <c r="J181" s="8"/>
      <c r="K181" s="9"/>
      <c r="L181" s="7"/>
      <c r="M181" s="8"/>
      <c r="N181" s="9"/>
      <c r="O181" s="7"/>
      <c r="P181" s="8"/>
      <c r="Q181" s="9"/>
      <c r="R181" s="5"/>
    </row>
    <row r="182" spans="1:18" x14ac:dyDescent="0.25">
      <c r="A182" s="10" t="s">
        <v>287</v>
      </c>
      <c r="B182" s="18" t="s">
        <v>187</v>
      </c>
      <c r="C182" s="12">
        <v>26.4</v>
      </c>
      <c r="D182" s="13">
        <v>4.8</v>
      </c>
      <c r="E182" s="10" t="s">
        <v>26</v>
      </c>
      <c r="F182" s="14">
        <v>218225.13</v>
      </c>
      <c r="G182" s="14">
        <f>F182*C182</f>
        <v>5761143.432</v>
      </c>
      <c r="H182" s="15">
        <f>IF($G$1279=0,0,G182/$G$1279*100)</f>
      </c>
      <c r="I182" s="12" t="str">
        <f>IF(O182-C182&gt;0,O182-C182,"")</f>
        <v/>
      </c>
      <c r="J182" s="14" t="str">
        <f>IF(I182="","",F182*I182)</f>
        <v/>
      </c>
      <c r="K182" s="15">
        <f>IF(OR(J182="",$G$1279=0),"",J182/$G$1279*100)</f>
      </c>
      <c r="L182" s="12" t="str">
        <f>IF(C182-O182&gt;0,C182-O182,"")</f>
        <v/>
      </c>
      <c r="M182" s="14" t="str">
        <f>IF(L182="","",F182*L182)</f>
        <v/>
      </c>
      <c r="N182" s="15">
        <f>IF(OR(M182="",$G$1279=0),"",M182/$G$1279*100)</f>
      </c>
      <c r="O182" s="12">
        <v>26.4</v>
      </c>
      <c r="P182" s="14">
        <f>F182*O182</f>
        <v>5761143.432</v>
      </c>
      <c r="Q182" s="15">
        <f>IF($P$1279=0,0,P182/$P$1279*100)</f>
      </c>
      <c r="R182" s="10" t="str">
        <f>IF(O182=C182,"TETAP",IF(C182=0,"BARU",IF(O182=0,"HAPUS",IF(O182&gt;C182,"TAMBAH","KURANG"))))</f>
        <v>TETAP</v>
      </c>
    </row>
    <row r="183" spans="1:18" x14ac:dyDescent="0.25">
      <c r="A183" s="10" t="s">
        <v>288</v>
      </c>
      <c r="B183" s="18" t="s">
        <v>263</v>
      </c>
      <c r="C183" s="12">
        <v>325.51</v>
      </c>
      <c r="D183" s="13">
        <v>59.18</v>
      </c>
      <c r="E183" s="10" t="s">
        <v>169</v>
      </c>
      <c r="F183" s="14">
        <v>19252.39</v>
      </c>
      <c r="G183" s="14">
        <f>F183*C183</f>
        <v>6266845.4689</v>
      </c>
      <c r="H183" s="15">
        <f>IF($G$1279=0,0,G183/$G$1279*100)</f>
      </c>
      <c r="I183" s="12" t="str">
        <f>IF(O183-C183&gt;0,O183-C183,"")</f>
        <v/>
      </c>
      <c r="J183" s="14" t="str">
        <f>IF(I183="","",F183*I183)</f>
        <v/>
      </c>
      <c r="K183" s="15">
        <f>IF(OR(J183="",$G$1279=0),"",J183/$G$1279*100)</f>
      </c>
      <c r="L183" s="12" t="str">
        <f>IF(C183-O183&gt;0,C183-O183,"")</f>
        <v/>
      </c>
      <c r="M183" s="14" t="str">
        <f>IF(L183="","",F183*L183)</f>
        <v/>
      </c>
      <c r="N183" s="15">
        <f>IF(OR(M183="",$G$1279=0),"",M183/$G$1279*100)</f>
      </c>
      <c r="O183" s="12">
        <v>325.51</v>
      </c>
      <c r="P183" s="14">
        <f>F183*O183</f>
        <v>6266845.4689</v>
      </c>
      <c r="Q183" s="15">
        <f>IF($P$1279=0,0,P183/$P$1279*100)</f>
      </c>
      <c r="R183" s="10" t="str">
        <f>IF(O183=C183,"TETAP",IF(C183=0,"BARU",IF(O183=0,"HAPUS",IF(O183&gt;C183,"TAMBAH","KURANG"))))</f>
        <v>TETAP</v>
      </c>
    </row>
    <row r="184" spans="1:18" x14ac:dyDescent="0.25">
      <c r="A184" s="10" t="s">
        <v>289</v>
      </c>
      <c r="B184" s="18" t="s">
        <v>280</v>
      </c>
      <c r="C184" s="12">
        <v>364.57</v>
      </c>
      <c r="D184" s="13">
        <v>66.29</v>
      </c>
      <c r="E184" s="10" t="s">
        <v>169</v>
      </c>
      <c r="F184" s="14">
        <v>19252.39</v>
      </c>
      <c r="G184" s="14">
        <f>F184*C184</f>
        <v>7018843.8223</v>
      </c>
      <c r="H184" s="15">
        <f>IF($G$1279=0,0,G184/$G$1279*100)</f>
      </c>
      <c r="I184" s="12" t="str">
        <f>IF(O184-C184&gt;0,O184-C184,"")</f>
        <v/>
      </c>
      <c r="J184" s="14" t="str">
        <f>IF(I184="","",F184*I184)</f>
        <v/>
      </c>
      <c r="K184" s="15">
        <f>IF(OR(J184="",$G$1279=0),"",J184/$G$1279*100)</f>
      </c>
      <c r="L184" s="12" t="str">
        <f>IF(C184-O184&gt;0,C184-O184,"")</f>
        <v/>
      </c>
      <c r="M184" s="14" t="str">
        <f>IF(L184="","",F184*L184)</f>
        <v/>
      </c>
      <c r="N184" s="15">
        <f>IF(OR(M184="",$G$1279=0),"",M184/$G$1279*100)</f>
      </c>
      <c r="O184" s="12">
        <v>364.57</v>
      </c>
      <c r="P184" s="14">
        <f>F184*O184</f>
        <v>7018843.8223</v>
      </c>
      <c r="Q184" s="15">
        <f>IF($P$1279=0,0,P184/$P$1279*100)</f>
      </c>
      <c r="R184" s="10" t="str">
        <f>IF(O184=C184,"TETAP",IF(C184=0,"BARU",IF(O184=0,"HAPUS",IF(O184&gt;C184,"TAMBAH","KURANG"))))</f>
        <v>TETAP</v>
      </c>
    </row>
    <row r="185" spans="1:18" x14ac:dyDescent="0.25">
      <c r="A185" s="10" t="s">
        <v>290</v>
      </c>
      <c r="B185" s="18" t="s">
        <v>173</v>
      </c>
      <c r="C185" s="12">
        <v>1.06</v>
      </c>
      <c r="D185" s="12">
        <v>0</v>
      </c>
      <c r="E185" s="10" t="s">
        <v>159</v>
      </c>
      <c r="F185" s="14">
        <v>1504340.14</v>
      </c>
      <c r="G185" s="14">
        <f>F185*C185</f>
        <v>1594600.5484</v>
      </c>
      <c r="H185" s="15">
        <f>IF($G$1279=0,0,G185/$G$1279*100)</f>
      </c>
      <c r="I185" s="12" t="str">
        <f>IF(O185-C185&gt;0,O185-C185,"")</f>
        <v/>
      </c>
      <c r="J185" s="14" t="str">
        <f>IF(I185="","",F185*I185)</f>
        <v/>
      </c>
      <c r="K185" s="15">
        <f>IF(OR(J185="",$G$1279=0),"",J185/$G$1279*100)</f>
      </c>
      <c r="L185" s="12" t="str">
        <f>IF(C185-O185&gt;0,C185-O185,"")</f>
        <v/>
      </c>
      <c r="M185" s="14" t="str">
        <f>IF(L185="","",F185*L185)</f>
        <v/>
      </c>
      <c r="N185" s="15">
        <f>IF(OR(M185="",$G$1279=0),"",M185/$G$1279*100)</f>
      </c>
      <c r="O185" s="12">
        <v>1.06</v>
      </c>
      <c r="P185" s="14">
        <f>F185*O185</f>
        <v>1594600.5484</v>
      </c>
      <c r="Q185" s="15">
        <f>IF($P$1279=0,0,P185/$P$1279*100)</f>
      </c>
      <c r="R185" s="10" t="str">
        <f>IF(O185=C185,"TETAP",IF(C185=0,"BARU",IF(O185=0,"HAPUS",IF(O185&gt;C185,"TAMBAH","KURANG"))))</f>
        <v>TETAP</v>
      </c>
    </row>
    <row r="186" spans="1:18" x14ac:dyDescent="0.25">
      <c r="A186" s="10" t="s">
        <v>291</v>
      </c>
      <c r="B186" s="18" t="s">
        <v>210</v>
      </c>
      <c r="C186" s="12">
        <v>1.06</v>
      </c>
      <c r="D186" s="12">
        <v>0</v>
      </c>
      <c r="E186" s="10" t="s">
        <v>159</v>
      </c>
      <c r="F186" s="14">
        <v>45149.88</v>
      </c>
      <c r="G186" s="14">
        <f>F186*C186</f>
        <v>47858.8728</v>
      </c>
      <c r="H186" s="15">
        <f>IF($G$1279=0,0,G186/$G$1279*100)</f>
      </c>
      <c r="I186" s="12" t="str">
        <f>IF(O186-C186&gt;0,O186-C186,"")</f>
        <v/>
      </c>
      <c r="J186" s="14" t="str">
        <f>IF(I186="","",F186*I186)</f>
        <v/>
      </c>
      <c r="K186" s="15">
        <f>IF(OR(J186="",$G$1279=0),"",J186/$G$1279*100)</f>
      </c>
      <c r="L186" s="12" t="str">
        <f>IF(C186-O186&gt;0,C186-O186,"")</f>
        <v/>
      </c>
      <c r="M186" s="14" t="str">
        <f>IF(L186="","",F186*L186)</f>
        <v/>
      </c>
      <c r="N186" s="15">
        <f>IF(OR(M186="",$G$1279=0),"",M186/$G$1279*100)</f>
      </c>
      <c r="O186" s="12">
        <v>1.06</v>
      </c>
      <c r="P186" s="14">
        <f>F186*O186</f>
        <v>47858.8728</v>
      </c>
      <c r="Q186" s="15">
        <f>IF($P$1279=0,0,P186/$P$1279*100)</f>
      </c>
      <c r="R186" s="10" t="str">
        <f>IF(O186=C186,"TETAP",IF(C186=0,"BARU",IF(O186=0,"HAPUS",IF(O186&gt;C186,"TAMBAH","KURANG"))))</f>
        <v>TETAP</v>
      </c>
    </row>
    <row r="187" spans="1:18" x14ac:dyDescent="0.25">
      <c r="A187" s="10" t="s">
        <v>292</v>
      </c>
      <c r="B187" s="18" t="s">
        <v>293</v>
      </c>
      <c r="C187" s="12">
        <v>45.54</v>
      </c>
      <c r="D187" s="12">
        <v>0</v>
      </c>
      <c r="E187" s="10" t="s">
        <v>26</v>
      </c>
      <c r="F187" s="14">
        <v>92448.72</v>
      </c>
      <c r="G187" s="14">
        <f>F187*C187</f>
        <v>4210114.7088</v>
      </c>
      <c r="H187" s="15">
        <f>IF($G$1279=0,0,G187/$G$1279*100)</f>
      </c>
      <c r="I187" s="12" t="str">
        <f>IF(O187-C187&gt;0,O187-C187,"")</f>
        <v/>
      </c>
      <c r="J187" s="14" t="str">
        <f>IF(I187="","",F187*I187)</f>
        <v/>
      </c>
      <c r="K187" s="15">
        <f>IF(OR(J187="",$G$1279=0),"",J187/$G$1279*100)</f>
      </c>
      <c r="L187" s="12" t="str">
        <f>IF(C187-O187&gt;0,C187-O187,"")</f>
        <v/>
      </c>
      <c r="M187" s="14" t="str">
        <f>IF(L187="","",F187*L187)</f>
        <v/>
      </c>
      <c r="N187" s="15">
        <f>IF(OR(M187="",$G$1279=0),"",M187/$G$1279*100)</f>
      </c>
      <c r="O187" s="12">
        <v>45.54</v>
      </c>
      <c r="P187" s="14">
        <f>F187*O187</f>
        <v>4210114.7088</v>
      </c>
      <c r="Q187" s="15">
        <f>IF($P$1279=0,0,P187/$P$1279*100)</f>
      </c>
      <c r="R187" s="10" t="str">
        <f>IF(O187=C187,"TETAP",IF(C187=0,"BARU",IF(O187=0,"HAPUS",IF(O187&gt;C187,"TAMBAH","KURANG"))))</f>
        <v>TETAP</v>
      </c>
    </row>
    <row r="188" spans="1:18" x14ac:dyDescent="0.25">
      <c r="A188" s="5" t="s">
        <v>294</v>
      </c>
      <c r="B188" s="16" t="s">
        <v>295</v>
      </c>
      <c r="C188" s="7"/>
      <c r="D188" s="7"/>
      <c r="E188" s="5"/>
      <c r="F188" s="8"/>
      <c r="G188" s="8"/>
      <c r="H188" s="9"/>
      <c r="I188" s="7"/>
      <c r="J188" s="8"/>
      <c r="K188" s="9"/>
      <c r="L188" s="7"/>
      <c r="M188" s="8"/>
      <c r="N188" s="9"/>
      <c r="O188" s="7"/>
      <c r="P188" s="8"/>
      <c r="Q188" s="9"/>
      <c r="R188" s="5"/>
    </row>
    <row r="189" spans="1:18" x14ac:dyDescent="0.25">
      <c r="A189" s="5" t="s">
        <v>296</v>
      </c>
      <c r="B189" s="16" t="s">
        <v>227</v>
      </c>
      <c r="C189" s="7"/>
      <c r="D189" s="7"/>
      <c r="E189" s="5"/>
      <c r="F189" s="8"/>
      <c r="G189" s="8"/>
      <c r="H189" s="9"/>
      <c r="I189" s="7"/>
      <c r="J189" s="8"/>
      <c r="K189" s="9"/>
      <c r="L189" s="7"/>
      <c r="M189" s="8"/>
      <c r="N189" s="9"/>
      <c r="O189" s="7"/>
      <c r="P189" s="8"/>
      <c r="Q189" s="9"/>
      <c r="R189" s="5"/>
    </row>
    <row r="190" spans="1:18" x14ac:dyDescent="0.25">
      <c r="A190" s="10" t="s">
        <v>24</v>
      </c>
      <c r="B190" s="20" t="s">
        <v>297</v>
      </c>
      <c r="C190" s="12">
        <v>90</v>
      </c>
      <c r="D190" s="12">
        <v>0</v>
      </c>
      <c r="E190" s="10" t="s">
        <v>26</v>
      </c>
      <c r="F190" s="14">
        <v>206696.74</v>
      </c>
      <c r="G190" s="14">
        <f>F190*C190</f>
        <v>18602706.599999998</v>
      </c>
      <c r="H190" s="15">
        <f>IF($G$1279=0,0,G190/$G$1279*100)</f>
      </c>
      <c r="I190" s="12" t="str">
        <f>IF(O190-C190&gt;0,O190-C190,"")</f>
        <v/>
      </c>
      <c r="J190" s="14" t="str">
        <f>IF(I190="","",F190*I190)</f>
        <v/>
      </c>
      <c r="K190" s="15">
        <f>IF(OR(J190="",$G$1279=0),"",J190/$G$1279*100)</f>
      </c>
      <c r="L190" s="12" t="str">
        <f>IF(C190-O190&gt;0,C190-O190,"")</f>
        <v/>
      </c>
      <c r="M190" s="14" t="str">
        <f>IF(L190="","",F190*L190)</f>
        <v/>
      </c>
      <c r="N190" s="15">
        <f>IF(OR(M190="",$G$1279=0),"",M190/$G$1279*100)</f>
      </c>
      <c r="O190" s="12">
        <v>90</v>
      </c>
      <c r="P190" s="14">
        <f>F190*O190</f>
        <v>18602706.599999998</v>
      </c>
      <c r="Q190" s="15">
        <f>IF($P$1279=0,0,P190/$P$1279*100)</f>
      </c>
      <c r="R190" s="10" t="str">
        <f>IF(O190=C190,"TETAP",IF(C190=0,"BARU",IF(O190=0,"HAPUS",IF(O190&gt;C190,"TAMBAH","KURANG"))))</f>
        <v>TETAP</v>
      </c>
    </row>
    <row r="191" spans="1:18" x14ac:dyDescent="0.25">
      <c r="A191" s="5" t="s">
        <v>27</v>
      </c>
      <c r="B191" s="17" t="s">
        <v>228</v>
      </c>
      <c r="C191" s="7"/>
      <c r="D191" s="7"/>
      <c r="E191" s="5"/>
      <c r="F191" s="8"/>
      <c r="G191" s="8"/>
      <c r="H191" s="9"/>
      <c r="I191" s="7"/>
      <c r="J191" s="8"/>
      <c r="K191" s="9"/>
      <c r="L191" s="7"/>
      <c r="M191" s="8"/>
      <c r="N191" s="9"/>
      <c r="O191" s="7"/>
      <c r="P191" s="8"/>
      <c r="Q191" s="9"/>
      <c r="R191" s="5"/>
    </row>
    <row r="192" spans="1:18" x14ac:dyDescent="0.25">
      <c r="A192" s="5" t="s">
        <v>298</v>
      </c>
      <c r="B192" s="19" t="s">
        <v>230</v>
      </c>
      <c r="C192" s="7"/>
      <c r="D192" s="7"/>
      <c r="E192" s="5"/>
      <c r="F192" s="8"/>
      <c r="G192" s="8"/>
      <c r="H192" s="9"/>
      <c r="I192" s="7"/>
      <c r="J192" s="8"/>
      <c r="K192" s="9"/>
      <c r="L192" s="7"/>
      <c r="M192" s="8"/>
      <c r="N192" s="9"/>
      <c r="O192" s="7"/>
      <c r="P192" s="8"/>
      <c r="Q192" s="9"/>
      <c r="R192" s="5"/>
    </row>
    <row r="193" spans="1:18" x14ac:dyDescent="0.25">
      <c r="A193" s="10" t="s">
        <v>299</v>
      </c>
      <c r="B193" s="21" t="s">
        <v>232</v>
      </c>
      <c r="C193" s="12">
        <v>12.96</v>
      </c>
      <c r="D193" s="12">
        <v>0</v>
      </c>
      <c r="E193" s="10" t="s">
        <v>26</v>
      </c>
      <c r="F193" s="14">
        <v>206721.67</v>
      </c>
      <c r="G193" s="14">
        <f>F193*C193</f>
        <v>2679112.8432000005</v>
      </c>
      <c r="H193" s="15">
        <f>IF($G$1279=0,0,G193/$G$1279*100)</f>
      </c>
      <c r="I193" s="12" t="str">
        <f>IF(O193-C193&gt;0,O193-C193,"")</f>
        <v/>
      </c>
      <c r="J193" s="14" t="str">
        <f>IF(I193="","",F193*I193)</f>
        <v/>
      </c>
      <c r="K193" s="15">
        <f>IF(OR(J193="",$G$1279=0),"",J193/$G$1279*100)</f>
      </c>
      <c r="L193" s="12" t="str">
        <f>IF(C193-O193&gt;0,C193-O193,"")</f>
        <v/>
      </c>
      <c r="M193" s="14" t="str">
        <f>IF(L193="","",F193*L193)</f>
        <v/>
      </c>
      <c r="N193" s="15">
        <f>IF(OR(M193="",$G$1279=0),"",M193/$G$1279*100)</f>
      </c>
      <c r="O193" s="12">
        <v>12.96</v>
      </c>
      <c r="P193" s="14">
        <f>F193*O193</f>
        <v>2679112.8432000005</v>
      </c>
      <c r="Q193" s="15">
        <f>IF($P$1279=0,0,P193/$P$1279*100)</f>
      </c>
      <c r="R193" s="10" t="str">
        <f>IF(O193=C193,"TETAP",IF(C193=0,"BARU",IF(O193=0,"HAPUS",IF(O193&gt;C193,"TAMBAH","KURANG"))))</f>
        <v>TETAP</v>
      </c>
    </row>
    <row r="194" spans="1:18" x14ac:dyDescent="0.25">
      <c r="A194" s="10" t="s">
        <v>300</v>
      </c>
      <c r="B194" s="21" t="s">
        <v>234</v>
      </c>
      <c r="C194" s="12">
        <v>160.61</v>
      </c>
      <c r="D194" s="12">
        <v>0</v>
      </c>
      <c r="E194" s="10" t="s">
        <v>169</v>
      </c>
      <c r="F194" s="14">
        <v>28927.25</v>
      </c>
      <c r="G194" s="14">
        <f>F194*C194</f>
        <v>4646005.6225000005</v>
      </c>
      <c r="H194" s="15">
        <f>IF($G$1279=0,0,G194/$G$1279*100)</f>
      </c>
      <c r="I194" s="12" t="str">
        <f>IF(O194-C194&gt;0,O194-C194,"")</f>
        <v/>
      </c>
      <c r="J194" s="14" t="str">
        <f>IF(I194="","",F194*I194)</f>
        <v/>
      </c>
      <c r="K194" s="15">
        <f>IF(OR(J194="",$G$1279=0),"",J194/$G$1279*100)</f>
      </c>
      <c r="L194" s="12" t="str">
        <f>IF(C194-O194&gt;0,C194-O194,"")</f>
        <v/>
      </c>
      <c r="M194" s="14" t="str">
        <f>IF(L194="","",F194*L194)</f>
        <v/>
      </c>
      <c r="N194" s="15">
        <f>IF(OR(M194="",$G$1279=0),"",M194/$G$1279*100)</f>
      </c>
      <c r="O194" s="12">
        <v>160.61</v>
      </c>
      <c r="P194" s="14">
        <f>F194*O194</f>
        <v>4646005.6225000005</v>
      </c>
      <c r="Q194" s="15">
        <f>IF($P$1279=0,0,P194/$P$1279*100)</f>
      </c>
      <c r="R194" s="10" t="str">
        <f>IF(O194=C194,"TETAP",IF(C194=0,"BARU",IF(O194=0,"HAPUS",IF(O194&gt;C194,"TAMBAH","KURANG"))))</f>
        <v>TETAP</v>
      </c>
    </row>
    <row r="195" spans="1:18" x14ac:dyDescent="0.25">
      <c r="A195" s="10" t="s">
        <v>301</v>
      </c>
      <c r="B195" s="21" t="s">
        <v>173</v>
      </c>
      <c r="C195" s="12">
        <v>1.44</v>
      </c>
      <c r="D195" s="12">
        <v>0</v>
      </c>
      <c r="E195" s="10" t="s">
        <v>159</v>
      </c>
      <c r="F195" s="14">
        <v>1504340.14</v>
      </c>
      <c r="G195" s="14">
        <f>F195*C195</f>
        <v>2166249.8016</v>
      </c>
      <c r="H195" s="15">
        <f>IF($G$1279=0,0,G195/$G$1279*100)</f>
      </c>
      <c r="I195" s="12" t="str">
        <f>IF(O195-C195&gt;0,O195-C195,"")</f>
        <v/>
      </c>
      <c r="J195" s="14" t="str">
        <f>IF(I195="","",F195*I195)</f>
        <v/>
      </c>
      <c r="K195" s="15">
        <f>IF(OR(J195="",$G$1279=0),"",J195/$G$1279*100)</f>
      </c>
      <c r="L195" s="12" t="str">
        <f>IF(C195-O195&gt;0,C195-O195,"")</f>
        <v/>
      </c>
      <c r="M195" s="14" t="str">
        <f>IF(L195="","",F195*L195)</f>
        <v/>
      </c>
      <c r="N195" s="15">
        <f>IF(OR(M195="",$G$1279=0),"",M195/$G$1279*100)</f>
      </c>
      <c r="O195" s="12">
        <v>1.44</v>
      </c>
      <c r="P195" s="14">
        <f>F195*O195</f>
        <v>2166249.8016</v>
      </c>
      <c r="Q195" s="15">
        <f>IF($P$1279=0,0,P195/$P$1279*100)</f>
      </c>
      <c r="R195" s="10" t="str">
        <f>IF(O195=C195,"TETAP",IF(C195=0,"BARU",IF(O195=0,"HAPUS",IF(O195&gt;C195,"TAMBAH","KURANG"))))</f>
        <v>TETAP</v>
      </c>
    </row>
    <row r="196" spans="1:18" x14ac:dyDescent="0.25">
      <c r="A196" s="10" t="s">
        <v>302</v>
      </c>
      <c r="B196" s="21" t="s">
        <v>210</v>
      </c>
      <c r="C196" s="12">
        <v>1.44</v>
      </c>
      <c r="D196" s="12">
        <v>0</v>
      </c>
      <c r="E196" s="10" t="s">
        <v>159</v>
      </c>
      <c r="F196" s="14">
        <v>45149.88</v>
      </c>
      <c r="G196" s="14">
        <f>F196*C196</f>
        <v>65015.82719999999</v>
      </c>
      <c r="H196" s="15">
        <f>IF($G$1279=0,0,G196/$G$1279*100)</f>
      </c>
      <c r="I196" s="12" t="str">
        <f>IF(O196-C196&gt;0,O196-C196,"")</f>
        <v/>
      </c>
      <c r="J196" s="14" t="str">
        <f>IF(I196="","",F196*I196)</f>
        <v/>
      </c>
      <c r="K196" s="15">
        <f>IF(OR(J196="",$G$1279=0),"",J196/$G$1279*100)</f>
      </c>
      <c r="L196" s="12" t="str">
        <f>IF(C196-O196&gt;0,C196-O196,"")</f>
        <v/>
      </c>
      <c r="M196" s="14" t="str">
        <f>IF(L196="","",F196*L196)</f>
        <v/>
      </c>
      <c r="N196" s="15">
        <f>IF(OR(M196="",$G$1279=0),"",M196/$G$1279*100)</f>
      </c>
      <c r="O196" s="12">
        <v>1.44</v>
      </c>
      <c r="P196" s="14">
        <f>F196*O196</f>
        <v>65015.82719999999</v>
      </c>
      <c r="Q196" s="15">
        <f>IF($P$1279=0,0,P196/$P$1279*100)</f>
      </c>
      <c r="R196" s="10" t="str">
        <f>IF(O196=C196,"TETAP",IF(C196=0,"BARU",IF(O196=0,"HAPUS",IF(O196&gt;C196,"TAMBAH","KURANG"))))</f>
        <v>TETAP</v>
      </c>
    </row>
    <row r="197" spans="1:18" x14ac:dyDescent="0.25">
      <c r="A197" s="10" t="s">
        <v>303</v>
      </c>
      <c r="B197" s="21" t="s">
        <v>304</v>
      </c>
      <c r="C197" s="12">
        <v>288</v>
      </c>
      <c r="D197" s="12">
        <v>0</v>
      </c>
      <c r="E197" s="10" t="s">
        <v>37</v>
      </c>
      <c r="F197" s="14">
        <v>28117.52</v>
      </c>
      <c r="G197" s="14">
        <f>F197*C197</f>
        <v>8097845.76</v>
      </c>
      <c r="H197" s="15">
        <f>IF($G$1279=0,0,G197/$G$1279*100)</f>
      </c>
      <c r="I197" s="12" t="str">
        <f>IF(O197-C197&gt;0,O197-C197,"")</f>
        <v/>
      </c>
      <c r="J197" s="14" t="str">
        <f>IF(I197="","",F197*I197)</f>
        <v/>
      </c>
      <c r="K197" s="15">
        <f>IF(OR(J197="",$G$1279=0),"",J197/$G$1279*100)</f>
      </c>
      <c r="L197" s="12" t="str">
        <f>IF(C197-O197&gt;0,C197-O197,"")</f>
        <v/>
      </c>
      <c r="M197" s="14" t="str">
        <f>IF(L197="","",F197*L197)</f>
        <v/>
      </c>
      <c r="N197" s="15">
        <f>IF(OR(M197="",$G$1279=0),"",M197/$G$1279*100)</f>
      </c>
      <c r="O197" s="12">
        <v>288</v>
      </c>
      <c r="P197" s="14">
        <f>F197*O197</f>
        <v>8097845.76</v>
      </c>
      <c r="Q197" s="15">
        <f>IF($P$1279=0,0,P197/$P$1279*100)</f>
      </c>
      <c r="R197" s="10" t="str">
        <f>IF(O197=C197,"TETAP",IF(C197=0,"BARU",IF(O197=0,"HAPUS",IF(O197&gt;C197,"TAMBAH","KURANG"))))</f>
        <v>TETAP</v>
      </c>
    </row>
    <row r="198" spans="1:18" x14ac:dyDescent="0.25">
      <c r="A198" s="5" t="s">
        <v>305</v>
      </c>
      <c r="B198" s="19" t="s">
        <v>240</v>
      </c>
      <c r="C198" s="7"/>
      <c r="D198" s="7"/>
      <c r="E198" s="5"/>
      <c r="F198" s="8"/>
      <c r="G198" s="8"/>
      <c r="H198" s="9"/>
      <c r="I198" s="7"/>
      <c r="J198" s="8"/>
      <c r="K198" s="9"/>
      <c r="L198" s="7"/>
      <c r="M198" s="8"/>
      <c r="N198" s="9"/>
      <c r="O198" s="7"/>
      <c r="P198" s="8"/>
      <c r="Q198" s="9"/>
      <c r="R198" s="5"/>
    </row>
    <row r="199" spans="1:18" x14ac:dyDescent="0.25">
      <c r="A199" s="10" t="s">
        <v>306</v>
      </c>
      <c r="B199" s="21" t="s">
        <v>242</v>
      </c>
      <c r="C199" s="12">
        <v>21.6</v>
      </c>
      <c r="D199" s="12">
        <v>0</v>
      </c>
      <c r="E199" s="10" t="s">
        <v>26</v>
      </c>
      <c r="F199" s="14">
        <v>229284.3</v>
      </c>
      <c r="G199" s="14">
        <f>F199*C199</f>
        <v>4952540.88</v>
      </c>
      <c r="H199" s="15">
        <f>IF($G$1279=0,0,G199/$G$1279*100)</f>
      </c>
      <c r="I199" s="12" t="str">
        <f>IF(O199-C199&gt;0,O199-C199,"")</f>
        <v/>
      </c>
      <c r="J199" s="14" t="str">
        <f>IF(I199="","",F199*I199)</f>
        <v/>
      </c>
      <c r="K199" s="15">
        <f>IF(OR(J199="",$G$1279=0),"",J199/$G$1279*100)</f>
      </c>
      <c r="L199" s="12" t="str">
        <f>IF(C199-O199&gt;0,C199-O199,"")</f>
        <v/>
      </c>
      <c r="M199" s="14" t="str">
        <f>IF(L199="","",F199*L199)</f>
        <v/>
      </c>
      <c r="N199" s="15">
        <f>IF(OR(M199="",$G$1279=0),"",M199/$G$1279*100)</f>
      </c>
      <c r="O199" s="12">
        <v>21.6</v>
      </c>
      <c r="P199" s="14">
        <f>F199*O199</f>
        <v>4952540.88</v>
      </c>
      <c r="Q199" s="15">
        <f>IF($P$1279=0,0,P199/$P$1279*100)</f>
      </c>
      <c r="R199" s="10" t="str">
        <f>IF(O199=C199,"TETAP",IF(C199=0,"BARU",IF(O199=0,"HAPUS",IF(O199&gt;C199,"TAMBAH","KURANG"))))</f>
        <v>TETAP</v>
      </c>
    </row>
    <row r="200" spans="1:18" x14ac:dyDescent="0.25">
      <c r="A200" s="10" t="s">
        <v>307</v>
      </c>
      <c r="B200" s="21" t="s">
        <v>244</v>
      </c>
      <c r="C200" s="12">
        <v>145.34</v>
      </c>
      <c r="D200" s="12">
        <v>0</v>
      </c>
      <c r="E200" s="10" t="s">
        <v>169</v>
      </c>
      <c r="F200" s="14">
        <v>28927.25</v>
      </c>
      <c r="G200" s="14">
        <f>F200*C200</f>
        <v>4204286.515</v>
      </c>
      <c r="H200" s="15">
        <f>IF($G$1279=0,0,G200/$G$1279*100)</f>
      </c>
      <c r="I200" s="12" t="str">
        <f>IF(O200-C200&gt;0,O200-C200,"")</f>
        <v/>
      </c>
      <c r="J200" s="14" t="str">
        <f>IF(I200="","",F200*I200)</f>
        <v/>
      </c>
      <c r="K200" s="15">
        <f>IF(OR(J200="",$G$1279=0),"",J200/$G$1279*100)</f>
      </c>
      <c r="L200" s="12" t="str">
        <f>IF(C200-O200&gt;0,C200-O200,"")</f>
        <v/>
      </c>
      <c r="M200" s="14" t="str">
        <f>IF(L200="","",F200*L200)</f>
        <v/>
      </c>
      <c r="N200" s="15">
        <f>IF(OR(M200="",$G$1279=0),"",M200/$G$1279*100)</f>
      </c>
      <c r="O200" s="12">
        <v>145.34</v>
      </c>
      <c r="P200" s="14">
        <f>F200*O200</f>
        <v>4204286.515</v>
      </c>
      <c r="Q200" s="15">
        <f>IF($P$1279=0,0,P200/$P$1279*100)</f>
      </c>
      <c r="R200" s="10" t="str">
        <f>IF(O200=C200,"TETAP",IF(C200=0,"BARU",IF(O200=0,"HAPUS",IF(O200&gt;C200,"TAMBAH","KURANG"))))</f>
        <v>TETAP</v>
      </c>
    </row>
    <row r="201" spans="1:18" x14ac:dyDescent="0.25">
      <c r="A201" s="10" t="s">
        <v>308</v>
      </c>
      <c r="B201" s="21" t="s">
        <v>246</v>
      </c>
      <c r="C201" s="12">
        <v>31.96</v>
      </c>
      <c r="D201" s="12">
        <v>0</v>
      </c>
      <c r="E201" s="10" t="s">
        <v>169</v>
      </c>
      <c r="F201" s="14">
        <v>19252.39</v>
      </c>
      <c r="G201" s="14">
        <f>F201*C201</f>
        <v>615306.3844</v>
      </c>
      <c r="H201" s="15">
        <f>IF($G$1279=0,0,G201/$G$1279*100)</f>
      </c>
      <c r="I201" s="12" t="str">
        <f>IF(O201-C201&gt;0,O201-C201,"")</f>
        <v/>
      </c>
      <c r="J201" s="14" t="str">
        <f>IF(I201="","",F201*I201)</f>
        <v/>
      </c>
      <c r="K201" s="15">
        <f>IF(OR(J201="",$G$1279=0),"",J201/$G$1279*100)</f>
      </c>
      <c r="L201" s="12" t="str">
        <f>IF(C201-O201&gt;0,C201-O201,"")</f>
        <v/>
      </c>
      <c r="M201" s="14" t="str">
        <f>IF(L201="","",F201*L201)</f>
        <v/>
      </c>
      <c r="N201" s="15">
        <f>IF(OR(M201="",$G$1279=0),"",M201/$G$1279*100)</f>
      </c>
      <c r="O201" s="12">
        <v>31.96</v>
      </c>
      <c r="P201" s="14">
        <f>F201*O201</f>
        <v>615306.3844</v>
      </c>
      <c r="Q201" s="15">
        <f>IF($P$1279=0,0,P201/$P$1279*100)</f>
      </c>
      <c r="R201" s="10" t="str">
        <f>IF(O201=C201,"TETAP",IF(C201=0,"BARU",IF(O201=0,"HAPUS",IF(O201&gt;C201,"TAMBAH","KURANG"))))</f>
        <v>TETAP</v>
      </c>
    </row>
    <row r="202" spans="1:18" x14ac:dyDescent="0.25">
      <c r="A202" s="10" t="s">
        <v>309</v>
      </c>
      <c r="B202" s="21" t="s">
        <v>173</v>
      </c>
      <c r="C202" s="12">
        <v>1.35</v>
      </c>
      <c r="D202" s="12">
        <v>0</v>
      </c>
      <c r="E202" s="10" t="s">
        <v>159</v>
      </c>
      <c r="F202" s="14">
        <v>1504340.14</v>
      </c>
      <c r="G202" s="14">
        <f>F202*C202</f>
        <v>2030859.189</v>
      </c>
      <c r="H202" s="15">
        <f>IF($G$1279=0,0,G202/$G$1279*100)</f>
      </c>
      <c r="I202" s="12" t="str">
        <f>IF(O202-C202&gt;0,O202-C202,"")</f>
        <v/>
      </c>
      <c r="J202" s="14" t="str">
        <f>IF(I202="","",F202*I202)</f>
        <v/>
      </c>
      <c r="K202" s="15">
        <f>IF(OR(J202="",$G$1279=0),"",J202/$G$1279*100)</f>
      </c>
      <c r="L202" s="12" t="str">
        <f>IF(C202-O202&gt;0,C202-O202,"")</f>
        <v/>
      </c>
      <c r="M202" s="14" t="str">
        <f>IF(L202="","",F202*L202)</f>
        <v/>
      </c>
      <c r="N202" s="15">
        <f>IF(OR(M202="",$G$1279=0),"",M202/$G$1279*100)</f>
      </c>
      <c r="O202" s="12">
        <v>1.35</v>
      </c>
      <c r="P202" s="14">
        <f>F202*O202</f>
        <v>2030859.189</v>
      </c>
      <c r="Q202" s="15">
        <f>IF($P$1279=0,0,P202/$P$1279*100)</f>
      </c>
      <c r="R202" s="10" t="str">
        <f>IF(O202=C202,"TETAP",IF(C202=0,"BARU",IF(O202=0,"HAPUS",IF(O202&gt;C202,"TAMBAH","KURANG"))))</f>
        <v>TETAP</v>
      </c>
    </row>
    <row r="203" spans="1:18" x14ac:dyDescent="0.25">
      <c r="A203" s="10" t="s">
        <v>310</v>
      </c>
      <c r="B203" s="21" t="s">
        <v>210</v>
      </c>
      <c r="C203" s="12">
        <v>1.35</v>
      </c>
      <c r="D203" s="12">
        <v>0</v>
      </c>
      <c r="E203" s="10" t="s">
        <v>159</v>
      </c>
      <c r="F203" s="14">
        <v>45149.88</v>
      </c>
      <c r="G203" s="14">
        <f>F203*C203</f>
        <v>60952.338</v>
      </c>
      <c r="H203" s="15">
        <f>IF($G$1279=0,0,G203/$G$1279*100)</f>
      </c>
      <c r="I203" s="12" t="str">
        <f>IF(O203-C203&gt;0,O203-C203,"")</f>
        <v/>
      </c>
      <c r="J203" s="14" t="str">
        <f>IF(I203="","",F203*I203)</f>
        <v/>
      </c>
      <c r="K203" s="15">
        <f>IF(OR(J203="",$G$1279=0),"",J203/$G$1279*100)</f>
      </c>
      <c r="L203" s="12" t="str">
        <f>IF(C203-O203&gt;0,C203-O203,"")</f>
        <v/>
      </c>
      <c r="M203" s="14" t="str">
        <f>IF(L203="","",F203*L203)</f>
        <v/>
      </c>
      <c r="N203" s="15">
        <f>IF(OR(M203="",$G$1279=0),"",M203/$G$1279*100)</f>
      </c>
      <c r="O203" s="12">
        <v>1.35</v>
      </c>
      <c r="P203" s="14">
        <f>F203*O203</f>
        <v>60952.338</v>
      </c>
      <c r="Q203" s="15">
        <f>IF($P$1279=0,0,P203/$P$1279*100)</f>
      </c>
      <c r="R203" s="10" t="str">
        <f>IF(O203=C203,"TETAP",IF(C203=0,"BARU",IF(O203=0,"HAPUS",IF(O203&gt;C203,"TAMBAH","KURANG"))))</f>
        <v>TETAP</v>
      </c>
    </row>
    <row r="204" spans="1:18" x14ac:dyDescent="0.25">
      <c r="A204" s="10" t="s">
        <v>311</v>
      </c>
      <c r="B204" s="18" t="s">
        <v>250</v>
      </c>
      <c r="C204" s="12">
        <v>9</v>
      </c>
      <c r="D204" s="12">
        <v>0</v>
      </c>
      <c r="E204" s="10" t="s">
        <v>114</v>
      </c>
      <c r="F204" s="14">
        <v>236947.26</v>
      </c>
      <c r="G204" s="14">
        <f>F204*C204</f>
        <v>2132525.34</v>
      </c>
      <c r="H204" s="15">
        <f>IF($G$1279=0,0,G204/$G$1279*100)</f>
      </c>
      <c r="I204" s="12" t="str">
        <f>IF(O204-C204&gt;0,O204-C204,"")</f>
        <v/>
      </c>
      <c r="J204" s="14" t="str">
        <f>IF(I204="","",F204*I204)</f>
        <v/>
      </c>
      <c r="K204" s="15">
        <f>IF(OR(J204="",$G$1279=0),"",J204/$G$1279*100)</f>
      </c>
      <c r="L204" s="12" t="str">
        <f>IF(C204-O204&gt;0,C204-O204,"")</f>
        <v/>
      </c>
      <c r="M204" s="14" t="str">
        <f>IF(L204="","",F204*L204)</f>
        <v/>
      </c>
      <c r="N204" s="15">
        <f>IF(OR(M204="",$G$1279=0),"",M204/$G$1279*100)</f>
      </c>
      <c r="O204" s="12">
        <v>9</v>
      </c>
      <c r="P204" s="14">
        <f>F204*O204</f>
        <v>2132525.34</v>
      </c>
      <c r="Q204" s="15">
        <f>IF($P$1279=0,0,P204/$P$1279*100)</f>
      </c>
      <c r="R204" s="10" t="str">
        <f>IF(O204=C204,"TETAP",IF(C204=0,"BARU",IF(O204=0,"HAPUS",IF(O204&gt;C204,"TAMBAH","KURANG"))))</f>
        <v>TETAP</v>
      </c>
    </row>
    <row r="205" spans="1:18" x14ac:dyDescent="0.25">
      <c r="A205" s="5" t="s">
        <v>30</v>
      </c>
      <c r="B205" s="17" t="s">
        <v>251</v>
      </c>
      <c r="C205" s="7"/>
      <c r="D205" s="7"/>
      <c r="E205" s="5"/>
      <c r="F205" s="8"/>
      <c r="G205" s="8"/>
      <c r="H205" s="9"/>
      <c r="I205" s="7"/>
      <c r="J205" s="8"/>
      <c r="K205" s="9"/>
      <c r="L205" s="7"/>
      <c r="M205" s="8"/>
      <c r="N205" s="9"/>
      <c r="O205" s="7"/>
      <c r="P205" s="8"/>
      <c r="Q205" s="9"/>
      <c r="R205" s="5"/>
    </row>
    <row r="206" spans="1:18" x14ac:dyDescent="0.25">
      <c r="A206" s="10" t="s">
        <v>175</v>
      </c>
      <c r="B206" s="18" t="s">
        <v>252</v>
      </c>
      <c r="C206" s="12">
        <v>29.96</v>
      </c>
      <c r="D206" s="12">
        <v>0</v>
      </c>
      <c r="E206" s="10" t="s">
        <v>26</v>
      </c>
      <c r="F206" s="14">
        <v>236600.08</v>
      </c>
      <c r="G206" s="14">
        <f>F206*C206</f>
        <v>7088538.3968</v>
      </c>
      <c r="H206" s="15">
        <f>IF($G$1279=0,0,G206/$G$1279*100)</f>
      </c>
      <c r="I206" s="12" t="str">
        <f>IF(O206-C206&gt;0,O206-C206,"")</f>
        <v/>
      </c>
      <c r="J206" s="14" t="str">
        <f>IF(I206="","",F206*I206)</f>
        <v/>
      </c>
      <c r="K206" s="15">
        <f>IF(OR(J206="",$G$1279=0),"",J206/$G$1279*100)</f>
      </c>
      <c r="L206" s="12" t="str">
        <f>IF(C206-O206&gt;0,C206-O206,"")</f>
        <v/>
      </c>
      <c r="M206" s="14" t="str">
        <f>IF(L206="","",F206*L206)</f>
        <v/>
      </c>
      <c r="N206" s="15">
        <f>IF(OR(M206="",$G$1279=0),"",M206/$G$1279*100)</f>
      </c>
      <c r="O206" s="12">
        <v>29.96</v>
      </c>
      <c r="P206" s="14">
        <f>F206*O206</f>
        <v>7088538.3968</v>
      </c>
      <c r="Q206" s="15">
        <f>IF($P$1279=0,0,P206/$P$1279*100)</f>
      </c>
      <c r="R206" s="10" t="str">
        <f>IF(O206=C206,"TETAP",IF(C206=0,"BARU",IF(O206=0,"HAPUS",IF(O206&gt;C206,"TAMBAH","KURANG"))))</f>
        <v>TETAP</v>
      </c>
    </row>
    <row r="207" spans="1:18" x14ac:dyDescent="0.25">
      <c r="A207" s="10" t="s">
        <v>176</v>
      </c>
      <c r="B207" s="18" t="s">
        <v>253</v>
      </c>
      <c r="C207" s="12">
        <v>210.2</v>
      </c>
      <c r="D207" s="12">
        <v>0</v>
      </c>
      <c r="E207" s="10" t="s">
        <v>169</v>
      </c>
      <c r="F207" s="14">
        <v>28927.25</v>
      </c>
      <c r="G207" s="14">
        <f>F207*C207</f>
        <v>6080507.949999999</v>
      </c>
      <c r="H207" s="15">
        <f>IF($G$1279=0,0,G207/$G$1279*100)</f>
      </c>
      <c r="I207" s="12" t="str">
        <f>IF(O207-C207&gt;0,O207-C207,"")</f>
        <v/>
      </c>
      <c r="J207" s="14" t="str">
        <f>IF(I207="","",F207*I207)</f>
        <v/>
      </c>
      <c r="K207" s="15">
        <f>IF(OR(J207="",$G$1279=0),"",J207/$G$1279*100)</f>
      </c>
      <c r="L207" s="12" t="str">
        <f>IF(C207-O207&gt;0,C207-O207,"")</f>
        <v/>
      </c>
      <c r="M207" s="14" t="str">
        <f>IF(L207="","",F207*L207)</f>
        <v/>
      </c>
      <c r="N207" s="15">
        <f>IF(OR(M207="",$G$1279=0),"",M207/$G$1279*100)</f>
      </c>
      <c r="O207" s="12">
        <v>210.2</v>
      </c>
      <c r="P207" s="14">
        <f>F207*O207</f>
        <v>6080507.949999999</v>
      </c>
      <c r="Q207" s="15">
        <f>IF($P$1279=0,0,P207/$P$1279*100)</f>
      </c>
      <c r="R207" s="10" t="str">
        <f>IF(O207=C207,"TETAP",IF(C207=0,"BARU",IF(O207=0,"HAPUS",IF(O207&gt;C207,"TAMBAH","KURANG"))))</f>
        <v>TETAP</v>
      </c>
    </row>
    <row r="208" spans="1:18" x14ac:dyDescent="0.25">
      <c r="A208" s="10" t="s">
        <v>178</v>
      </c>
      <c r="B208" s="18" t="s">
        <v>254</v>
      </c>
      <c r="C208" s="12">
        <v>70.96</v>
      </c>
      <c r="D208" s="12">
        <v>0</v>
      </c>
      <c r="E208" s="10" t="s">
        <v>169</v>
      </c>
      <c r="F208" s="14">
        <v>19252.39</v>
      </c>
      <c r="G208" s="14">
        <f>F208*C208</f>
        <v>1366149.5943999998</v>
      </c>
      <c r="H208" s="15">
        <f>IF($G$1279=0,0,G208/$G$1279*100)</f>
      </c>
      <c r="I208" s="12" t="str">
        <f>IF(O208-C208&gt;0,O208-C208,"")</f>
        <v/>
      </c>
      <c r="J208" s="14" t="str">
        <f>IF(I208="","",F208*I208)</f>
        <v/>
      </c>
      <c r="K208" s="15">
        <f>IF(OR(J208="",$G$1279=0),"",J208/$G$1279*100)</f>
      </c>
      <c r="L208" s="12" t="str">
        <f>IF(C208-O208&gt;0,C208-O208,"")</f>
        <v/>
      </c>
      <c r="M208" s="14" t="str">
        <f>IF(L208="","",F208*L208)</f>
        <v/>
      </c>
      <c r="N208" s="15">
        <f>IF(OR(M208="",$G$1279=0),"",M208/$G$1279*100)</f>
      </c>
      <c r="O208" s="12">
        <v>70.96</v>
      </c>
      <c r="P208" s="14">
        <f>F208*O208</f>
        <v>1366149.5943999998</v>
      </c>
      <c r="Q208" s="15">
        <f>IF($P$1279=0,0,P208/$P$1279*100)</f>
      </c>
      <c r="R208" s="10" t="str">
        <f>IF(O208=C208,"TETAP",IF(C208=0,"BARU",IF(O208=0,"HAPUS",IF(O208&gt;C208,"TAMBAH","KURANG"))))</f>
        <v>TETAP</v>
      </c>
    </row>
    <row r="209" spans="1:18" x14ac:dyDescent="0.25">
      <c r="A209" s="10" t="s">
        <v>180</v>
      </c>
      <c r="B209" s="18" t="s">
        <v>173</v>
      </c>
      <c r="C209" s="12">
        <v>2.59</v>
      </c>
      <c r="D209" s="12">
        <v>0</v>
      </c>
      <c r="E209" s="10" t="s">
        <v>159</v>
      </c>
      <c r="F209" s="14">
        <v>1504340.14</v>
      </c>
      <c r="G209" s="14">
        <f>F209*C209</f>
        <v>3896240.9625999997</v>
      </c>
      <c r="H209" s="15">
        <f>IF($G$1279=0,0,G209/$G$1279*100)</f>
      </c>
      <c r="I209" s="12" t="str">
        <f>IF(O209-C209&gt;0,O209-C209,"")</f>
        <v/>
      </c>
      <c r="J209" s="14" t="str">
        <f>IF(I209="","",F209*I209)</f>
        <v/>
      </c>
      <c r="K209" s="15">
        <f>IF(OR(J209="",$G$1279=0),"",J209/$G$1279*100)</f>
      </c>
      <c r="L209" s="12" t="str">
        <f>IF(C209-O209&gt;0,C209-O209,"")</f>
        <v/>
      </c>
      <c r="M209" s="14" t="str">
        <f>IF(L209="","",F209*L209)</f>
        <v/>
      </c>
      <c r="N209" s="15">
        <f>IF(OR(M209="",$G$1279=0),"",M209/$G$1279*100)</f>
      </c>
      <c r="O209" s="12">
        <v>2.59</v>
      </c>
      <c r="P209" s="14">
        <f>F209*O209</f>
        <v>3896240.9625999997</v>
      </c>
      <c r="Q209" s="15">
        <f>IF($P$1279=0,0,P209/$P$1279*100)</f>
      </c>
      <c r="R209" s="10" t="str">
        <f>IF(O209=C209,"TETAP",IF(C209=0,"BARU",IF(O209=0,"HAPUS",IF(O209&gt;C209,"TAMBAH","KURANG"))))</f>
        <v>TETAP</v>
      </c>
    </row>
    <row r="210" spans="1:18" x14ac:dyDescent="0.25">
      <c r="A210" s="10" t="s">
        <v>181</v>
      </c>
      <c r="B210" s="18" t="s">
        <v>210</v>
      </c>
      <c r="C210" s="12">
        <v>2.59</v>
      </c>
      <c r="D210" s="12">
        <v>0</v>
      </c>
      <c r="E210" s="10" t="s">
        <v>159</v>
      </c>
      <c r="F210" s="14">
        <v>45149.88</v>
      </c>
      <c r="G210" s="14">
        <f>F210*C210</f>
        <v>116938.1892</v>
      </c>
      <c r="H210" s="15">
        <f>IF($G$1279=0,0,G210/$G$1279*100)</f>
      </c>
      <c r="I210" s="12" t="str">
        <f>IF(O210-C210&gt;0,O210-C210,"")</f>
        <v/>
      </c>
      <c r="J210" s="14" t="str">
        <f>IF(I210="","",F210*I210)</f>
        <v/>
      </c>
      <c r="K210" s="15">
        <f>IF(OR(J210="",$G$1279=0),"",J210/$G$1279*100)</f>
      </c>
      <c r="L210" s="12" t="str">
        <f>IF(C210-O210&gt;0,C210-O210,"")</f>
        <v/>
      </c>
      <c r="M210" s="14" t="str">
        <f>IF(L210="","",F210*L210)</f>
        <v/>
      </c>
      <c r="N210" s="15">
        <f>IF(OR(M210="",$G$1279=0),"",M210/$G$1279*100)</f>
      </c>
      <c r="O210" s="12">
        <v>2.59</v>
      </c>
      <c r="P210" s="14">
        <f>F210*O210</f>
        <v>116938.1892</v>
      </c>
      <c r="Q210" s="15">
        <f>IF($P$1279=0,0,P210/$P$1279*100)</f>
      </c>
      <c r="R210" s="10" t="str">
        <f>IF(O210=C210,"TETAP",IF(C210=0,"BARU",IF(O210=0,"HAPUS",IF(O210&gt;C210,"TAMBAH","KURANG"))))</f>
        <v>TETAP</v>
      </c>
    </row>
    <row r="211" spans="1:18" x14ac:dyDescent="0.25">
      <c r="A211" s="10" t="s">
        <v>183</v>
      </c>
      <c r="B211" s="18" t="s">
        <v>257</v>
      </c>
      <c r="C211" s="12">
        <v>2.59</v>
      </c>
      <c r="D211" s="12">
        <v>0</v>
      </c>
      <c r="E211" s="10" t="s">
        <v>159</v>
      </c>
      <c r="F211" s="14">
        <v>431478.14</v>
      </c>
      <c r="G211" s="14">
        <f>F211*C211</f>
        <v>1117528.3826</v>
      </c>
      <c r="H211" s="15">
        <f>IF($G$1279=0,0,G211/$G$1279*100)</f>
      </c>
      <c r="I211" s="12" t="str">
        <f>IF(O211-C211&gt;0,O211-C211,"")</f>
        <v/>
      </c>
      <c r="J211" s="14" t="str">
        <f>IF(I211="","",F211*I211)</f>
        <v/>
      </c>
      <c r="K211" s="15">
        <f>IF(OR(J211="",$G$1279=0),"",J211/$G$1279*100)</f>
      </c>
      <c r="L211" s="12" t="str">
        <f>IF(C211-O211&gt;0,C211-O211,"")</f>
        <v/>
      </c>
      <c r="M211" s="14" t="str">
        <f>IF(L211="","",F211*L211)</f>
        <v/>
      </c>
      <c r="N211" s="15">
        <f>IF(OR(M211="",$G$1279=0),"",M211/$G$1279*100)</f>
      </c>
      <c r="O211" s="12">
        <v>2.59</v>
      </c>
      <c r="P211" s="14">
        <f>F211*O211</f>
        <v>1117528.3826</v>
      </c>
      <c r="Q211" s="15">
        <f>IF($P$1279=0,0,P211/$P$1279*100)</f>
      </c>
      <c r="R211" s="10" t="str">
        <f>IF(O211=C211,"TETAP",IF(C211=0,"BARU",IF(O211=0,"HAPUS",IF(O211&gt;C211,"TAMBAH","KURANG"))))</f>
        <v>TETAP</v>
      </c>
    </row>
    <row r="212" spans="1:18" x14ac:dyDescent="0.25">
      <c r="A212" s="5" t="s">
        <v>33</v>
      </c>
      <c r="B212" s="17" t="s">
        <v>312</v>
      </c>
      <c r="C212" s="7"/>
      <c r="D212" s="7"/>
      <c r="E212" s="5"/>
      <c r="F212" s="8"/>
      <c r="G212" s="8"/>
      <c r="H212" s="9"/>
      <c r="I212" s="7"/>
      <c r="J212" s="8"/>
      <c r="K212" s="9"/>
      <c r="L212" s="7"/>
      <c r="M212" s="8"/>
      <c r="N212" s="9"/>
      <c r="O212" s="7"/>
      <c r="P212" s="8"/>
      <c r="Q212" s="9"/>
      <c r="R212" s="5"/>
    </row>
    <row r="213" spans="1:18" x14ac:dyDescent="0.25">
      <c r="A213" s="10" t="s">
        <v>186</v>
      </c>
      <c r="B213" s="18" t="s">
        <v>252</v>
      </c>
      <c r="C213" s="12">
        <v>2.63</v>
      </c>
      <c r="D213" s="12">
        <v>0</v>
      </c>
      <c r="E213" s="10" t="s">
        <v>26</v>
      </c>
      <c r="F213" s="14">
        <v>236600.08</v>
      </c>
      <c r="G213" s="14">
        <f>F213*C213</f>
        <v>622258.2104</v>
      </c>
      <c r="H213" s="15">
        <f>IF($G$1279=0,0,G213/$G$1279*100)</f>
      </c>
      <c r="I213" s="12" t="str">
        <f>IF(O213-C213&gt;0,O213-C213,"")</f>
        <v/>
      </c>
      <c r="J213" s="14" t="str">
        <f>IF(I213="","",F213*I213)</f>
        <v/>
      </c>
      <c r="K213" s="15">
        <f>IF(OR(J213="",$G$1279=0),"",J213/$G$1279*100)</f>
      </c>
      <c r="L213" s="12" t="str">
        <f>IF(C213-O213&gt;0,C213-O213,"")</f>
        <v/>
      </c>
      <c r="M213" s="14" t="str">
        <f>IF(L213="","",F213*L213)</f>
        <v/>
      </c>
      <c r="N213" s="15">
        <f>IF(OR(M213="",$G$1279=0),"",M213/$G$1279*100)</f>
      </c>
      <c r="O213" s="12">
        <v>2.63</v>
      </c>
      <c r="P213" s="14">
        <f>F213*O213</f>
        <v>622258.2104</v>
      </c>
      <c r="Q213" s="15">
        <f>IF($P$1279=0,0,P213/$P$1279*100)</f>
      </c>
      <c r="R213" s="10" t="str">
        <f>IF(O213=C213,"TETAP",IF(C213=0,"BARU",IF(O213=0,"HAPUS",IF(O213&gt;C213,"TAMBAH","KURANG"))))</f>
        <v>TETAP</v>
      </c>
    </row>
    <row r="214" spans="1:18" x14ac:dyDescent="0.25">
      <c r="A214" s="10" t="s">
        <v>188</v>
      </c>
      <c r="B214" s="18" t="s">
        <v>263</v>
      </c>
      <c r="C214" s="12">
        <v>10.6</v>
      </c>
      <c r="D214" s="12">
        <v>0</v>
      </c>
      <c r="E214" s="10" t="s">
        <v>169</v>
      </c>
      <c r="F214" s="14">
        <v>19252.39</v>
      </c>
      <c r="G214" s="14">
        <f>F214*C214</f>
        <v>204075.33399999997</v>
      </c>
      <c r="H214" s="15">
        <f>IF($G$1279=0,0,G214/$G$1279*100)</f>
      </c>
      <c r="I214" s="12" t="str">
        <f>IF(O214-C214&gt;0,O214-C214,"")</f>
        <v/>
      </c>
      <c r="J214" s="14" t="str">
        <f>IF(I214="","",F214*I214)</f>
        <v/>
      </c>
      <c r="K214" s="15">
        <f>IF(OR(J214="",$G$1279=0),"",J214/$G$1279*100)</f>
      </c>
      <c r="L214" s="12" t="str">
        <f>IF(C214-O214&gt;0,C214-O214,"")</f>
        <v/>
      </c>
      <c r="M214" s="14" t="str">
        <f>IF(L214="","",F214*L214)</f>
        <v/>
      </c>
      <c r="N214" s="15">
        <f>IF(OR(M214="",$G$1279=0),"",M214/$G$1279*100)</f>
      </c>
      <c r="O214" s="12">
        <v>10.6</v>
      </c>
      <c r="P214" s="14">
        <f>F214*O214</f>
        <v>204075.33399999997</v>
      </c>
      <c r="Q214" s="15">
        <f>IF($P$1279=0,0,P214/$P$1279*100)</f>
      </c>
      <c r="R214" s="10" t="str">
        <f>IF(O214=C214,"TETAP",IF(C214=0,"BARU",IF(O214=0,"HAPUS",IF(O214&gt;C214,"TAMBAH","KURANG"))))</f>
        <v>TETAP</v>
      </c>
    </row>
    <row r="215" spans="1:18" x14ac:dyDescent="0.25">
      <c r="A215" s="10" t="s">
        <v>189</v>
      </c>
      <c r="B215" s="18" t="s">
        <v>254</v>
      </c>
      <c r="C215" s="12">
        <v>5.37</v>
      </c>
      <c r="D215" s="12">
        <v>0</v>
      </c>
      <c r="E215" s="10" t="s">
        <v>169</v>
      </c>
      <c r="F215" s="14">
        <v>19252.39</v>
      </c>
      <c r="G215" s="14">
        <f>F215*C215</f>
        <v>103385.3343</v>
      </c>
      <c r="H215" s="15">
        <f>IF($G$1279=0,0,G215/$G$1279*100)</f>
      </c>
      <c r="I215" s="12" t="str">
        <f>IF(O215-C215&gt;0,O215-C215,"")</f>
        <v/>
      </c>
      <c r="J215" s="14" t="str">
        <f>IF(I215="","",F215*I215)</f>
        <v/>
      </c>
      <c r="K215" s="15">
        <f>IF(OR(J215="",$G$1279=0),"",J215/$G$1279*100)</f>
      </c>
      <c r="L215" s="12" t="str">
        <f>IF(C215-O215&gt;0,C215-O215,"")</f>
        <v/>
      </c>
      <c r="M215" s="14" t="str">
        <f>IF(L215="","",F215*L215)</f>
        <v/>
      </c>
      <c r="N215" s="15">
        <f>IF(OR(M215="",$G$1279=0),"",M215/$G$1279*100)</f>
      </c>
      <c r="O215" s="12">
        <v>5.37</v>
      </c>
      <c r="P215" s="14">
        <f>F215*O215</f>
        <v>103385.3343</v>
      </c>
      <c r="Q215" s="15">
        <f>IF($P$1279=0,0,P215/$P$1279*100)</f>
      </c>
      <c r="R215" s="10" t="str">
        <f>IF(O215=C215,"TETAP",IF(C215=0,"BARU",IF(O215=0,"HAPUS",IF(O215&gt;C215,"TAMBAH","KURANG"))))</f>
        <v>TETAP</v>
      </c>
    </row>
    <row r="216" spans="1:18" x14ac:dyDescent="0.25">
      <c r="A216" s="10" t="s">
        <v>191</v>
      </c>
      <c r="B216" s="18" t="s">
        <v>173</v>
      </c>
      <c r="C216" s="12">
        <v>0.25</v>
      </c>
      <c r="D216" s="12">
        <v>0</v>
      </c>
      <c r="E216" s="10" t="s">
        <v>159</v>
      </c>
      <c r="F216" s="14">
        <v>1504340.14</v>
      </c>
      <c r="G216" s="14">
        <f>F216*C216</f>
        <v>376085.035</v>
      </c>
      <c r="H216" s="15">
        <f>IF($G$1279=0,0,G216/$G$1279*100)</f>
      </c>
      <c r="I216" s="12" t="str">
        <f>IF(O216-C216&gt;0,O216-C216,"")</f>
        <v/>
      </c>
      <c r="J216" s="14" t="str">
        <f>IF(I216="","",F216*I216)</f>
        <v/>
      </c>
      <c r="K216" s="15">
        <f>IF(OR(J216="",$G$1279=0),"",J216/$G$1279*100)</f>
      </c>
      <c r="L216" s="12" t="str">
        <f>IF(C216-O216&gt;0,C216-O216,"")</f>
        <v/>
      </c>
      <c r="M216" s="14" t="str">
        <f>IF(L216="","",F216*L216)</f>
        <v/>
      </c>
      <c r="N216" s="15">
        <f>IF(OR(M216="",$G$1279=0),"",M216/$G$1279*100)</f>
      </c>
      <c r="O216" s="12">
        <v>0.25</v>
      </c>
      <c r="P216" s="14">
        <f>F216*O216</f>
        <v>376085.035</v>
      </c>
      <c r="Q216" s="15">
        <f>IF($P$1279=0,0,P216/$P$1279*100)</f>
      </c>
      <c r="R216" s="10" t="str">
        <f>IF(O216=C216,"TETAP",IF(C216=0,"BARU",IF(O216=0,"HAPUS",IF(O216&gt;C216,"TAMBAH","KURANG"))))</f>
        <v>TETAP</v>
      </c>
    </row>
    <row r="217" spans="1:18" x14ac:dyDescent="0.25">
      <c r="A217" s="10" t="s">
        <v>260</v>
      </c>
      <c r="B217" s="18" t="s">
        <v>210</v>
      </c>
      <c r="C217" s="12">
        <v>0.25</v>
      </c>
      <c r="D217" s="12">
        <v>0</v>
      </c>
      <c r="E217" s="10" t="s">
        <v>159</v>
      </c>
      <c r="F217" s="14">
        <v>45149.88</v>
      </c>
      <c r="G217" s="14">
        <f>F217*C217</f>
        <v>11287.47</v>
      </c>
      <c r="H217" s="15">
        <f>IF($G$1279=0,0,G217/$G$1279*100)</f>
      </c>
      <c r="I217" s="12" t="str">
        <f>IF(O217-C217&gt;0,O217-C217,"")</f>
        <v/>
      </c>
      <c r="J217" s="14" t="str">
        <f>IF(I217="","",F217*I217)</f>
        <v/>
      </c>
      <c r="K217" s="15">
        <f>IF(OR(J217="",$G$1279=0),"",J217/$G$1279*100)</f>
      </c>
      <c r="L217" s="12" t="str">
        <f>IF(C217-O217&gt;0,C217-O217,"")</f>
        <v/>
      </c>
      <c r="M217" s="14" t="str">
        <f>IF(L217="","",F217*L217)</f>
        <v/>
      </c>
      <c r="N217" s="15">
        <f>IF(OR(M217="",$G$1279=0),"",M217/$G$1279*100)</f>
      </c>
      <c r="O217" s="12">
        <v>0.25</v>
      </c>
      <c r="P217" s="14">
        <f>F217*O217</f>
        <v>11287.47</v>
      </c>
      <c r="Q217" s="15">
        <f>IF($P$1279=0,0,P217/$P$1279*100)</f>
      </c>
      <c r="R217" s="10" t="str">
        <f>IF(O217=C217,"TETAP",IF(C217=0,"BARU",IF(O217=0,"HAPUS",IF(O217&gt;C217,"TAMBAH","KURANG"))))</f>
        <v>TETAP</v>
      </c>
    </row>
    <row r="218" spans="1:18" x14ac:dyDescent="0.25">
      <c r="A218" s="10" t="s">
        <v>261</v>
      </c>
      <c r="B218" s="18" t="s">
        <v>257</v>
      </c>
      <c r="C218" s="12">
        <v>0.25</v>
      </c>
      <c r="D218" s="12">
        <v>0</v>
      </c>
      <c r="E218" s="10" t="s">
        <v>159</v>
      </c>
      <c r="F218" s="14">
        <v>431478.14</v>
      </c>
      <c r="G218" s="14">
        <f>F218*C218</f>
        <v>107869.535</v>
      </c>
      <c r="H218" s="15">
        <f>IF($G$1279=0,0,G218/$G$1279*100)</f>
      </c>
      <c r="I218" s="12" t="str">
        <f>IF(O218-C218&gt;0,O218-C218,"")</f>
        <v/>
      </c>
      <c r="J218" s="14" t="str">
        <f>IF(I218="","",F218*I218)</f>
        <v/>
      </c>
      <c r="K218" s="15">
        <f>IF(OR(J218="",$G$1279=0),"",J218/$G$1279*100)</f>
      </c>
      <c r="L218" s="12" t="str">
        <f>IF(C218-O218&gt;0,C218-O218,"")</f>
        <v/>
      </c>
      <c r="M218" s="14" t="str">
        <f>IF(L218="","",F218*L218)</f>
        <v/>
      </c>
      <c r="N218" s="15">
        <f>IF(OR(M218="",$G$1279=0),"",M218/$G$1279*100)</f>
      </c>
      <c r="O218" s="12">
        <v>0.25</v>
      </c>
      <c r="P218" s="14">
        <f>F218*O218</f>
        <v>107869.535</v>
      </c>
      <c r="Q218" s="15">
        <f>IF($P$1279=0,0,P218/$P$1279*100)</f>
      </c>
      <c r="R218" s="10" t="str">
        <f>IF(O218=C218,"TETAP",IF(C218=0,"BARU",IF(O218=0,"HAPUS",IF(O218&gt;C218,"TAMBAH","KURANG"))))</f>
        <v>TETAP</v>
      </c>
    </row>
    <row r="219" spans="1:18" x14ac:dyDescent="0.25">
      <c r="A219" s="5" t="s">
        <v>35</v>
      </c>
      <c r="B219" s="17" t="s">
        <v>258</v>
      </c>
      <c r="C219" s="7"/>
      <c r="D219" s="7"/>
      <c r="E219" s="5"/>
      <c r="F219" s="8"/>
      <c r="G219" s="8"/>
      <c r="H219" s="9"/>
      <c r="I219" s="7"/>
      <c r="J219" s="8"/>
      <c r="K219" s="9"/>
      <c r="L219" s="7"/>
      <c r="M219" s="8"/>
      <c r="N219" s="9"/>
      <c r="O219" s="7"/>
      <c r="P219" s="8"/>
      <c r="Q219" s="9"/>
      <c r="R219" s="5"/>
    </row>
    <row r="220" spans="1:18" x14ac:dyDescent="0.25">
      <c r="A220" s="10" t="s">
        <v>193</v>
      </c>
      <c r="B220" s="18" t="s">
        <v>252</v>
      </c>
      <c r="C220" s="12">
        <v>14.03</v>
      </c>
      <c r="D220" s="12">
        <v>0</v>
      </c>
      <c r="E220" s="10" t="s">
        <v>26</v>
      </c>
      <c r="F220" s="14">
        <v>236600.08</v>
      </c>
      <c r="G220" s="14">
        <f>F220*C220</f>
        <v>3319499.1223999998</v>
      </c>
      <c r="H220" s="15">
        <f>IF($G$1279=0,0,G220/$G$1279*100)</f>
      </c>
      <c r="I220" s="12" t="str">
        <f>IF(O220-C220&gt;0,O220-C220,"")</f>
        <v/>
      </c>
      <c r="J220" s="14" t="str">
        <f>IF(I220="","",F220*I220)</f>
        <v/>
      </c>
      <c r="K220" s="15">
        <f>IF(OR(J220="",$G$1279=0),"",J220/$G$1279*100)</f>
      </c>
      <c r="L220" s="12" t="str">
        <f>IF(C220-O220&gt;0,C220-O220,"")</f>
        <v/>
      </c>
      <c r="M220" s="14" t="str">
        <f>IF(L220="","",F220*L220)</f>
        <v/>
      </c>
      <c r="N220" s="15">
        <f>IF(OR(M220="",$G$1279=0),"",M220/$G$1279*100)</f>
      </c>
      <c r="O220" s="12">
        <v>14.03</v>
      </c>
      <c r="P220" s="14">
        <f>F220*O220</f>
        <v>3319499.1223999998</v>
      </c>
      <c r="Q220" s="15">
        <f>IF($P$1279=0,0,P220/$P$1279*100)</f>
      </c>
      <c r="R220" s="10" t="str">
        <f>IF(O220=C220,"TETAP",IF(C220=0,"BARU",IF(O220=0,"HAPUS",IF(O220&gt;C220,"TAMBAH","KURANG"))))</f>
        <v>TETAP</v>
      </c>
    </row>
    <row r="221" spans="1:18" x14ac:dyDescent="0.25">
      <c r="A221" s="10" t="s">
        <v>195</v>
      </c>
      <c r="B221" s="18" t="s">
        <v>253</v>
      </c>
      <c r="C221" s="12">
        <v>95.33</v>
      </c>
      <c r="D221" s="12">
        <v>0</v>
      </c>
      <c r="E221" s="10" t="s">
        <v>169</v>
      </c>
      <c r="F221" s="14">
        <v>28927.25</v>
      </c>
      <c r="G221" s="14">
        <f>F221*C221</f>
        <v>2757634.7425</v>
      </c>
      <c r="H221" s="15">
        <f>IF($G$1279=0,0,G221/$G$1279*100)</f>
      </c>
      <c r="I221" s="12" t="str">
        <f>IF(O221-C221&gt;0,O221-C221,"")</f>
        <v/>
      </c>
      <c r="J221" s="14" t="str">
        <f>IF(I221="","",F221*I221)</f>
        <v/>
      </c>
      <c r="K221" s="15">
        <f>IF(OR(J221="",$G$1279=0),"",J221/$G$1279*100)</f>
      </c>
      <c r="L221" s="12" t="str">
        <f>IF(C221-O221&gt;0,C221-O221,"")</f>
        <v/>
      </c>
      <c r="M221" s="14" t="str">
        <f>IF(L221="","",F221*L221)</f>
        <v/>
      </c>
      <c r="N221" s="15">
        <f>IF(OR(M221="",$G$1279=0),"",M221/$G$1279*100)</f>
      </c>
      <c r="O221" s="12">
        <v>95.33</v>
      </c>
      <c r="P221" s="14">
        <f>F221*O221</f>
        <v>2757634.7425</v>
      </c>
      <c r="Q221" s="15">
        <f>IF($P$1279=0,0,P221/$P$1279*100)</f>
      </c>
      <c r="R221" s="10" t="str">
        <f>IF(O221=C221,"TETAP",IF(C221=0,"BARU",IF(O221=0,"HAPUS",IF(O221&gt;C221,"TAMBAH","KURANG"))))</f>
        <v>TETAP</v>
      </c>
    </row>
    <row r="222" spans="1:18" x14ac:dyDescent="0.25">
      <c r="A222" s="10" t="s">
        <v>197</v>
      </c>
      <c r="B222" s="18" t="s">
        <v>254</v>
      </c>
      <c r="C222" s="12">
        <v>32.55</v>
      </c>
      <c r="D222" s="12">
        <v>0</v>
      </c>
      <c r="E222" s="10" t="s">
        <v>169</v>
      </c>
      <c r="F222" s="14">
        <v>19252.39</v>
      </c>
      <c r="G222" s="14">
        <f>F222*C222</f>
        <v>626665.2945</v>
      </c>
      <c r="H222" s="15">
        <f>IF($G$1279=0,0,G222/$G$1279*100)</f>
      </c>
      <c r="I222" s="12" t="str">
        <f>IF(O222-C222&gt;0,O222-C222,"")</f>
        <v/>
      </c>
      <c r="J222" s="14" t="str">
        <f>IF(I222="","",F222*I222)</f>
        <v/>
      </c>
      <c r="K222" s="15">
        <f>IF(OR(J222="",$G$1279=0),"",J222/$G$1279*100)</f>
      </c>
      <c r="L222" s="12" t="str">
        <f>IF(C222-O222&gt;0,C222-O222,"")</f>
        <v/>
      </c>
      <c r="M222" s="14" t="str">
        <f>IF(L222="","",F222*L222)</f>
        <v/>
      </c>
      <c r="N222" s="15">
        <f>IF(OR(M222="",$G$1279=0),"",M222/$G$1279*100)</f>
      </c>
      <c r="O222" s="12">
        <v>32.55</v>
      </c>
      <c r="P222" s="14">
        <f>F222*O222</f>
        <v>626665.2945</v>
      </c>
      <c r="Q222" s="15">
        <f>IF($P$1279=0,0,P222/$P$1279*100)</f>
      </c>
      <c r="R222" s="10" t="str">
        <f>IF(O222=C222,"TETAP",IF(C222=0,"BARU",IF(O222=0,"HAPUS",IF(O222&gt;C222,"TAMBAH","KURANG"))))</f>
        <v>TETAP</v>
      </c>
    </row>
    <row r="223" spans="1:18" x14ac:dyDescent="0.25">
      <c r="A223" s="10" t="s">
        <v>198</v>
      </c>
      <c r="B223" s="18" t="s">
        <v>173</v>
      </c>
      <c r="C223" s="12">
        <v>1.24</v>
      </c>
      <c r="D223" s="12">
        <v>0</v>
      </c>
      <c r="E223" s="10" t="s">
        <v>159</v>
      </c>
      <c r="F223" s="14">
        <v>1504340.14</v>
      </c>
      <c r="G223" s="14">
        <f>F223*C223</f>
        <v>1865381.7736</v>
      </c>
      <c r="H223" s="15">
        <f>IF($G$1279=0,0,G223/$G$1279*100)</f>
      </c>
      <c r="I223" s="12" t="str">
        <f>IF(O223-C223&gt;0,O223-C223,"")</f>
        <v/>
      </c>
      <c r="J223" s="14" t="str">
        <f>IF(I223="","",F223*I223)</f>
        <v/>
      </c>
      <c r="K223" s="15">
        <f>IF(OR(J223="",$G$1279=0),"",J223/$G$1279*100)</f>
      </c>
      <c r="L223" s="12" t="str">
        <f>IF(C223-O223&gt;0,C223-O223,"")</f>
        <v/>
      </c>
      <c r="M223" s="14" t="str">
        <f>IF(L223="","",F223*L223)</f>
        <v/>
      </c>
      <c r="N223" s="15">
        <f>IF(OR(M223="",$G$1279=0),"",M223/$G$1279*100)</f>
      </c>
      <c r="O223" s="12">
        <v>1.24</v>
      </c>
      <c r="P223" s="14">
        <f>F223*O223</f>
        <v>1865381.7736</v>
      </c>
      <c r="Q223" s="15">
        <f>IF($P$1279=0,0,P223/$P$1279*100)</f>
      </c>
      <c r="R223" s="10" t="str">
        <f>IF(O223=C223,"TETAP",IF(C223=0,"BARU",IF(O223=0,"HAPUS",IF(O223&gt;C223,"TAMBAH","KURANG"))))</f>
        <v>TETAP</v>
      </c>
    </row>
    <row r="224" spans="1:18" x14ac:dyDescent="0.25">
      <c r="A224" s="10" t="s">
        <v>264</v>
      </c>
      <c r="B224" s="18" t="s">
        <v>210</v>
      </c>
      <c r="C224" s="12">
        <v>1.24</v>
      </c>
      <c r="D224" s="12">
        <v>0</v>
      </c>
      <c r="E224" s="10" t="s">
        <v>159</v>
      </c>
      <c r="F224" s="14">
        <v>45149.88</v>
      </c>
      <c r="G224" s="14">
        <f>F224*C224</f>
        <v>55985.8512</v>
      </c>
      <c r="H224" s="15">
        <f>IF($G$1279=0,0,G224/$G$1279*100)</f>
      </c>
      <c r="I224" s="12" t="str">
        <f>IF(O224-C224&gt;0,O224-C224,"")</f>
        <v/>
      </c>
      <c r="J224" s="14" t="str">
        <f>IF(I224="","",F224*I224)</f>
        <v/>
      </c>
      <c r="K224" s="15">
        <f>IF(OR(J224="",$G$1279=0),"",J224/$G$1279*100)</f>
      </c>
      <c r="L224" s="12" t="str">
        <f>IF(C224-O224&gt;0,C224-O224,"")</f>
        <v/>
      </c>
      <c r="M224" s="14" t="str">
        <f>IF(L224="","",F224*L224)</f>
        <v/>
      </c>
      <c r="N224" s="15">
        <f>IF(OR(M224="",$G$1279=0),"",M224/$G$1279*100)</f>
      </c>
      <c r="O224" s="12">
        <v>1.24</v>
      </c>
      <c r="P224" s="14">
        <f>F224*O224</f>
        <v>55985.8512</v>
      </c>
      <c r="Q224" s="15">
        <f>IF($P$1279=0,0,P224/$P$1279*100)</f>
      </c>
      <c r="R224" s="10" t="str">
        <f>IF(O224=C224,"TETAP",IF(C224=0,"BARU",IF(O224=0,"HAPUS",IF(O224&gt;C224,"TAMBAH","KURANG"))))</f>
        <v>TETAP</v>
      </c>
    </row>
    <row r="225" spans="1:18" x14ac:dyDescent="0.25">
      <c r="A225" s="10" t="s">
        <v>265</v>
      </c>
      <c r="B225" s="18" t="s">
        <v>257</v>
      </c>
      <c r="C225" s="12">
        <v>1.24</v>
      </c>
      <c r="D225" s="12">
        <v>0</v>
      </c>
      <c r="E225" s="10" t="s">
        <v>159</v>
      </c>
      <c r="F225" s="14">
        <v>431478.14</v>
      </c>
      <c r="G225" s="14">
        <f>F225*C225</f>
        <v>535032.8936000001</v>
      </c>
      <c r="H225" s="15">
        <f>IF($G$1279=0,0,G225/$G$1279*100)</f>
      </c>
      <c r="I225" s="12" t="str">
        <f>IF(O225-C225&gt;0,O225-C225,"")</f>
        <v/>
      </c>
      <c r="J225" s="14" t="str">
        <f>IF(I225="","",F225*I225)</f>
        <v/>
      </c>
      <c r="K225" s="15">
        <f>IF(OR(J225="",$G$1279=0),"",J225/$G$1279*100)</f>
      </c>
      <c r="L225" s="12" t="str">
        <f>IF(C225-O225&gt;0,C225-O225,"")</f>
        <v/>
      </c>
      <c r="M225" s="14" t="str">
        <f>IF(L225="","",F225*L225)</f>
        <v/>
      </c>
      <c r="N225" s="15">
        <f>IF(OR(M225="",$G$1279=0),"",M225/$G$1279*100)</f>
      </c>
      <c r="O225" s="12">
        <v>1.24</v>
      </c>
      <c r="P225" s="14">
        <f>F225*O225</f>
        <v>535032.8936000001</v>
      </c>
      <c r="Q225" s="15">
        <f>IF($P$1279=0,0,P225/$P$1279*100)</f>
      </c>
      <c r="R225" s="10" t="str">
        <f>IF(O225=C225,"TETAP",IF(C225=0,"BARU",IF(O225=0,"HAPUS",IF(O225&gt;C225,"TAMBAH","KURANG"))))</f>
        <v>TETAP</v>
      </c>
    </row>
    <row r="226" spans="1:18" x14ac:dyDescent="0.25">
      <c r="A226" s="5" t="s">
        <v>38</v>
      </c>
      <c r="B226" s="17" t="s">
        <v>259</v>
      </c>
      <c r="C226" s="7"/>
      <c r="D226" s="7"/>
      <c r="E226" s="5"/>
      <c r="F226" s="8"/>
      <c r="G226" s="8"/>
      <c r="H226" s="9"/>
      <c r="I226" s="7"/>
      <c r="J226" s="8"/>
      <c r="K226" s="9"/>
      <c r="L226" s="7"/>
      <c r="M226" s="8"/>
      <c r="N226" s="9"/>
      <c r="O226" s="7"/>
      <c r="P226" s="8"/>
      <c r="Q226" s="9"/>
      <c r="R226" s="5"/>
    </row>
    <row r="227" spans="1:18" x14ac:dyDescent="0.25">
      <c r="A227" s="10" t="s">
        <v>200</v>
      </c>
      <c r="B227" s="18" t="s">
        <v>252</v>
      </c>
      <c r="C227" s="12">
        <v>2.98</v>
      </c>
      <c r="D227" s="12">
        <v>0</v>
      </c>
      <c r="E227" s="10" t="s">
        <v>26</v>
      </c>
      <c r="F227" s="14">
        <v>236600.08</v>
      </c>
      <c r="G227" s="14">
        <f>F227*C227</f>
        <v>705068.2383999999</v>
      </c>
      <c r="H227" s="15">
        <f>IF($G$1279=0,0,G227/$G$1279*100)</f>
      </c>
      <c r="I227" s="12" t="str">
        <f>IF(O227-C227&gt;0,O227-C227,"")</f>
        <v/>
      </c>
      <c r="J227" s="14" t="str">
        <f>IF(I227="","",F227*I227)</f>
        <v/>
      </c>
      <c r="K227" s="15">
        <f>IF(OR(J227="",$G$1279=0),"",J227/$G$1279*100)</f>
      </c>
      <c r="L227" s="12" t="str">
        <f>IF(C227-O227&gt;0,C227-O227,"")</f>
        <v/>
      </c>
      <c r="M227" s="14" t="str">
        <f>IF(L227="","",F227*L227)</f>
        <v/>
      </c>
      <c r="N227" s="15">
        <f>IF(OR(M227="",$G$1279=0),"",M227/$G$1279*100)</f>
      </c>
      <c r="O227" s="12">
        <v>2.98</v>
      </c>
      <c r="P227" s="14">
        <f>F227*O227</f>
        <v>705068.2383999999</v>
      </c>
      <c r="Q227" s="15">
        <f>IF($P$1279=0,0,P227/$P$1279*100)</f>
      </c>
      <c r="R227" s="10" t="str">
        <f>IF(O227=C227,"TETAP",IF(C227=0,"BARU",IF(O227=0,"HAPUS",IF(O227&gt;C227,"TAMBAH","KURANG"))))</f>
        <v>TETAP</v>
      </c>
    </row>
    <row r="228" spans="1:18" x14ac:dyDescent="0.25">
      <c r="A228" s="10" t="s">
        <v>202</v>
      </c>
      <c r="B228" s="18" t="s">
        <v>253</v>
      </c>
      <c r="C228" s="12">
        <v>44.8</v>
      </c>
      <c r="D228" s="12">
        <v>0</v>
      </c>
      <c r="E228" s="10" t="s">
        <v>169</v>
      </c>
      <c r="F228" s="14">
        <v>28927.25</v>
      </c>
      <c r="G228" s="14">
        <f>F228*C228</f>
        <v>1295940.7999999998</v>
      </c>
      <c r="H228" s="15">
        <f>IF($G$1279=0,0,G228/$G$1279*100)</f>
      </c>
      <c r="I228" s="12" t="str">
        <f>IF(O228-C228&gt;0,O228-C228,"")</f>
        <v/>
      </c>
      <c r="J228" s="14" t="str">
        <f>IF(I228="","",F228*I228)</f>
        <v/>
      </c>
      <c r="K228" s="15">
        <f>IF(OR(J228="",$G$1279=0),"",J228/$G$1279*100)</f>
      </c>
      <c r="L228" s="12" t="str">
        <f>IF(C228-O228&gt;0,C228-O228,"")</f>
        <v/>
      </c>
      <c r="M228" s="14" t="str">
        <f>IF(L228="","",F228*L228)</f>
        <v/>
      </c>
      <c r="N228" s="15">
        <f>IF(OR(M228="",$G$1279=0),"",M228/$G$1279*100)</f>
      </c>
      <c r="O228" s="12">
        <v>44.8</v>
      </c>
      <c r="P228" s="14">
        <f>F228*O228</f>
        <v>1295940.7999999998</v>
      </c>
      <c r="Q228" s="15">
        <f>IF($P$1279=0,0,P228/$P$1279*100)</f>
      </c>
      <c r="R228" s="10" t="str">
        <f>IF(O228=C228,"TETAP",IF(C228=0,"BARU",IF(O228=0,"HAPUS",IF(O228&gt;C228,"TAMBAH","KURANG"))))</f>
        <v>TETAP</v>
      </c>
    </row>
    <row r="229" spans="1:18" x14ac:dyDescent="0.25">
      <c r="A229" s="10" t="s">
        <v>203</v>
      </c>
      <c r="B229" s="18" t="s">
        <v>254</v>
      </c>
      <c r="C229" s="12">
        <v>15.19</v>
      </c>
      <c r="D229" s="12">
        <v>0</v>
      </c>
      <c r="E229" s="10" t="s">
        <v>169</v>
      </c>
      <c r="F229" s="14">
        <v>19252.39</v>
      </c>
      <c r="G229" s="14">
        <f>F229*C229</f>
        <v>292443.8041</v>
      </c>
      <c r="H229" s="15">
        <f>IF($G$1279=0,0,G229/$G$1279*100)</f>
      </c>
      <c r="I229" s="12" t="str">
        <f>IF(O229-C229&gt;0,O229-C229,"")</f>
        <v/>
      </c>
      <c r="J229" s="14" t="str">
        <f>IF(I229="","",F229*I229)</f>
        <v/>
      </c>
      <c r="K229" s="15">
        <f>IF(OR(J229="",$G$1279=0),"",J229/$G$1279*100)</f>
      </c>
      <c r="L229" s="12" t="str">
        <f>IF(C229-O229&gt;0,C229-O229,"")</f>
        <v/>
      </c>
      <c r="M229" s="14" t="str">
        <f>IF(L229="","",F229*L229)</f>
        <v/>
      </c>
      <c r="N229" s="15">
        <f>IF(OR(M229="",$G$1279=0),"",M229/$G$1279*100)</f>
      </c>
      <c r="O229" s="12">
        <v>15.19</v>
      </c>
      <c r="P229" s="14">
        <f>F229*O229</f>
        <v>292443.8041</v>
      </c>
      <c r="Q229" s="15">
        <f>IF($P$1279=0,0,P229/$P$1279*100)</f>
      </c>
      <c r="R229" s="10" t="str">
        <f>IF(O229=C229,"TETAP",IF(C229=0,"BARU",IF(O229=0,"HAPUS",IF(O229&gt;C229,"TAMBAH","KURANG"))))</f>
        <v>TETAP</v>
      </c>
    </row>
    <row r="230" spans="1:18" x14ac:dyDescent="0.25">
      <c r="A230" s="10" t="s">
        <v>204</v>
      </c>
      <c r="B230" s="18" t="s">
        <v>173</v>
      </c>
      <c r="C230" s="12">
        <v>0.6</v>
      </c>
      <c r="D230" s="12">
        <v>0</v>
      </c>
      <c r="E230" s="10" t="s">
        <v>159</v>
      </c>
      <c r="F230" s="14">
        <v>1504340.14</v>
      </c>
      <c r="G230" s="14">
        <f>F230*C230</f>
        <v>902604.0839999999</v>
      </c>
      <c r="H230" s="15">
        <f>IF($G$1279=0,0,G230/$G$1279*100)</f>
      </c>
      <c r="I230" s="12" t="str">
        <f>IF(O230-C230&gt;0,O230-C230,"")</f>
        <v/>
      </c>
      <c r="J230" s="14" t="str">
        <f>IF(I230="","",F230*I230)</f>
        <v/>
      </c>
      <c r="K230" s="15">
        <f>IF(OR(J230="",$G$1279=0),"",J230/$G$1279*100)</f>
      </c>
      <c r="L230" s="12" t="str">
        <f>IF(C230-O230&gt;0,C230-O230,"")</f>
        <v/>
      </c>
      <c r="M230" s="14" t="str">
        <f>IF(L230="","",F230*L230)</f>
        <v/>
      </c>
      <c r="N230" s="15">
        <f>IF(OR(M230="",$G$1279=0),"",M230/$G$1279*100)</f>
      </c>
      <c r="O230" s="12">
        <v>0.6</v>
      </c>
      <c r="P230" s="14">
        <f>F230*O230</f>
        <v>902604.0839999999</v>
      </c>
      <c r="Q230" s="15">
        <f>IF($P$1279=0,0,P230/$P$1279*100)</f>
      </c>
      <c r="R230" s="10" t="str">
        <f>IF(O230=C230,"TETAP",IF(C230=0,"BARU",IF(O230=0,"HAPUS",IF(O230&gt;C230,"TAMBAH","KURANG"))))</f>
        <v>TETAP</v>
      </c>
    </row>
    <row r="231" spans="1:18" x14ac:dyDescent="0.25">
      <c r="A231" s="10" t="s">
        <v>206</v>
      </c>
      <c r="B231" s="18" t="s">
        <v>210</v>
      </c>
      <c r="C231" s="12">
        <v>0.6</v>
      </c>
      <c r="D231" s="12">
        <v>0</v>
      </c>
      <c r="E231" s="10" t="s">
        <v>159</v>
      </c>
      <c r="F231" s="14">
        <v>45149.88</v>
      </c>
      <c r="G231" s="14">
        <f>F231*C231</f>
        <v>27089.927999999996</v>
      </c>
      <c r="H231" s="15">
        <f>IF($G$1279=0,0,G231/$G$1279*100)</f>
      </c>
      <c r="I231" s="12" t="str">
        <f>IF(O231-C231&gt;0,O231-C231,"")</f>
        <v/>
      </c>
      <c r="J231" s="14" t="str">
        <f>IF(I231="","",F231*I231)</f>
        <v/>
      </c>
      <c r="K231" s="15">
        <f>IF(OR(J231="",$G$1279=0),"",J231/$G$1279*100)</f>
      </c>
      <c r="L231" s="12" t="str">
        <f>IF(C231-O231&gt;0,C231-O231,"")</f>
        <v/>
      </c>
      <c r="M231" s="14" t="str">
        <f>IF(L231="","",F231*L231)</f>
        <v/>
      </c>
      <c r="N231" s="15">
        <f>IF(OR(M231="",$G$1279=0),"",M231/$G$1279*100)</f>
      </c>
      <c r="O231" s="12">
        <v>0.6</v>
      </c>
      <c r="P231" s="14">
        <f>F231*O231</f>
        <v>27089.927999999996</v>
      </c>
      <c r="Q231" s="15">
        <f>IF($P$1279=0,0,P231/$P$1279*100)</f>
      </c>
      <c r="R231" s="10" t="str">
        <f>IF(O231=C231,"TETAP",IF(C231=0,"BARU",IF(O231=0,"HAPUS",IF(O231&gt;C231,"TAMBAH","KURANG"))))</f>
        <v>TETAP</v>
      </c>
    </row>
    <row r="232" spans="1:18" x14ac:dyDescent="0.25">
      <c r="A232" s="10" t="s">
        <v>208</v>
      </c>
      <c r="B232" s="18" t="s">
        <v>257</v>
      </c>
      <c r="C232" s="12">
        <v>0.6</v>
      </c>
      <c r="D232" s="12">
        <v>0</v>
      </c>
      <c r="E232" s="10" t="s">
        <v>159</v>
      </c>
      <c r="F232" s="14">
        <v>431478.14</v>
      </c>
      <c r="G232" s="14">
        <f>F232*C232</f>
        <v>258886.884</v>
      </c>
      <c r="H232" s="15">
        <f>IF($G$1279=0,0,G232/$G$1279*100)</f>
      </c>
      <c r="I232" s="12" t="str">
        <f>IF(O232-C232&gt;0,O232-C232,"")</f>
        <v/>
      </c>
      <c r="J232" s="14" t="str">
        <f>IF(I232="","",F232*I232)</f>
        <v/>
      </c>
      <c r="K232" s="15">
        <f>IF(OR(J232="",$G$1279=0),"",J232/$G$1279*100)</f>
      </c>
      <c r="L232" s="12" t="str">
        <f>IF(C232-O232&gt;0,C232-O232,"")</f>
        <v/>
      </c>
      <c r="M232" s="14" t="str">
        <f>IF(L232="","",F232*L232)</f>
        <v/>
      </c>
      <c r="N232" s="15">
        <f>IF(OR(M232="",$G$1279=0),"",M232/$G$1279*100)</f>
      </c>
      <c r="O232" s="12">
        <v>0.6</v>
      </c>
      <c r="P232" s="14">
        <f>F232*O232</f>
        <v>258886.884</v>
      </c>
      <c r="Q232" s="15">
        <f>IF($P$1279=0,0,P232/$P$1279*100)</f>
      </c>
      <c r="R232" s="10" t="str">
        <f>IF(O232=C232,"TETAP",IF(C232=0,"BARU",IF(O232=0,"HAPUS",IF(O232&gt;C232,"TAMBAH","KURANG"))))</f>
        <v>TETAP</v>
      </c>
    </row>
    <row r="233" spans="1:18" x14ac:dyDescent="0.25">
      <c r="A233" s="5" t="s">
        <v>108</v>
      </c>
      <c r="B233" s="17" t="s">
        <v>313</v>
      </c>
      <c r="C233" s="7"/>
      <c r="D233" s="7"/>
      <c r="E233" s="5"/>
      <c r="F233" s="8"/>
      <c r="G233" s="8"/>
      <c r="H233" s="9"/>
      <c r="I233" s="7"/>
      <c r="J233" s="8"/>
      <c r="K233" s="9"/>
      <c r="L233" s="7"/>
      <c r="M233" s="8"/>
      <c r="N233" s="9"/>
      <c r="O233" s="7"/>
      <c r="P233" s="8"/>
      <c r="Q233" s="9"/>
      <c r="R233" s="5"/>
    </row>
    <row r="234" spans="1:18" x14ac:dyDescent="0.25">
      <c r="A234" s="10" t="s">
        <v>212</v>
      </c>
      <c r="B234" s="18" t="s">
        <v>252</v>
      </c>
      <c r="C234" s="12">
        <v>5.25</v>
      </c>
      <c r="D234" s="12">
        <v>0</v>
      </c>
      <c r="E234" s="10" t="s">
        <v>26</v>
      </c>
      <c r="F234" s="14">
        <v>236600.08</v>
      </c>
      <c r="G234" s="14">
        <f>F234*C234</f>
        <v>1242150.42</v>
      </c>
      <c r="H234" s="15">
        <f>IF($G$1279=0,0,G234/$G$1279*100)</f>
      </c>
      <c r="I234" s="12" t="str">
        <f>IF(O234-C234&gt;0,O234-C234,"")</f>
        <v/>
      </c>
      <c r="J234" s="14" t="str">
        <f>IF(I234="","",F234*I234)</f>
        <v/>
      </c>
      <c r="K234" s="15">
        <f>IF(OR(J234="",$G$1279=0),"",J234/$G$1279*100)</f>
      </c>
      <c r="L234" s="12" t="str">
        <f>IF(C234-O234&gt;0,C234-O234,"")</f>
        <v/>
      </c>
      <c r="M234" s="14" t="str">
        <f>IF(L234="","",F234*L234)</f>
        <v/>
      </c>
      <c r="N234" s="15">
        <f>IF(OR(M234="",$G$1279=0),"",M234/$G$1279*100)</f>
      </c>
      <c r="O234" s="12">
        <v>5.25</v>
      </c>
      <c r="P234" s="14">
        <f>F234*O234</f>
        <v>1242150.42</v>
      </c>
      <c r="Q234" s="15">
        <f>IF($P$1279=0,0,P234/$P$1279*100)</f>
      </c>
      <c r="R234" s="10" t="str">
        <f>IF(O234=C234,"TETAP",IF(C234=0,"BARU",IF(O234=0,"HAPUS",IF(O234&gt;C234,"TAMBAH","KURANG"))))</f>
        <v>TETAP</v>
      </c>
    </row>
    <row r="235" spans="1:18" x14ac:dyDescent="0.25">
      <c r="A235" s="10" t="s">
        <v>214</v>
      </c>
      <c r="B235" s="18" t="s">
        <v>263</v>
      </c>
      <c r="C235" s="12">
        <v>21.21</v>
      </c>
      <c r="D235" s="12">
        <v>0</v>
      </c>
      <c r="E235" s="10" t="s">
        <v>169</v>
      </c>
      <c r="F235" s="14">
        <v>19252.39</v>
      </c>
      <c r="G235" s="14">
        <f>F235*C235</f>
        <v>408343.1919</v>
      </c>
      <c r="H235" s="15">
        <f>IF($G$1279=0,0,G235/$G$1279*100)</f>
      </c>
      <c r="I235" s="12" t="str">
        <f>IF(O235-C235&gt;0,O235-C235,"")</f>
        <v/>
      </c>
      <c r="J235" s="14" t="str">
        <f>IF(I235="","",F235*I235)</f>
        <v/>
      </c>
      <c r="K235" s="15">
        <f>IF(OR(J235="",$G$1279=0),"",J235/$G$1279*100)</f>
      </c>
      <c r="L235" s="12" t="str">
        <f>IF(C235-O235&gt;0,C235-O235,"")</f>
        <v/>
      </c>
      <c r="M235" s="14" t="str">
        <f>IF(L235="","",F235*L235)</f>
        <v/>
      </c>
      <c r="N235" s="15">
        <f>IF(OR(M235="",$G$1279=0),"",M235/$G$1279*100)</f>
      </c>
      <c r="O235" s="12">
        <v>21.21</v>
      </c>
      <c r="P235" s="14">
        <f>F235*O235</f>
        <v>408343.1919</v>
      </c>
      <c r="Q235" s="15">
        <f>IF($P$1279=0,0,P235/$P$1279*100)</f>
      </c>
      <c r="R235" s="10" t="str">
        <f>IF(O235=C235,"TETAP",IF(C235=0,"BARU",IF(O235=0,"HAPUS",IF(O235&gt;C235,"TAMBAH","KURANG"))))</f>
        <v>TETAP</v>
      </c>
    </row>
    <row r="236" spans="1:18" x14ac:dyDescent="0.25">
      <c r="A236" s="10" t="s">
        <v>216</v>
      </c>
      <c r="B236" s="18" t="s">
        <v>254</v>
      </c>
      <c r="C236" s="12">
        <v>10.73</v>
      </c>
      <c r="D236" s="12">
        <v>0</v>
      </c>
      <c r="E236" s="10" t="s">
        <v>169</v>
      </c>
      <c r="F236" s="14">
        <v>19252.39</v>
      </c>
      <c r="G236" s="14">
        <f>F236*C236</f>
        <v>206578.1447</v>
      </c>
      <c r="H236" s="15">
        <f>IF($G$1279=0,0,G236/$G$1279*100)</f>
      </c>
      <c r="I236" s="12" t="str">
        <f>IF(O236-C236&gt;0,O236-C236,"")</f>
        <v/>
      </c>
      <c r="J236" s="14" t="str">
        <f>IF(I236="","",F236*I236)</f>
        <v/>
      </c>
      <c r="K236" s="15">
        <f>IF(OR(J236="",$G$1279=0),"",J236/$G$1279*100)</f>
      </c>
      <c r="L236" s="12" t="str">
        <f>IF(C236-O236&gt;0,C236-O236,"")</f>
        <v/>
      </c>
      <c r="M236" s="14" t="str">
        <f>IF(L236="","",F236*L236)</f>
        <v/>
      </c>
      <c r="N236" s="15">
        <f>IF(OR(M236="",$G$1279=0),"",M236/$G$1279*100)</f>
      </c>
      <c r="O236" s="12">
        <v>10.73</v>
      </c>
      <c r="P236" s="14">
        <f>F236*O236</f>
        <v>206578.1447</v>
      </c>
      <c r="Q236" s="15">
        <f>IF($P$1279=0,0,P236/$P$1279*100)</f>
      </c>
      <c r="R236" s="10" t="str">
        <f>IF(O236=C236,"TETAP",IF(C236=0,"BARU",IF(O236=0,"HAPUS",IF(O236&gt;C236,"TAMBAH","KURANG"))))</f>
        <v>TETAP</v>
      </c>
    </row>
    <row r="237" spans="1:18" x14ac:dyDescent="0.25">
      <c r="A237" s="10" t="s">
        <v>218</v>
      </c>
      <c r="B237" s="18" t="s">
        <v>173</v>
      </c>
      <c r="C237" s="12">
        <v>0.5</v>
      </c>
      <c r="D237" s="12">
        <v>0</v>
      </c>
      <c r="E237" s="10" t="s">
        <v>159</v>
      </c>
      <c r="F237" s="14">
        <v>1504340.14</v>
      </c>
      <c r="G237" s="14">
        <f>F237*C237</f>
        <v>752170.07</v>
      </c>
      <c r="H237" s="15">
        <f>IF($G$1279=0,0,G237/$G$1279*100)</f>
      </c>
      <c r="I237" s="12" t="str">
        <f>IF(O237-C237&gt;0,O237-C237,"")</f>
        <v/>
      </c>
      <c r="J237" s="14" t="str">
        <f>IF(I237="","",F237*I237)</f>
        <v/>
      </c>
      <c r="K237" s="15">
        <f>IF(OR(J237="",$G$1279=0),"",J237/$G$1279*100)</f>
      </c>
      <c r="L237" s="12" t="str">
        <f>IF(C237-O237&gt;0,C237-O237,"")</f>
        <v/>
      </c>
      <c r="M237" s="14" t="str">
        <f>IF(L237="","",F237*L237)</f>
        <v/>
      </c>
      <c r="N237" s="15">
        <f>IF(OR(M237="",$G$1279=0),"",M237/$G$1279*100)</f>
      </c>
      <c r="O237" s="12">
        <v>0.5</v>
      </c>
      <c r="P237" s="14">
        <f>F237*O237</f>
        <v>752170.07</v>
      </c>
      <c r="Q237" s="15">
        <f>IF($P$1279=0,0,P237/$P$1279*100)</f>
      </c>
      <c r="R237" s="10" t="str">
        <f>IF(O237=C237,"TETAP",IF(C237=0,"BARU",IF(O237=0,"HAPUS",IF(O237&gt;C237,"TAMBAH","KURANG"))))</f>
        <v>TETAP</v>
      </c>
    </row>
    <row r="238" spans="1:18" x14ac:dyDescent="0.25">
      <c r="A238" s="10" t="s">
        <v>219</v>
      </c>
      <c r="B238" s="18" t="s">
        <v>210</v>
      </c>
      <c r="C238" s="12">
        <v>0.5</v>
      </c>
      <c r="D238" s="12">
        <v>0</v>
      </c>
      <c r="E238" s="10" t="s">
        <v>159</v>
      </c>
      <c r="F238" s="14">
        <v>45149.88</v>
      </c>
      <c r="G238" s="14">
        <f>F238*C238</f>
        <v>22574.94</v>
      </c>
      <c r="H238" s="15">
        <f>IF($G$1279=0,0,G238/$G$1279*100)</f>
      </c>
      <c r="I238" s="12" t="str">
        <f>IF(O238-C238&gt;0,O238-C238,"")</f>
        <v/>
      </c>
      <c r="J238" s="14" t="str">
        <f>IF(I238="","",F238*I238)</f>
        <v/>
      </c>
      <c r="K238" s="15">
        <f>IF(OR(J238="",$G$1279=0),"",J238/$G$1279*100)</f>
      </c>
      <c r="L238" s="12" t="str">
        <f>IF(C238-O238&gt;0,C238-O238,"")</f>
        <v/>
      </c>
      <c r="M238" s="14" t="str">
        <f>IF(L238="","",F238*L238)</f>
        <v/>
      </c>
      <c r="N238" s="15">
        <f>IF(OR(M238="",$G$1279=0),"",M238/$G$1279*100)</f>
      </c>
      <c r="O238" s="12">
        <v>0.5</v>
      </c>
      <c r="P238" s="14">
        <f>F238*O238</f>
        <v>22574.94</v>
      </c>
      <c r="Q238" s="15">
        <f>IF($P$1279=0,0,P238/$P$1279*100)</f>
      </c>
      <c r="R238" s="10" t="str">
        <f>IF(O238=C238,"TETAP",IF(C238=0,"BARU",IF(O238=0,"HAPUS",IF(O238&gt;C238,"TAMBAH","KURANG"))))</f>
        <v>TETAP</v>
      </c>
    </row>
    <row r="239" spans="1:18" x14ac:dyDescent="0.25">
      <c r="A239" s="10" t="s">
        <v>272</v>
      </c>
      <c r="B239" s="18" t="s">
        <v>257</v>
      </c>
      <c r="C239" s="12">
        <v>0.5</v>
      </c>
      <c r="D239" s="12">
        <v>0</v>
      </c>
      <c r="E239" s="10" t="s">
        <v>159</v>
      </c>
      <c r="F239" s="14">
        <v>431478.14</v>
      </c>
      <c r="G239" s="14">
        <f>F239*C239</f>
        <v>215739.07</v>
      </c>
      <c r="H239" s="15">
        <f>IF($G$1279=0,0,G239/$G$1279*100)</f>
      </c>
      <c r="I239" s="12" t="str">
        <f>IF(O239-C239&gt;0,O239-C239,"")</f>
        <v/>
      </c>
      <c r="J239" s="14" t="str">
        <f>IF(I239="","",F239*I239)</f>
        <v/>
      </c>
      <c r="K239" s="15">
        <f>IF(OR(J239="",$G$1279=0),"",J239/$G$1279*100)</f>
      </c>
      <c r="L239" s="12" t="str">
        <f>IF(C239-O239&gt;0,C239-O239,"")</f>
        <v/>
      </c>
      <c r="M239" s="14" t="str">
        <f>IF(L239="","",F239*L239)</f>
        <v/>
      </c>
      <c r="N239" s="15">
        <f>IF(OR(M239="",$G$1279=0),"",M239/$G$1279*100)</f>
      </c>
      <c r="O239" s="12">
        <v>0.5</v>
      </c>
      <c r="P239" s="14">
        <f>F239*O239</f>
        <v>215739.07</v>
      </c>
      <c r="Q239" s="15">
        <f>IF($P$1279=0,0,P239/$P$1279*100)</f>
      </c>
      <c r="R239" s="10" t="str">
        <f>IF(O239=C239,"TETAP",IF(C239=0,"BARU",IF(O239=0,"HAPUS",IF(O239&gt;C239,"TAMBAH","KURANG"))))</f>
        <v>TETAP</v>
      </c>
    </row>
    <row r="240" spans="1:18" x14ac:dyDescent="0.25">
      <c r="A240" s="5" t="s">
        <v>110</v>
      </c>
      <c r="B240" s="17" t="s">
        <v>266</v>
      </c>
      <c r="C240" s="7"/>
      <c r="D240" s="7"/>
      <c r="E240" s="5"/>
      <c r="F240" s="8"/>
      <c r="G240" s="8"/>
      <c r="H240" s="9"/>
      <c r="I240" s="7"/>
      <c r="J240" s="8"/>
      <c r="K240" s="9"/>
      <c r="L240" s="7"/>
      <c r="M240" s="8"/>
      <c r="N240" s="9"/>
      <c r="O240" s="7"/>
      <c r="P240" s="8"/>
      <c r="Q240" s="9"/>
      <c r="R240" s="5"/>
    </row>
    <row r="241" spans="1:18" x14ac:dyDescent="0.25">
      <c r="A241" s="10" t="s">
        <v>275</v>
      </c>
      <c r="B241" s="18" t="s">
        <v>267</v>
      </c>
      <c r="C241" s="12">
        <v>42.81</v>
      </c>
      <c r="D241" s="12">
        <v>0</v>
      </c>
      <c r="E241" s="10" t="s">
        <v>26</v>
      </c>
      <c r="F241" s="14">
        <v>243079.61</v>
      </c>
      <c r="G241" s="14">
        <f>F241*C241</f>
        <v>10406238.1041</v>
      </c>
      <c r="H241" s="15">
        <f>IF($G$1279=0,0,G241/$G$1279*100)</f>
      </c>
      <c r="I241" s="12" t="str">
        <f>IF(O241-C241&gt;0,O241-C241,"")</f>
        <v/>
      </c>
      <c r="J241" s="14" t="str">
        <f>IF(I241="","",F241*I241)</f>
        <v/>
      </c>
      <c r="K241" s="15">
        <f>IF(OR(J241="",$G$1279=0),"",J241/$G$1279*100)</f>
      </c>
      <c r="L241" s="12" t="str">
        <f>IF(C241-O241&gt;0,C241-O241,"")</f>
        <v/>
      </c>
      <c r="M241" s="14" t="str">
        <f>IF(L241="","",F241*L241)</f>
        <v/>
      </c>
      <c r="N241" s="15">
        <f>IF(OR(M241="",$G$1279=0),"",M241/$G$1279*100)</f>
      </c>
      <c r="O241" s="12">
        <v>42.81</v>
      </c>
      <c r="P241" s="14">
        <f>F241*O241</f>
        <v>10406238.1041</v>
      </c>
      <c r="Q241" s="15">
        <f>IF($P$1279=0,0,P241/$P$1279*100)</f>
      </c>
      <c r="R241" s="10" t="str">
        <f>IF(O241=C241,"TETAP",IF(C241=0,"BARU",IF(O241=0,"HAPUS",IF(O241&gt;C241,"TAMBAH","KURANG"))))</f>
        <v>TETAP</v>
      </c>
    </row>
    <row r="242" spans="1:18" x14ac:dyDescent="0.25">
      <c r="A242" s="10" t="s">
        <v>276</v>
      </c>
      <c r="B242" s="18" t="s">
        <v>314</v>
      </c>
      <c r="C242" s="12">
        <v>218.55</v>
      </c>
      <c r="D242" s="12">
        <v>0</v>
      </c>
      <c r="E242" s="10" t="s">
        <v>169</v>
      </c>
      <c r="F242" s="14">
        <v>19252.39</v>
      </c>
      <c r="G242" s="14">
        <f>F242*C242</f>
        <v>4207609.8345</v>
      </c>
      <c r="H242" s="15">
        <f>IF($G$1279=0,0,G242/$G$1279*100)</f>
      </c>
      <c r="I242" s="12" t="str">
        <f>IF(O242-C242&gt;0,O242-C242,"")</f>
        <v/>
      </c>
      <c r="J242" s="14" t="str">
        <f>IF(I242="","",F242*I242)</f>
        <v/>
      </c>
      <c r="K242" s="15">
        <f>IF(OR(J242="",$G$1279=0),"",J242/$G$1279*100)</f>
      </c>
      <c r="L242" s="12" t="str">
        <f>IF(C242-O242&gt;0,C242-O242,"")</f>
        <v/>
      </c>
      <c r="M242" s="14" t="str">
        <f>IF(L242="","",F242*L242)</f>
        <v/>
      </c>
      <c r="N242" s="15">
        <f>IF(OR(M242="",$G$1279=0),"",M242/$G$1279*100)</f>
      </c>
      <c r="O242" s="12">
        <v>218.55</v>
      </c>
      <c r="P242" s="14">
        <f>F242*O242</f>
        <v>4207609.8345</v>
      </c>
      <c r="Q242" s="15">
        <f>IF($P$1279=0,0,P242/$P$1279*100)</f>
      </c>
      <c r="R242" s="10" t="str">
        <f>IF(O242=C242,"TETAP",IF(C242=0,"BARU",IF(O242=0,"HAPUS",IF(O242&gt;C242,"TAMBAH","KURANG"))))</f>
        <v>TETAP</v>
      </c>
    </row>
    <row r="243" spans="1:18" x14ac:dyDescent="0.25">
      <c r="A243" s="10" t="s">
        <v>278</v>
      </c>
      <c r="B243" s="18" t="s">
        <v>173</v>
      </c>
      <c r="C243" s="12">
        <v>6.12</v>
      </c>
      <c r="D243" s="12">
        <v>0</v>
      </c>
      <c r="E243" s="10" t="s">
        <v>159</v>
      </c>
      <c r="F243" s="14">
        <v>1504340.14</v>
      </c>
      <c r="G243" s="14">
        <f>F243*C243</f>
        <v>9206561.6568</v>
      </c>
      <c r="H243" s="15">
        <f>IF($G$1279=0,0,G243/$G$1279*100)</f>
      </c>
      <c r="I243" s="12" t="str">
        <f>IF(O243-C243&gt;0,O243-C243,"")</f>
        <v/>
      </c>
      <c r="J243" s="14" t="str">
        <f>IF(I243="","",F243*I243)</f>
        <v/>
      </c>
      <c r="K243" s="15">
        <f>IF(OR(J243="",$G$1279=0),"",J243/$G$1279*100)</f>
      </c>
      <c r="L243" s="12" t="str">
        <f>IF(C243-O243&gt;0,C243-O243,"")</f>
        <v/>
      </c>
      <c r="M243" s="14" t="str">
        <f>IF(L243="","",F243*L243)</f>
        <v/>
      </c>
      <c r="N243" s="15">
        <f>IF(OR(M243="",$G$1279=0),"",M243/$G$1279*100)</f>
      </c>
      <c r="O243" s="12">
        <v>6.12</v>
      </c>
      <c r="P243" s="14">
        <f>F243*O243</f>
        <v>9206561.6568</v>
      </c>
      <c r="Q243" s="15">
        <f>IF($P$1279=0,0,P243/$P$1279*100)</f>
      </c>
      <c r="R243" s="10" t="str">
        <f>IF(O243=C243,"TETAP",IF(C243=0,"BARU",IF(O243=0,"HAPUS",IF(O243&gt;C243,"TAMBAH","KURANG"))))</f>
        <v>TETAP</v>
      </c>
    </row>
    <row r="244" spans="1:18" x14ac:dyDescent="0.25">
      <c r="A244" s="10" t="s">
        <v>279</v>
      </c>
      <c r="B244" s="18" t="s">
        <v>210</v>
      </c>
      <c r="C244" s="12">
        <v>6.12</v>
      </c>
      <c r="D244" s="12">
        <v>0</v>
      </c>
      <c r="E244" s="10" t="s">
        <v>159</v>
      </c>
      <c r="F244" s="14">
        <v>45149.88</v>
      </c>
      <c r="G244" s="14">
        <f>F244*C244</f>
        <v>276317.2656</v>
      </c>
      <c r="H244" s="15">
        <f>IF($G$1279=0,0,G244/$G$1279*100)</f>
      </c>
      <c r="I244" s="12" t="str">
        <f>IF(O244-C244&gt;0,O244-C244,"")</f>
        <v/>
      </c>
      <c r="J244" s="14" t="str">
        <f>IF(I244="","",F244*I244)</f>
        <v/>
      </c>
      <c r="K244" s="15">
        <f>IF(OR(J244="",$G$1279=0),"",J244/$G$1279*100)</f>
      </c>
      <c r="L244" s="12" t="str">
        <f>IF(C244-O244&gt;0,C244-O244,"")</f>
        <v/>
      </c>
      <c r="M244" s="14" t="str">
        <f>IF(L244="","",F244*L244)</f>
        <v/>
      </c>
      <c r="N244" s="15">
        <f>IF(OR(M244="",$G$1279=0),"",M244/$G$1279*100)</f>
      </c>
      <c r="O244" s="12">
        <v>6.12</v>
      </c>
      <c r="P244" s="14">
        <f>F244*O244</f>
        <v>276317.2656</v>
      </c>
      <c r="Q244" s="15">
        <f>IF($P$1279=0,0,P244/$P$1279*100)</f>
      </c>
      <c r="R244" s="10" t="str">
        <f>IF(O244=C244,"TETAP",IF(C244=0,"BARU",IF(O244=0,"HAPUS",IF(O244&gt;C244,"TAMBAH","KURANG"))))</f>
        <v>TETAP</v>
      </c>
    </row>
    <row r="245" spans="1:18" x14ac:dyDescent="0.25">
      <c r="A245" s="10" t="s">
        <v>281</v>
      </c>
      <c r="B245" s="18" t="s">
        <v>257</v>
      </c>
      <c r="C245" s="12">
        <v>6.12</v>
      </c>
      <c r="D245" s="12">
        <v>0</v>
      </c>
      <c r="E245" s="10" t="s">
        <v>159</v>
      </c>
      <c r="F245" s="14">
        <v>431478.14</v>
      </c>
      <c r="G245" s="14">
        <f>F245*C245</f>
        <v>2640646.2168</v>
      </c>
      <c r="H245" s="15">
        <f>IF($G$1279=0,0,G245/$G$1279*100)</f>
      </c>
      <c r="I245" s="12" t="str">
        <f>IF(O245-C245&gt;0,O245-C245,"")</f>
        <v/>
      </c>
      <c r="J245" s="14" t="str">
        <f>IF(I245="","",F245*I245)</f>
        <v/>
      </c>
      <c r="K245" s="15">
        <f>IF(OR(J245="",$G$1279=0),"",J245/$G$1279*100)</f>
      </c>
      <c r="L245" s="12" t="str">
        <f>IF(C245-O245&gt;0,C245-O245,"")</f>
        <v/>
      </c>
      <c r="M245" s="14" t="str">
        <f>IF(L245="","",F245*L245)</f>
        <v/>
      </c>
      <c r="N245" s="15">
        <f>IF(OR(M245="",$G$1279=0),"",M245/$G$1279*100)</f>
      </c>
      <c r="O245" s="12">
        <v>6.12</v>
      </c>
      <c r="P245" s="14">
        <f>F245*O245</f>
        <v>2640646.2168</v>
      </c>
      <c r="Q245" s="15">
        <f>IF($P$1279=0,0,P245/$P$1279*100)</f>
      </c>
      <c r="R245" s="10" t="str">
        <f>IF(O245=C245,"TETAP",IF(C245=0,"BARU",IF(O245=0,"HAPUS",IF(O245&gt;C245,"TAMBAH","KURANG"))))</f>
        <v>TETAP</v>
      </c>
    </row>
    <row r="246" spans="1:18" x14ac:dyDescent="0.25">
      <c r="A246" s="5" t="s">
        <v>112</v>
      </c>
      <c r="B246" s="17" t="s">
        <v>286</v>
      </c>
      <c r="C246" s="7"/>
      <c r="D246" s="7"/>
      <c r="E246" s="5"/>
      <c r="F246" s="8"/>
      <c r="G246" s="8"/>
      <c r="H246" s="9"/>
      <c r="I246" s="7"/>
      <c r="J246" s="8"/>
      <c r="K246" s="9"/>
      <c r="L246" s="7"/>
      <c r="M246" s="8"/>
      <c r="N246" s="9"/>
      <c r="O246" s="7"/>
      <c r="P246" s="8"/>
      <c r="Q246" s="9"/>
      <c r="R246" s="5"/>
    </row>
    <row r="247" spans="1:18" x14ac:dyDescent="0.25">
      <c r="A247" s="10" t="s">
        <v>287</v>
      </c>
      <c r="B247" s="18" t="s">
        <v>187</v>
      </c>
      <c r="C247" s="12">
        <v>3.6</v>
      </c>
      <c r="D247" s="12">
        <v>0</v>
      </c>
      <c r="E247" s="10" t="s">
        <v>26</v>
      </c>
      <c r="F247" s="14">
        <v>218225.13</v>
      </c>
      <c r="G247" s="14">
        <f>F247*C247</f>
        <v>785610.468</v>
      </c>
      <c r="H247" s="15">
        <f>IF($G$1279=0,0,G247/$G$1279*100)</f>
      </c>
      <c r="I247" s="12" t="str">
        <f>IF(O247-C247&gt;0,O247-C247,"")</f>
        <v/>
      </c>
      <c r="J247" s="14" t="str">
        <f>IF(I247="","",F247*I247)</f>
        <v/>
      </c>
      <c r="K247" s="15">
        <f>IF(OR(J247="",$G$1279=0),"",J247/$G$1279*100)</f>
      </c>
      <c r="L247" s="12" t="str">
        <f>IF(C247-O247&gt;0,C247-O247,"")</f>
        <v/>
      </c>
      <c r="M247" s="14" t="str">
        <f>IF(L247="","",F247*L247)</f>
        <v/>
      </c>
      <c r="N247" s="15">
        <f>IF(OR(M247="",$G$1279=0),"",M247/$G$1279*100)</f>
      </c>
      <c r="O247" s="12">
        <v>3.6</v>
      </c>
      <c r="P247" s="14">
        <f>F247*O247</f>
        <v>785610.468</v>
      </c>
      <c r="Q247" s="15">
        <f>IF($P$1279=0,0,P247/$P$1279*100)</f>
      </c>
      <c r="R247" s="10" t="str">
        <f>IF(O247=C247,"TETAP",IF(C247=0,"BARU",IF(O247=0,"HAPUS",IF(O247&gt;C247,"TAMBAH","KURANG"))))</f>
        <v>TETAP</v>
      </c>
    </row>
    <row r="248" spans="1:18" x14ac:dyDescent="0.25">
      <c r="A248" s="10" t="s">
        <v>288</v>
      </c>
      <c r="B248" s="18" t="s">
        <v>315</v>
      </c>
      <c r="C248" s="12">
        <v>44.39</v>
      </c>
      <c r="D248" s="12">
        <v>0</v>
      </c>
      <c r="E248" s="10" t="s">
        <v>169</v>
      </c>
      <c r="F248" s="14">
        <v>19252.39</v>
      </c>
      <c r="G248" s="14">
        <f>F248*C248</f>
        <v>854613.5921</v>
      </c>
      <c r="H248" s="15">
        <f>IF($G$1279=0,0,G248/$G$1279*100)</f>
      </c>
      <c r="I248" s="12" t="str">
        <f>IF(O248-C248&gt;0,O248-C248,"")</f>
        <v/>
      </c>
      <c r="J248" s="14" t="str">
        <f>IF(I248="","",F248*I248)</f>
        <v/>
      </c>
      <c r="K248" s="15">
        <f>IF(OR(J248="",$G$1279=0),"",J248/$G$1279*100)</f>
      </c>
      <c r="L248" s="12" t="str">
        <f>IF(C248-O248&gt;0,C248-O248,"")</f>
        <v/>
      </c>
      <c r="M248" s="14" t="str">
        <f>IF(L248="","",F248*L248)</f>
        <v/>
      </c>
      <c r="N248" s="15">
        <f>IF(OR(M248="",$G$1279=0),"",M248/$G$1279*100)</f>
      </c>
      <c r="O248" s="12">
        <v>44.39</v>
      </c>
      <c r="P248" s="14">
        <f>F248*O248</f>
        <v>854613.5921</v>
      </c>
      <c r="Q248" s="15">
        <f>IF($P$1279=0,0,P248/$P$1279*100)</f>
      </c>
      <c r="R248" s="10" t="str">
        <f>IF(O248=C248,"TETAP",IF(C248=0,"BARU",IF(O248=0,"HAPUS",IF(O248&gt;C248,"TAMBAH","KURANG"))))</f>
        <v>TETAP</v>
      </c>
    </row>
    <row r="249" spans="1:18" x14ac:dyDescent="0.25">
      <c r="A249" s="10" t="s">
        <v>289</v>
      </c>
      <c r="B249" s="18" t="s">
        <v>271</v>
      </c>
      <c r="C249" s="12">
        <v>49.71</v>
      </c>
      <c r="D249" s="12">
        <v>0</v>
      </c>
      <c r="E249" s="10" t="s">
        <v>169</v>
      </c>
      <c r="F249" s="14">
        <v>19252.39</v>
      </c>
      <c r="G249" s="14">
        <f>F249*C249</f>
        <v>957036.3069</v>
      </c>
      <c r="H249" s="15">
        <f>IF($G$1279=0,0,G249/$G$1279*100)</f>
      </c>
      <c r="I249" s="12" t="str">
        <f>IF(O249-C249&gt;0,O249-C249,"")</f>
        <v/>
      </c>
      <c r="J249" s="14" t="str">
        <f>IF(I249="","",F249*I249)</f>
        <v/>
      </c>
      <c r="K249" s="15">
        <f>IF(OR(J249="",$G$1279=0),"",J249/$G$1279*100)</f>
      </c>
      <c r="L249" s="12" t="str">
        <f>IF(C249-O249&gt;0,C249-O249,"")</f>
        <v/>
      </c>
      <c r="M249" s="14" t="str">
        <f>IF(L249="","",F249*L249)</f>
        <v/>
      </c>
      <c r="N249" s="15">
        <f>IF(OR(M249="",$G$1279=0),"",M249/$G$1279*100)</f>
      </c>
      <c r="O249" s="12">
        <v>49.71</v>
      </c>
      <c r="P249" s="14">
        <f>F249*O249</f>
        <v>957036.3069</v>
      </c>
      <c r="Q249" s="15">
        <f>IF($P$1279=0,0,P249/$P$1279*100)</f>
      </c>
      <c r="R249" s="10" t="str">
        <f>IF(O249=C249,"TETAP",IF(C249=0,"BARU",IF(O249=0,"HAPUS",IF(O249&gt;C249,"TAMBAH","KURANG"))))</f>
        <v>TETAP</v>
      </c>
    </row>
    <row r="250" spans="1:18" x14ac:dyDescent="0.25">
      <c r="A250" s="10" t="s">
        <v>290</v>
      </c>
      <c r="B250" s="18" t="s">
        <v>173</v>
      </c>
      <c r="C250" s="12">
        <v>0.29</v>
      </c>
      <c r="D250" s="12">
        <v>0</v>
      </c>
      <c r="E250" s="10" t="s">
        <v>159</v>
      </c>
      <c r="F250" s="14">
        <v>1504340.14</v>
      </c>
      <c r="G250" s="14">
        <f>F250*C250</f>
        <v>436258.6405999999</v>
      </c>
      <c r="H250" s="15">
        <f>IF($G$1279=0,0,G250/$G$1279*100)</f>
      </c>
      <c r="I250" s="12" t="str">
        <f>IF(O250-C250&gt;0,O250-C250,"")</f>
        <v/>
      </c>
      <c r="J250" s="14" t="str">
        <f>IF(I250="","",F250*I250)</f>
        <v/>
      </c>
      <c r="K250" s="15">
        <f>IF(OR(J250="",$G$1279=0),"",J250/$G$1279*100)</f>
      </c>
      <c r="L250" s="12" t="str">
        <f>IF(C250-O250&gt;0,C250-O250,"")</f>
        <v/>
      </c>
      <c r="M250" s="14" t="str">
        <f>IF(L250="","",F250*L250)</f>
        <v/>
      </c>
      <c r="N250" s="15">
        <f>IF(OR(M250="",$G$1279=0),"",M250/$G$1279*100)</f>
      </c>
      <c r="O250" s="12">
        <v>0.29</v>
      </c>
      <c r="P250" s="14">
        <f>F250*O250</f>
        <v>436258.6405999999</v>
      </c>
      <c r="Q250" s="15">
        <f>IF($P$1279=0,0,P250/$P$1279*100)</f>
      </c>
      <c r="R250" s="10" t="str">
        <f>IF(O250=C250,"TETAP",IF(C250=0,"BARU",IF(O250=0,"HAPUS",IF(O250&gt;C250,"TAMBAH","KURANG"))))</f>
        <v>TETAP</v>
      </c>
    </row>
    <row r="251" spans="1:18" x14ac:dyDescent="0.25">
      <c r="A251" s="10" t="s">
        <v>291</v>
      </c>
      <c r="B251" s="18" t="s">
        <v>210</v>
      </c>
      <c r="C251" s="12">
        <v>0.29</v>
      </c>
      <c r="D251" s="12">
        <v>0</v>
      </c>
      <c r="E251" s="10" t="s">
        <v>159</v>
      </c>
      <c r="F251" s="14">
        <v>45149.88</v>
      </c>
      <c r="G251" s="14">
        <f>F251*C251</f>
        <v>13093.465199999999</v>
      </c>
      <c r="H251" s="15">
        <f>IF($G$1279=0,0,G251/$G$1279*100)</f>
      </c>
      <c r="I251" s="12" t="str">
        <f>IF(O251-C251&gt;0,O251-C251,"")</f>
        <v/>
      </c>
      <c r="J251" s="14" t="str">
        <f>IF(I251="","",F251*I251)</f>
        <v/>
      </c>
      <c r="K251" s="15">
        <f>IF(OR(J251="",$G$1279=0),"",J251/$G$1279*100)</f>
      </c>
      <c r="L251" s="12" t="str">
        <f>IF(C251-O251&gt;0,C251-O251,"")</f>
        <v/>
      </c>
      <c r="M251" s="14" t="str">
        <f>IF(L251="","",F251*L251)</f>
        <v/>
      </c>
      <c r="N251" s="15">
        <f>IF(OR(M251="",$G$1279=0),"",M251/$G$1279*100)</f>
      </c>
      <c r="O251" s="12">
        <v>0.29</v>
      </c>
      <c r="P251" s="14">
        <f>F251*O251</f>
        <v>13093.465199999999</v>
      </c>
      <c r="Q251" s="15">
        <f>IF($P$1279=0,0,P251/$P$1279*100)</f>
      </c>
      <c r="R251" s="10" t="str">
        <f>IF(O251=C251,"TETAP",IF(C251=0,"BARU",IF(O251=0,"HAPUS",IF(O251&gt;C251,"TAMBAH","KURANG"))))</f>
        <v>TETAP</v>
      </c>
    </row>
    <row r="252" spans="1:18" x14ac:dyDescent="0.25">
      <c r="A252" s="10" t="s">
        <v>292</v>
      </c>
      <c r="B252" s="18" t="s">
        <v>293</v>
      </c>
      <c r="C252" s="12">
        <v>6.21</v>
      </c>
      <c r="D252" s="12">
        <v>0</v>
      </c>
      <c r="E252" s="10" t="s">
        <v>26</v>
      </c>
      <c r="F252" s="14">
        <v>92448.72</v>
      </c>
      <c r="G252" s="14">
        <f>F252*C252</f>
        <v>574106.5512</v>
      </c>
      <c r="H252" s="15">
        <f>IF($G$1279=0,0,G252/$G$1279*100)</f>
      </c>
      <c r="I252" s="12" t="str">
        <f>IF(O252-C252&gt;0,O252-C252,"")</f>
        <v/>
      </c>
      <c r="J252" s="14" t="str">
        <f>IF(I252="","",F252*I252)</f>
        <v/>
      </c>
      <c r="K252" s="15">
        <f>IF(OR(J252="",$G$1279=0),"",J252/$G$1279*100)</f>
      </c>
      <c r="L252" s="12" t="str">
        <f>IF(C252-O252&gt;0,C252-O252,"")</f>
        <v/>
      </c>
      <c r="M252" s="14" t="str">
        <f>IF(L252="","",F252*L252)</f>
        <v/>
      </c>
      <c r="N252" s="15">
        <f>IF(OR(M252="",$G$1279=0),"",M252/$G$1279*100)</f>
      </c>
      <c r="O252" s="12">
        <v>6.21</v>
      </c>
      <c r="P252" s="14">
        <f>F252*O252</f>
        <v>574106.5512</v>
      </c>
      <c r="Q252" s="15">
        <f>IF($P$1279=0,0,P252/$P$1279*100)</f>
      </c>
      <c r="R252" s="10" t="str">
        <f>IF(O252=C252,"TETAP",IF(C252=0,"BARU",IF(O252=0,"HAPUS",IF(O252&gt;C252,"TAMBAH","KURANG"))))</f>
        <v>TETAP</v>
      </c>
    </row>
    <row r="253" spans="1:18" x14ac:dyDescent="0.25">
      <c r="A253" s="5" t="s">
        <v>115</v>
      </c>
      <c r="B253" s="17" t="s">
        <v>316</v>
      </c>
      <c r="C253" s="7"/>
      <c r="D253" s="7"/>
      <c r="E253" s="5"/>
      <c r="F253" s="8"/>
      <c r="G253" s="8"/>
      <c r="H253" s="9"/>
      <c r="I253" s="7"/>
      <c r="J253" s="8"/>
      <c r="K253" s="9"/>
      <c r="L253" s="7"/>
      <c r="M253" s="8"/>
      <c r="N253" s="9"/>
      <c r="O253" s="7"/>
      <c r="P253" s="8"/>
      <c r="Q253" s="9"/>
      <c r="R253" s="5"/>
    </row>
    <row r="254" spans="1:18" x14ac:dyDescent="0.25">
      <c r="A254" s="5" t="s">
        <v>317</v>
      </c>
      <c r="B254" s="19" t="s">
        <v>318</v>
      </c>
      <c r="C254" s="7"/>
      <c r="D254" s="7"/>
      <c r="E254" s="5"/>
      <c r="F254" s="8"/>
      <c r="G254" s="8"/>
      <c r="H254" s="9"/>
      <c r="I254" s="7"/>
      <c r="J254" s="8"/>
      <c r="K254" s="9"/>
      <c r="L254" s="7"/>
      <c r="M254" s="8"/>
      <c r="N254" s="9"/>
      <c r="O254" s="7"/>
      <c r="P254" s="8"/>
      <c r="Q254" s="9"/>
      <c r="R254" s="5"/>
    </row>
    <row r="255" spans="1:18" x14ac:dyDescent="0.25">
      <c r="A255" s="10" t="s">
        <v>319</v>
      </c>
      <c r="B255" s="21" t="s">
        <v>320</v>
      </c>
      <c r="C255" s="12">
        <v>36.8</v>
      </c>
      <c r="D255" s="12">
        <v>0</v>
      </c>
      <c r="E255" s="10" t="s">
        <v>26</v>
      </c>
      <c r="F255" s="14">
        <v>243079.61</v>
      </c>
      <c r="G255" s="14">
        <f>F255*C255</f>
        <v>8945329.647999998</v>
      </c>
      <c r="H255" s="15">
        <f>IF($G$1279=0,0,G255/$G$1279*100)</f>
      </c>
      <c r="I255" s="12" t="str">
        <f>IF(O255-C255&gt;0,O255-C255,"")</f>
        <v/>
      </c>
      <c r="J255" s="14" t="str">
        <f>IF(I255="","",F255*I255)</f>
        <v/>
      </c>
      <c r="K255" s="15">
        <f>IF(OR(J255="",$G$1279=0),"",J255/$G$1279*100)</f>
      </c>
      <c r="L255" s="12" t="str">
        <f>IF(C255-O255&gt;0,C255-O255,"")</f>
        <v/>
      </c>
      <c r="M255" s="14" t="str">
        <f>IF(L255="","",F255*L255)</f>
        <v/>
      </c>
      <c r="N255" s="15">
        <f>IF(OR(M255="",$G$1279=0),"",M255/$G$1279*100)</f>
      </c>
      <c r="O255" s="12">
        <v>36.8</v>
      </c>
      <c r="P255" s="14">
        <f>F255*O255</f>
        <v>8945329.647999998</v>
      </c>
      <c r="Q255" s="15">
        <f>IF($P$1279=0,0,P255/$P$1279*100)</f>
      </c>
      <c r="R255" s="10" t="str">
        <f>IF(O255=C255,"TETAP",IF(C255=0,"BARU",IF(O255=0,"HAPUS",IF(O255&gt;C255,"TAMBAH","KURANG"))))</f>
        <v>TETAP</v>
      </c>
    </row>
    <row r="256" spans="1:18" x14ac:dyDescent="0.25">
      <c r="A256" s="10" t="s">
        <v>321</v>
      </c>
      <c r="B256" s="21" t="s">
        <v>322</v>
      </c>
      <c r="C256" s="12">
        <v>453.74</v>
      </c>
      <c r="D256" s="12">
        <v>0</v>
      </c>
      <c r="E256" s="10" t="s">
        <v>169</v>
      </c>
      <c r="F256" s="14">
        <v>19252.39</v>
      </c>
      <c r="G256" s="14">
        <f>F256*C256</f>
        <v>8735579.4386</v>
      </c>
      <c r="H256" s="15">
        <f>IF($G$1279=0,0,G256/$G$1279*100)</f>
      </c>
      <c r="I256" s="12" t="str">
        <f>IF(O256-C256&gt;0,O256-C256,"")</f>
        <v/>
      </c>
      <c r="J256" s="14" t="str">
        <f>IF(I256="","",F256*I256)</f>
        <v/>
      </c>
      <c r="K256" s="15">
        <f>IF(OR(J256="",$G$1279=0),"",J256/$G$1279*100)</f>
      </c>
      <c r="L256" s="12" t="str">
        <f>IF(C256-O256&gt;0,C256-O256,"")</f>
        <v/>
      </c>
      <c r="M256" s="14" t="str">
        <f>IF(L256="","",F256*L256)</f>
        <v/>
      </c>
      <c r="N256" s="15">
        <f>IF(OR(M256="",$G$1279=0),"",M256/$G$1279*100)</f>
      </c>
      <c r="O256" s="12">
        <v>453.74</v>
      </c>
      <c r="P256" s="14">
        <f>F256*O256</f>
        <v>8735579.4386</v>
      </c>
      <c r="Q256" s="15">
        <f>IF($P$1279=0,0,P256/$P$1279*100)</f>
      </c>
      <c r="R256" s="10" t="str">
        <f>IF(O256=C256,"TETAP",IF(C256=0,"BARU",IF(O256=0,"HAPUS",IF(O256&gt;C256,"TAMBAH","KURANG"))))</f>
        <v>TETAP</v>
      </c>
    </row>
    <row r="257" spans="1:18" x14ac:dyDescent="0.25">
      <c r="A257" s="10" t="s">
        <v>323</v>
      </c>
      <c r="B257" s="21" t="s">
        <v>173</v>
      </c>
      <c r="C257" s="12">
        <v>4.42</v>
      </c>
      <c r="D257" s="12">
        <v>0</v>
      </c>
      <c r="E257" s="10" t="s">
        <v>159</v>
      </c>
      <c r="F257" s="14">
        <v>1504340.14</v>
      </c>
      <c r="G257" s="14">
        <f>F257*C257</f>
        <v>6649183.418799999</v>
      </c>
      <c r="H257" s="15">
        <f>IF($G$1279=0,0,G257/$G$1279*100)</f>
      </c>
      <c r="I257" s="12" t="str">
        <f>IF(O257-C257&gt;0,O257-C257,"")</f>
        <v/>
      </c>
      <c r="J257" s="14" t="str">
        <f>IF(I257="","",F257*I257)</f>
        <v/>
      </c>
      <c r="K257" s="15">
        <f>IF(OR(J257="",$G$1279=0),"",J257/$G$1279*100)</f>
      </c>
      <c r="L257" s="12" t="str">
        <f>IF(C257-O257&gt;0,C257-O257,"")</f>
        <v/>
      </c>
      <c r="M257" s="14" t="str">
        <f>IF(L257="","",F257*L257)</f>
        <v/>
      </c>
      <c r="N257" s="15">
        <f>IF(OR(M257="",$G$1279=0),"",M257/$G$1279*100)</f>
      </c>
      <c r="O257" s="12">
        <v>4.42</v>
      </c>
      <c r="P257" s="14">
        <f>F257*O257</f>
        <v>6649183.418799999</v>
      </c>
      <c r="Q257" s="15">
        <f>IF($P$1279=0,0,P257/$P$1279*100)</f>
      </c>
      <c r="R257" s="10" t="str">
        <f>IF(O257=C257,"TETAP",IF(C257=0,"BARU",IF(O257=0,"HAPUS",IF(O257&gt;C257,"TAMBAH","KURANG"))))</f>
        <v>TETAP</v>
      </c>
    </row>
    <row r="258" spans="1:18" x14ac:dyDescent="0.25">
      <c r="A258" s="10" t="s">
        <v>324</v>
      </c>
      <c r="B258" s="21" t="s">
        <v>257</v>
      </c>
      <c r="C258" s="12">
        <v>4.42</v>
      </c>
      <c r="D258" s="12">
        <v>0</v>
      </c>
      <c r="E258" s="10" t="s">
        <v>159</v>
      </c>
      <c r="F258" s="14">
        <v>431478.14</v>
      </c>
      <c r="G258" s="14">
        <f>F258*C258</f>
        <v>1907133.3788</v>
      </c>
      <c r="H258" s="15">
        <f>IF($G$1279=0,0,G258/$G$1279*100)</f>
      </c>
      <c r="I258" s="12" t="str">
        <f>IF(O258-C258&gt;0,O258-C258,"")</f>
        <v/>
      </c>
      <c r="J258" s="14" t="str">
        <f>IF(I258="","",F258*I258)</f>
        <v/>
      </c>
      <c r="K258" s="15">
        <f>IF(OR(J258="",$G$1279=0),"",J258/$G$1279*100)</f>
      </c>
      <c r="L258" s="12" t="str">
        <f>IF(C258-O258&gt;0,C258-O258,"")</f>
        <v/>
      </c>
      <c r="M258" s="14" t="str">
        <f>IF(L258="","",F258*L258)</f>
        <v/>
      </c>
      <c r="N258" s="15">
        <f>IF(OR(M258="",$G$1279=0),"",M258/$G$1279*100)</f>
      </c>
      <c r="O258" s="12">
        <v>4.42</v>
      </c>
      <c r="P258" s="14">
        <f>F258*O258</f>
        <v>1907133.3788</v>
      </c>
      <c r="Q258" s="15">
        <f>IF($P$1279=0,0,P258/$P$1279*100)</f>
      </c>
      <c r="R258" s="10" t="str">
        <f>IF(O258=C258,"TETAP",IF(C258=0,"BARU",IF(O258=0,"HAPUS",IF(O258&gt;C258,"TAMBAH","KURANG"))))</f>
        <v>TETAP</v>
      </c>
    </row>
    <row r="259" spans="1:18" x14ac:dyDescent="0.25">
      <c r="A259" s="10" t="s">
        <v>325</v>
      </c>
      <c r="B259" s="21" t="s">
        <v>210</v>
      </c>
      <c r="C259" s="12">
        <v>4.42</v>
      </c>
      <c r="D259" s="12">
        <v>0</v>
      </c>
      <c r="E259" s="10" t="s">
        <v>159</v>
      </c>
      <c r="F259" s="14">
        <v>45149.88</v>
      </c>
      <c r="G259" s="14">
        <f>F259*C259</f>
        <v>199562.46959999998</v>
      </c>
      <c r="H259" s="15">
        <f>IF($G$1279=0,0,G259/$G$1279*100)</f>
      </c>
      <c r="I259" s="12" t="str">
        <f>IF(O259-C259&gt;0,O259-C259,"")</f>
        <v/>
      </c>
      <c r="J259" s="14" t="str">
        <f>IF(I259="","",F259*I259)</f>
        <v/>
      </c>
      <c r="K259" s="15">
        <f>IF(OR(J259="",$G$1279=0),"",J259/$G$1279*100)</f>
      </c>
      <c r="L259" s="12" t="str">
        <f>IF(C259-O259&gt;0,C259-O259,"")</f>
        <v/>
      </c>
      <c r="M259" s="14" t="str">
        <f>IF(L259="","",F259*L259)</f>
        <v/>
      </c>
      <c r="N259" s="15">
        <f>IF(OR(M259="",$G$1279=0),"",M259/$G$1279*100)</f>
      </c>
      <c r="O259" s="12">
        <v>4.42</v>
      </c>
      <c r="P259" s="14">
        <f>F259*O259</f>
        <v>199562.46959999998</v>
      </c>
      <c r="Q259" s="15">
        <f>IF($P$1279=0,0,P259/$P$1279*100)</f>
      </c>
      <c r="R259" s="10" t="str">
        <f>IF(O259=C259,"TETAP",IF(C259=0,"BARU",IF(O259=0,"HAPUS",IF(O259&gt;C259,"TAMBAH","KURANG"))))</f>
        <v>TETAP</v>
      </c>
    </row>
    <row r="260" spans="1:18" x14ac:dyDescent="0.25">
      <c r="A260" s="5" t="s">
        <v>326</v>
      </c>
      <c r="B260" s="19" t="s">
        <v>327</v>
      </c>
      <c r="C260" s="7"/>
      <c r="D260" s="7"/>
      <c r="E260" s="5"/>
      <c r="F260" s="8"/>
      <c r="G260" s="8"/>
      <c r="H260" s="9"/>
      <c r="I260" s="7"/>
      <c r="J260" s="8"/>
      <c r="K260" s="9"/>
      <c r="L260" s="7"/>
      <c r="M260" s="8"/>
      <c r="N260" s="9"/>
      <c r="O260" s="7"/>
      <c r="P260" s="8"/>
      <c r="Q260" s="9"/>
      <c r="R260" s="5"/>
    </row>
    <row r="261" spans="1:18" x14ac:dyDescent="0.25">
      <c r="A261" s="10" t="s">
        <v>328</v>
      </c>
      <c r="B261" s="21" t="s">
        <v>329</v>
      </c>
      <c r="C261" s="12">
        <v>20.58</v>
      </c>
      <c r="D261" s="12">
        <v>0</v>
      </c>
      <c r="E261" s="10" t="s">
        <v>26</v>
      </c>
      <c r="F261" s="14">
        <v>229882.89</v>
      </c>
      <c r="G261" s="14">
        <f>F261*C261</f>
        <v>4730989.8762</v>
      </c>
      <c r="H261" s="15">
        <f>IF($G$1279=0,0,G261/$G$1279*100)</f>
      </c>
      <c r="I261" s="12" t="str">
        <f>IF(O261-C261&gt;0,O261-C261,"")</f>
        <v/>
      </c>
      <c r="J261" s="14" t="str">
        <f>IF(I261="","",F261*I261)</f>
        <v/>
      </c>
      <c r="K261" s="15">
        <f>IF(OR(J261="",$G$1279=0),"",J261/$G$1279*100)</f>
      </c>
      <c r="L261" s="12" t="str">
        <f>IF(C261-O261&gt;0,C261-O261,"")</f>
        <v/>
      </c>
      <c r="M261" s="14" t="str">
        <f>IF(L261="","",F261*L261)</f>
        <v/>
      </c>
      <c r="N261" s="15">
        <f>IF(OR(M261="",$G$1279=0),"",M261/$G$1279*100)</f>
      </c>
      <c r="O261" s="12">
        <v>20.58</v>
      </c>
      <c r="P261" s="14">
        <f>F261*O261</f>
        <v>4730989.8762</v>
      </c>
      <c r="Q261" s="15">
        <f>IF($P$1279=0,0,P261/$P$1279*100)</f>
      </c>
      <c r="R261" s="10" t="str">
        <f>IF(O261=C261,"TETAP",IF(C261=0,"BARU",IF(O261=0,"HAPUS",IF(O261&gt;C261,"TAMBAH","KURANG"))))</f>
        <v>TETAP</v>
      </c>
    </row>
    <row r="262" spans="1:18" x14ac:dyDescent="0.25">
      <c r="A262" s="10" t="s">
        <v>330</v>
      </c>
      <c r="B262" s="21" t="s">
        <v>331</v>
      </c>
      <c r="C262" s="12">
        <v>837.11</v>
      </c>
      <c r="D262" s="12">
        <v>0</v>
      </c>
      <c r="E262" s="10" t="s">
        <v>169</v>
      </c>
      <c r="F262" s="14">
        <v>19252.39</v>
      </c>
      <c r="G262" s="14">
        <f>F262*C262</f>
        <v>16116368.1929</v>
      </c>
      <c r="H262" s="15">
        <f>IF($G$1279=0,0,G262/$G$1279*100)</f>
      </c>
      <c r="I262" s="12" t="str">
        <f>IF(O262-C262&gt;0,O262-C262,"")</f>
        <v/>
      </c>
      <c r="J262" s="14" t="str">
        <f>IF(I262="","",F262*I262)</f>
        <v/>
      </c>
      <c r="K262" s="15">
        <f>IF(OR(J262="",$G$1279=0),"",J262/$G$1279*100)</f>
      </c>
      <c r="L262" s="12" t="str">
        <f>IF(C262-O262&gt;0,C262-O262,"")</f>
        <v/>
      </c>
      <c r="M262" s="14" t="str">
        <f>IF(L262="","",F262*L262)</f>
        <v/>
      </c>
      <c r="N262" s="15">
        <f>IF(OR(M262="",$G$1279=0),"",M262/$G$1279*100)</f>
      </c>
      <c r="O262" s="12">
        <v>837.11</v>
      </c>
      <c r="P262" s="14">
        <f>F262*O262</f>
        <v>16116368.1929</v>
      </c>
      <c r="Q262" s="15">
        <f>IF($P$1279=0,0,P262/$P$1279*100)</f>
      </c>
      <c r="R262" s="10" t="str">
        <f>IF(O262=C262,"TETAP",IF(C262=0,"BARU",IF(O262=0,"HAPUS",IF(O262&gt;C262,"TAMBAH","KURANG"))))</f>
        <v>TETAP</v>
      </c>
    </row>
    <row r="263" spans="1:18" x14ac:dyDescent="0.25">
      <c r="A263" s="10" t="s">
        <v>332</v>
      </c>
      <c r="B263" s="21" t="s">
        <v>173</v>
      </c>
      <c r="C263" s="12">
        <v>6.16</v>
      </c>
      <c r="D263" s="12">
        <v>0</v>
      </c>
      <c r="E263" s="10" t="s">
        <v>159</v>
      </c>
      <c r="F263" s="14">
        <v>1504340.14</v>
      </c>
      <c r="G263" s="14">
        <f>F263*C263</f>
        <v>9266735.2624</v>
      </c>
      <c r="H263" s="15">
        <f>IF($G$1279=0,0,G263/$G$1279*100)</f>
      </c>
      <c r="I263" s="12" t="str">
        <f>IF(O263-C263&gt;0,O263-C263,"")</f>
        <v/>
      </c>
      <c r="J263" s="14" t="str">
        <f>IF(I263="","",F263*I263)</f>
        <v/>
      </c>
      <c r="K263" s="15">
        <f>IF(OR(J263="",$G$1279=0),"",J263/$G$1279*100)</f>
      </c>
      <c r="L263" s="12" t="str">
        <f>IF(C263-O263&gt;0,C263-O263,"")</f>
        <v/>
      </c>
      <c r="M263" s="14" t="str">
        <f>IF(L263="","",F263*L263)</f>
        <v/>
      </c>
      <c r="N263" s="15">
        <f>IF(OR(M263="",$G$1279=0),"",M263/$G$1279*100)</f>
      </c>
      <c r="O263" s="12">
        <v>6.16</v>
      </c>
      <c r="P263" s="14">
        <f>F263*O263</f>
        <v>9266735.2624</v>
      </c>
      <c r="Q263" s="15">
        <f>IF($P$1279=0,0,P263/$P$1279*100)</f>
      </c>
      <c r="R263" s="10" t="str">
        <f>IF(O263=C263,"TETAP",IF(C263=0,"BARU",IF(O263=0,"HAPUS",IF(O263&gt;C263,"TAMBAH","KURANG"))))</f>
        <v>TETAP</v>
      </c>
    </row>
    <row r="264" spans="1:18" x14ac:dyDescent="0.25">
      <c r="A264" s="10" t="s">
        <v>333</v>
      </c>
      <c r="B264" s="21" t="s">
        <v>257</v>
      </c>
      <c r="C264" s="12">
        <v>6.16</v>
      </c>
      <c r="D264" s="12">
        <v>0</v>
      </c>
      <c r="E264" s="10" t="s">
        <v>159</v>
      </c>
      <c r="F264" s="14">
        <v>431478.14</v>
      </c>
      <c r="G264" s="14">
        <f>F264*C264</f>
        <v>2657905.3424</v>
      </c>
      <c r="H264" s="15">
        <f>IF($G$1279=0,0,G264/$G$1279*100)</f>
      </c>
      <c r="I264" s="12" t="str">
        <f>IF(O264-C264&gt;0,O264-C264,"")</f>
        <v/>
      </c>
      <c r="J264" s="14" t="str">
        <f>IF(I264="","",F264*I264)</f>
        <v/>
      </c>
      <c r="K264" s="15">
        <f>IF(OR(J264="",$G$1279=0),"",J264/$G$1279*100)</f>
      </c>
      <c r="L264" s="12" t="str">
        <f>IF(C264-O264&gt;0,C264-O264,"")</f>
        <v/>
      </c>
      <c r="M264" s="14" t="str">
        <f>IF(L264="","",F264*L264)</f>
        <v/>
      </c>
      <c r="N264" s="15">
        <f>IF(OR(M264="",$G$1279=0),"",M264/$G$1279*100)</f>
      </c>
      <c r="O264" s="12">
        <v>6.16</v>
      </c>
      <c r="P264" s="14">
        <f>F264*O264</f>
        <v>2657905.3424</v>
      </c>
      <c r="Q264" s="15">
        <f>IF($P$1279=0,0,P264/$P$1279*100)</f>
      </c>
      <c r="R264" s="10" t="str">
        <f>IF(O264=C264,"TETAP",IF(C264=0,"BARU",IF(O264=0,"HAPUS",IF(O264&gt;C264,"TAMBAH","KURANG"))))</f>
        <v>TETAP</v>
      </c>
    </row>
    <row r="265" spans="1:18" x14ac:dyDescent="0.25">
      <c r="A265" s="10" t="s">
        <v>334</v>
      </c>
      <c r="B265" s="21" t="s">
        <v>210</v>
      </c>
      <c r="C265" s="12">
        <v>6.16</v>
      </c>
      <c r="D265" s="12">
        <v>0</v>
      </c>
      <c r="E265" s="10" t="s">
        <v>159</v>
      </c>
      <c r="F265" s="14">
        <v>45149.88</v>
      </c>
      <c r="G265" s="14">
        <f>F265*C265</f>
        <v>278123.2608</v>
      </c>
      <c r="H265" s="15">
        <f>IF($G$1279=0,0,G265/$G$1279*100)</f>
      </c>
      <c r="I265" s="12" t="str">
        <f>IF(O265-C265&gt;0,O265-C265,"")</f>
        <v/>
      </c>
      <c r="J265" s="14" t="str">
        <f>IF(I265="","",F265*I265)</f>
        <v/>
      </c>
      <c r="K265" s="15">
        <f>IF(OR(J265="",$G$1279=0),"",J265/$G$1279*100)</f>
      </c>
      <c r="L265" s="12" t="str">
        <f>IF(C265-O265&gt;0,C265-O265,"")</f>
        <v/>
      </c>
      <c r="M265" s="14" t="str">
        <f>IF(L265="","",F265*L265)</f>
        <v/>
      </c>
      <c r="N265" s="15">
        <f>IF(OR(M265="",$G$1279=0),"",M265/$G$1279*100)</f>
      </c>
      <c r="O265" s="12">
        <v>6.16</v>
      </c>
      <c r="P265" s="14">
        <f>F265*O265</f>
        <v>278123.2608</v>
      </c>
      <c r="Q265" s="15">
        <f>IF($P$1279=0,0,P265/$P$1279*100)</f>
      </c>
      <c r="R265" s="10" t="str">
        <f>IF(O265=C265,"TETAP",IF(C265=0,"BARU",IF(O265=0,"HAPUS",IF(O265&gt;C265,"TAMBAH","KURANG"))))</f>
        <v>TETAP</v>
      </c>
    </row>
    <row r="266" spans="1:18" x14ac:dyDescent="0.25">
      <c r="A266" s="5" t="s">
        <v>335</v>
      </c>
      <c r="B266" s="6" t="s">
        <v>336</v>
      </c>
      <c r="C266" s="7"/>
      <c r="D266" s="7"/>
      <c r="E266" s="5"/>
      <c r="F266" s="8"/>
      <c r="G266" s="8"/>
      <c r="H266" s="9"/>
      <c r="I266" s="7"/>
      <c r="J266" s="8"/>
      <c r="K266" s="9"/>
      <c r="L266" s="7"/>
      <c r="M266" s="8"/>
      <c r="N266" s="9"/>
      <c r="O266" s="7"/>
      <c r="P266" s="8"/>
      <c r="Q266" s="9"/>
      <c r="R266" s="5"/>
    </row>
    <row r="267" spans="1:18" x14ac:dyDescent="0.25">
      <c r="A267" s="5" t="s">
        <v>337</v>
      </c>
      <c r="B267" s="16" t="s">
        <v>338</v>
      </c>
      <c r="C267" s="7"/>
      <c r="D267" s="7"/>
      <c r="E267" s="5"/>
      <c r="F267" s="8"/>
      <c r="G267" s="8"/>
      <c r="H267" s="9"/>
      <c r="I267" s="7"/>
      <c r="J267" s="8"/>
      <c r="K267" s="9"/>
      <c r="L267" s="7"/>
      <c r="M267" s="8"/>
      <c r="N267" s="9"/>
      <c r="O267" s="7"/>
      <c r="P267" s="8"/>
      <c r="Q267" s="9"/>
      <c r="R267" s="5"/>
    </row>
    <row r="268" spans="1:18" x14ac:dyDescent="0.25">
      <c r="A268" s="5" t="s">
        <v>24</v>
      </c>
      <c r="B268" s="17" t="s">
        <v>339</v>
      </c>
      <c r="C268" s="7"/>
      <c r="D268" s="7"/>
      <c r="E268" s="5"/>
      <c r="F268" s="8"/>
      <c r="G268" s="8"/>
      <c r="H268" s="9"/>
      <c r="I268" s="7"/>
      <c r="J268" s="8"/>
      <c r="K268" s="9"/>
      <c r="L268" s="7"/>
      <c r="M268" s="8"/>
      <c r="N268" s="9"/>
      <c r="O268" s="7"/>
      <c r="P268" s="8"/>
      <c r="Q268" s="9"/>
      <c r="R268" s="5"/>
    </row>
    <row r="269" spans="1:18" x14ac:dyDescent="0.25">
      <c r="A269" s="10" t="s">
        <v>157</v>
      </c>
      <c r="B269" s="18" t="s">
        <v>201</v>
      </c>
      <c r="C269" s="12">
        <v>31.36</v>
      </c>
      <c r="D269" s="13">
        <v>31.36</v>
      </c>
      <c r="E269" s="10" t="s">
        <v>159</v>
      </c>
      <c r="F269" s="14">
        <v>48730.7</v>
      </c>
      <c r="G269" s="14">
        <f>F269*C269</f>
        <v>1528194.7519999999</v>
      </c>
      <c r="H269" s="15">
        <f>IF($G$1279=0,0,G269/$G$1279*100)</f>
      </c>
      <c r="I269" s="12" t="str">
        <f>IF(O269-C269&gt;0,O269-C269,"")</f>
        <v/>
      </c>
      <c r="J269" s="14" t="str">
        <f>IF(I269="","",F269*I269)</f>
        <v/>
      </c>
      <c r="K269" s="15">
        <f>IF(OR(J269="",$G$1279=0),"",J269/$G$1279*100)</f>
      </c>
      <c r="L269" s="12" t="str">
        <f>IF(C269-O269&gt;0,C269-O269,"")</f>
        <v/>
      </c>
      <c r="M269" s="14" t="str">
        <f>IF(L269="","",F269*L269)</f>
        <v/>
      </c>
      <c r="N269" s="15">
        <f>IF(OR(M269="",$G$1279=0),"",M269/$G$1279*100)</f>
      </c>
      <c r="O269" s="12">
        <v>31.36</v>
      </c>
      <c r="P269" s="14">
        <f>F269*O269</f>
        <v>1528194.7519999999</v>
      </c>
      <c r="Q269" s="15">
        <f>IF($P$1279=0,0,P269/$P$1279*100)</f>
      </c>
      <c r="R269" s="10" t="str">
        <f>IF(O269=C269,"TETAP",IF(C269=0,"BARU",IF(O269=0,"HAPUS",IF(O269&gt;C269,"TAMBAH","KURANG"))))</f>
        <v>TETAP</v>
      </c>
    </row>
    <row r="270" spans="1:18" x14ac:dyDescent="0.25">
      <c r="A270" s="10" t="s">
        <v>160</v>
      </c>
      <c r="B270" s="18" t="s">
        <v>194</v>
      </c>
      <c r="C270" s="12">
        <v>1356</v>
      </c>
      <c r="D270" s="13">
        <v>1356</v>
      </c>
      <c r="E270" s="10" t="s">
        <v>37</v>
      </c>
      <c r="F270" s="14">
        <v>28117.52</v>
      </c>
      <c r="G270" s="14">
        <f>F270*C270</f>
        <v>38127357.12</v>
      </c>
      <c r="H270" s="15">
        <f>IF($G$1279=0,0,G270/$G$1279*100)</f>
      </c>
      <c r="I270" s="12" t="str">
        <f>IF(O270-C270&gt;0,O270-C270,"")</f>
        <v/>
      </c>
      <c r="J270" s="14" t="str">
        <f>IF(I270="","",F270*I270)</f>
        <v/>
      </c>
      <c r="K270" s="15">
        <f>IF(OR(J270="",$G$1279=0),"",J270/$G$1279*100)</f>
      </c>
      <c r="L270" s="12" t="str">
        <f>IF(C270-O270&gt;0,C270-O270,"")</f>
        <v/>
      </c>
      <c r="M270" s="14" t="str">
        <f>IF(L270="","",F270*L270)</f>
        <v/>
      </c>
      <c r="N270" s="15">
        <f>IF(OR(M270="",$G$1279=0),"",M270/$G$1279*100)</f>
      </c>
      <c r="O270" s="12">
        <v>1356</v>
      </c>
      <c r="P270" s="14">
        <f>F270*O270</f>
        <v>38127357.12</v>
      </c>
      <c r="Q270" s="15">
        <f>IF($P$1279=0,0,P270/$P$1279*100)</f>
      </c>
      <c r="R270" s="10" t="str">
        <f>IF(O270=C270,"TETAP",IF(C270=0,"BARU",IF(O270=0,"HAPUS",IF(O270&gt;C270,"TAMBAH","KURANG"))))</f>
        <v>TETAP</v>
      </c>
    </row>
    <row r="271" spans="1:18" x14ac:dyDescent="0.25">
      <c r="A271" s="10" t="s">
        <v>162</v>
      </c>
      <c r="B271" s="18" t="s">
        <v>196</v>
      </c>
      <c r="C271" s="12">
        <v>23.2</v>
      </c>
      <c r="D271" s="13">
        <v>23.2</v>
      </c>
      <c r="E271" s="10" t="s">
        <v>26</v>
      </c>
      <c r="F271" s="14">
        <v>206721.67</v>
      </c>
      <c r="G271" s="14">
        <f>F271*C271</f>
        <v>4795942.744</v>
      </c>
      <c r="H271" s="15">
        <f>IF($G$1279=0,0,G271/$G$1279*100)</f>
      </c>
      <c r="I271" s="12" t="str">
        <f>IF(O271-C271&gt;0,O271-C271,"")</f>
        <v/>
      </c>
      <c r="J271" s="14" t="str">
        <f>IF(I271="","",F271*I271)</f>
        <v/>
      </c>
      <c r="K271" s="15">
        <f>IF(OR(J271="",$G$1279=0),"",J271/$G$1279*100)</f>
      </c>
      <c r="L271" s="12" t="str">
        <f>IF(C271-O271&gt;0,C271-O271,"")</f>
        <v/>
      </c>
      <c r="M271" s="14" t="str">
        <f>IF(L271="","",F271*L271)</f>
        <v/>
      </c>
      <c r="N271" s="15">
        <f>IF(OR(M271="",$G$1279=0),"",M271/$G$1279*100)</f>
      </c>
      <c r="O271" s="12">
        <v>23.2</v>
      </c>
      <c r="P271" s="14">
        <f>F271*O271</f>
        <v>4795942.744</v>
      </c>
      <c r="Q271" s="15">
        <f>IF($P$1279=0,0,P271/$P$1279*100)</f>
      </c>
      <c r="R271" s="10" t="str">
        <f>IF(O271=C271,"TETAP",IF(C271=0,"BARU",IF(O271=0,"HAPUS",IF(O271&gt;C271,"TAMBAH","KURANG"))))</f>
        <v>TETAP</v>
      </c>
    </row>
    <row r="272" spans="1:18" x14ac:dyDescent="0.25">
      <c r="A272" s="10" t="s">
        <v>340</v>
      </c>
      <c r="B272" s="18" t="s">
        <v>205</v>
      </c>
      <c r="C272" s="12">
        <v>1324.86</v>
      </c>
      <c r="D272" s="13">
        <v>1324.86</v>
      </c>
      <c r="E272" s="10" t="s">
        <v>169</v>
      </c>
      <c r="F272" s="14">
        <v>28927.25</v>
      </c>
      <c r="G272" s="14">
        <f>F272*C272</f>
        <v>38324556.434999995</v>
      </c>
      <c r="H272" s="15">
        <f>IF($G$1279=0,0,G272/$G$1279*100)</f>
      </c>
      <c r="I272" s="12" t="str">
        <f>IF(O272-C272&gt;0,O272-C272,"")</f>
        <v/>
      </c>
      <c r="J272" s="14" t="str">
        <f>IF(I272="","",F272*I272)</f>
        <v/>
      </c>
      <c r="K272" s="15">
        <f>IF(OR(J272="",$G$1279=0),"",J272/$G$1279*100)</f>
      </c>
      <c r="L272" s="12" t="str">
        <f>IF(C272-O272&gt;0,C272-O272,"")</f>
        <v/>
      </c>
      <c r="M272" s="14" t="str">
        <f>IF(L272="","",F272*L272)</f>
        <v/>
      </c>
      <c r="N272" s="15">
        <f>IF(OR(M272="",$G$1279=0),"",M272/$G$1279*100)</f>
      </c>
      <c r="O272" s="12">
        <v>1324.86</v>
      </c>
      <c r="P272" s="14">
        <f>F272*O272</f>
        <v>38324556.434999995</v>
      </c>
      <c r="Q272" s="15">
        <f>IF($P$1279=0,0,P272/$P$1279*100)</f>
      </c>
      <c r="R272" s="10" t="str">
        <f>IF(O272=C272,"TETAP",IF(C272=0,"BARU",IF(O272=0,"HAPUS",IF(O272&gt;C272,"TAMBAH","KURANG"))))</f>
        <v>TETAP</v>
      </c>
    </row>
    <row r="273" spans="1:18" x14ac:dyDescent="0.25">
      <c r="A273" s="10" t="s">
        <v>341</v>
      </c>
      <c r="B273" s="18" t="s">
        <v>207</v>
      </c>
      <c r="C273" s="12">
        <v>694.18</v>
      </c>
      <c r="D273" s="13">
        <v>694.18</v>
      </c>
      <c r="E273" s="10" t="s">
        <v>169</v>
      </c>
      <c r="F273" s="14">
        <v>19252.39</v>
      </c>
      <c r="G273" s="14">
        <f>F273*C273</f>
        <v>13364624.0902</v>
      </c>
      <c r="H273" s="15">
        <f>IF($G$1279=0,0,G273/$G$1279*100)</f>
      </c>
      <c r="I273" s="12" t="str">
        <f>IF(O273-C273&gt;0,O273-C273,"")</f>
        <v/>
      </c>
      <c r="J273" s="14" t="str">
        <f>IF(I273="","",F273*I273)</f>
        <v/>
      </c>
      <c r="K273" s="15">
        <f>IF(OR(J273="",$G$1279=0),"",J273/$G$1279*100)</f>
      </c>
      <c r="L273" s="12" t="str">
        <f>IF(C273-O273&gt;0,C273-O273,"")</f>
        <v/>
      </c>
      <c r="M273" s="14" t="str">
        <f>IF(L273="","",F273*L273)</f>
        <v/>
      </c>
      <c r="N273" s="15">
        <f>IF(OR(M273="",$G$1279=0),"",M273/$G$1279*100)</f>
      </c>
      <c r="O273" s="12">
        <v>694.18</v>
      </c>
      <c r="P273" s="14">
        <f>F273*O273</f>
        <v>13364624.0902</v>
      </c>
      <c r="Q273" s="15">
        <f>IF($P$1279=0,0,P273/$P$1279*100)</f>
      </c>
      <c r="R273" s="10" t="str">
        <f>IF(O273=C273,"TETAP",IF(C273=0,"BARU",IF(O273=0,"HAPUS",IF(O273&gt;C273,"TAMBAH","KURANG"))))</f>
        <v>TETAP</v>
      </c>
    </row>
    <row r="274" spans="1:18" x14ac:dyDescent="0.25">
      <c r="A274" s="10" t="s">
        <v>342</v>
      </c>
      <c r="B274" s="18" t="s">
        <v>173</v>
      </c>
      <c r="C274" s="12">
        <v>23.52</v>
      </c>
      <c r="D274" s="13">
        <v>23.52</v>
      </c>
      <c r="E274" s="10" t="s">
        <v>159</v>
      </c>
      <c r="F274" s="14">
        <v>1504340.14</v>
      </c>
      <c r="G274" s="14">
        <f>F274*C274</f>
        <v>35382080.0928</v>
      </c>
      <c r="H274" s="15">
        <f>IF($G$1279=0,0,G274/$G$1279*100)</f>
      </c>
      <c r="I274" s="12" t="str">
        <f>IF(O274-C274&gt;0,O274-C274,"")</f>
        <v/>
      </c>
      <c r="J274" s="14" t="str">
        <f>IF(I274="","",F274*I274)</f>
        <v/>
      </c>
      <c r="K274" s="15">
        <f>IF(OR(J274="",$G$1279=0),"",J274/$G$1279*100)</f>
      </c>
      <c r="L274" s="12" t="str">
        <f>IF(C274-O274&gt;0,C274-O274,"")</f>
        <v/>
      </c>
      <c r="M274" s="14" t="str">
        <f>IF(L274="","",F274*L274)</f>
        <v/>
      </c>
      <c r="N274" s="15">
        <f>IF(OR(M274="",$G$1279=0),"",M274/$G$1279*100)</f>
      </c>
      <c r="O274" s="12">
        <v>23.52</v>
      </c>
      <c r="P274" s="14">
        <f>F274*O274</f>
        <v>35382080.0928</v>
      </c>
      <c r="Q274" s="15">
        <f>IF($P$1279=0,0,P274/$P$1279*100)</f>
      </c>
      <c r="R274" s="10" t="str">
        <f>IF(O274=C274,"TETAP",IF(C274=0,"BARU",IF(O274=0,"HAPUS",IF(O274&gt;C274,"TAMBAH","KURANG"))))</f>
        <v>TETAP</v>
      </c>
    </row>
    <row r="275" spans="1:18" x14ac:dyDescent="0.25">
      <c r="A275" s="10" t="s">
        <v>343</v>
      </c>
      <c r="B275" s="18" t="s">
        <v>210</v>
      </c>
      <c r="C275" s="12">
        <v>23.52</v>
      </c>
      <c r="D275" s="13">
        <v>23.52</v>
      </c>
      <c r="E275" s="10" t="s">
        <v>159</v>
      </c>
      <c r="F275" s="14">
        <v>45149.88</v>
      </c>
      <c r="G275" s="14">
        <f>F275*C275</f>
        <v>1061925.1775999998</v>
      </c>
      <c r="H275" s="15">
        <f>IF($G$1279=0,0,G275/$G$1279*100)</f>
      </c>
      <c r="I275" s="12" t="str">
        <f>IF(O275-C275&gt;0,O275-C275,"")</f>
        <v/>
      </c>
      <c r="J275" s="14" t="str">
        <f>IF(I275="","",F275*I275)</f>
        <v/>
      </c>
      <c r="K275" s="15">
        <f>IF(OR(J275="",$G$1279=0),"",J275/$G$1279*100)</f>
      </c>
      <c r="L275" s="12" t="str">
        <f>IF(C275-O275&gt;0,C275-O275,"")</f>
        <v/>
      </c>
      <c r="M275" s="14" t="str">
        <f>IF(L275="","",F275*L275)</f>
        <v/>
      </c>
      <c r="N275" s="15">
        <f>IF(OR(M275="",$G$1279=0),"",M275/$G$1279*100)</f>
      </c>
      <c r="O275" s="12">
        <v>23.52</v>
      </c>
      <c r="P275" s="14">
        <f>F275*O275</f>
        <v>1061925.1775999998</v>
      </c>
      <c r="Q275" s="15">
        <f>IF($P$1279=0,0,P275/$P$1279*100)</f>
      </c>
      <c r="R275" s="10" t="str">
        <f>IF(O275=C275,"TETAP",IF(C275=0,"BARU",IF(O275=0,"HAPUS",IF(O275&gt;C275,"TAMBAH","KURANG"))))</f>
        <v>TETAP</v>
      </c>
    </row>
    <row r="276" spans="1:18" x14ac:dyDescent="0.25">
      <c r="A276" s="5" t="s">
        <v>27</v>
      </c>
      <c r="B276" s="17" t="s">
        <v>211</v>
      </c>
      <c r="C276" s="7"/>
      <c r="D276" s="7"/>
      <c r="E276" s="5"/>
      <c r="F276" s="8"/>
      <c r="G276" s="8"/>
      <c r="H276" s="9"/>
      <c r="I276" s="7"/>
      <c r="J276" s="8"/>
      <c r="K276" s="9"/>
      <c r="L276" s="7"/>
      <c r="M276" s="8"/>
      <c r="N276" s="9"/>
      <c r="O276" s="7"/>
      <c r="P276" s="8"/>
      <c r="Q276" s="9"/>
      <c r="R276" s="5"/>
    </row>
    <row r="277" spans="1:18" x14ac:dyDescent="0.25">
      <c r="A277" s="10" t="s">
        <v>165</v>
      </c>
      <c r="B277" s="18" t="s">
        <v>213</v>
      </c>
      <c r="C277" s="12">
        <v>78.4</v>
      </c>
      <c r="D277" s="13">
        <v>78.4</v>
      </c>
      <c r="E277" s="10" t="s">
        <v>26</v>
      </c>
      <c r="F277" s="14">
        <v>472402.93</v>
      </c>
      <c r="G277" s="14">
        <f>F277*C277</f>
        <v>37036389.712000005</v>
      </c>
      <c r="H277" s="15">
        <f>IF($G$1279=0,0,G277/$G$1279*100)</f>
      </c>
      <c r="I277" s="12" t="str">
        <f>IF(O277-C277&gt;0,O277-C277,"")</f>
        <v/>
      </c>
      <c r="J277" s="14" t="str">
        <f>IF(I277="","",F277*I277)</f>
        <v/>
      </c>
      <c r="K277" s="15">
        <f>IF(OR(J277="",$G$1279=0),"",J277/$G$1279*100)</f>
      </c>
      <c r="L277" s="12" t="str">
        <f>IF(C277-O277&gt;0,C277-O277,"")</f>
        <v/>
      </c>
      <c r="M277" s="14" t="str">
        <f>IF(L277="","",F277*L277)</f>
        <v/>
      </c>
      <c r="N277" s="15">
        <f>IF(OR(M277="",$G$1279=0),"",M277/$G$1279*100)</f>
      </c>
      <c r="O277" s="12">
        <v>78.4</v>
      </c>
      <c r="P277" s="14">
        <f>F277*O277</f>
        <v>37036389.712000005</v>
      </c>
      <c r="Q277" s="15">
        <f>IF($P$1279=0,0,P277/$P$1279*100)</f>
      </c>
      <c r="R277" s="10" t="str">
        <f>IF(O277=C277,"TETAP",IF(C277=0,"BARU",IF(O277=0,"HAPUS",IF(O277&gt;C277,"TAMBAH","KURANG"))))</f>
        <v>TETAP</v>
      </c>
    </row>
    <row r="278" spans="1:18" x14ac:dyDescent="0.25">
      <c r="A278" s="10" t="s">
        <v>167</v>
      </c>
      <c r="B278" s="18" t="s">
        <v>215</v>
      </c>
      <c r="C278" s="12">
        <v>819.76</v>
      </c>
      <c r="D278" s="13">
        <v>819.76</v>
      </c>
      <c r="E278" s="10" t="s">
        <v>169</v>
      </c>
      <c r="F278" s="14">
        <v>28927.25</v>
      </c>
      <c r="G278" s="14">
        <f>F278*C278</f>
        <v>23713402.46</v>
      </c>
      <c r="H278" s="15">
        <f>IF($G$1279=0,0,G278/$G$1279*100)</f>
      </c>
      <c r="I278" s="12" t="str">
        <f>IF(O278-C278&gt;0,O278-C278,"")</f>
        <v/>
      </c>
      <c r="J278" s="14" t="str">
        <f>IF(I278="","",F278*I278)</f>
        <v/>
      </c>
      <c r="K278" s="15">
        <f>IF(OR(J278="",$G$1279=0),"",J278/$G$1279*100)</f>
      </c>
      <c r="L278" s="12" t="str">
        <f>IF(C278-O278&gt;0,C278-O278,"")</f>
        <v/>
      </c>
      <c r="M278" s="14" t="str">
        <f>IF(L278="","",F278*L278)</f>
        <v/>
      </c>
      <c r="N278" s="15">
        <f>IF(OR(M278="",$G$1279=0),"",M278/$G$1279*100)</f>
      </c>
      <c r="O278" s="12">
        <v>819.76</v>
      </c>
      <c r="P278" s="14">
        <f>F278*O278</f>
        <v>23713402.46</v>
      </c>
      <c r="Q278" s="15">
        <f>IF($P$1279=0,0,P278/$P$1279*100)</f>
      </c>
      <c r="R278" s="10" t="str">
        <f>IF(O278=C278,"TETAP",IF(C278=0,"BARU",IF(O278=0,"HAPUS",IF(O278&gt;C278,"TAMBAH","KURANG"))))</f>
        <v>TETAP</v>
      </c>
    </row>
    <row r="279" spans="1:18" x14ac:dyDescent="0.25">
      <c r="A279" s="10" t="s">
        <v>170</v>
      </c>
      <c r="B279" s="18" t="s">
        <v>217</v>
      </c>
      <c r="C279" s="12">
        <v>276.69</v>
      </c>
      <c r="D279" s="13">
        <v>276.69</v>
      </c>
      <c r="E279" s="10" t="s">
        <v>169</v>
      </c>
      <c r="F279" s="14">
        <v>19252.39</v>
      </c>
      <c r="G279" s="14">
        <f>F279*C279</f>
        <v>5326943.7891</v>
      </c>
      <c r="H279" s="15">
        <f>IF($G$1279=0,0,G279/$G$1279*100)</f>
      </c>
      <c r="I279" s="12" t="str">
        <f>IF(O279-C279&gt;0,O279-C279,"")</f>
        <v/>
      </c>
      <c r="J279" s="14" t="str">
        <f>IF(I279="","",F279*I279)</f>
        <v/>
      </c>
      <c r="K279" s="15">
        <f>IF(OR(J279="",$G$1279=0),"",J279/$G$1279*100)</f>
      </c>
      <c r="L279" s="12" t="str">
        <f>IF(C279-O279&gt;0,C279-O279,"")</f>
        <v/>
      </c>
      <c r="M279" s="14" t="str">
        <f>IF(L279="","",F279*L279)</f>
        <v/>
      </c>
      <c r="N279" s="15">
        <f>IF(OR(M279="",$G$1279=0),"",M279/$G$1279*100)</f>
      </c>
      <c r="O279" s="12">
        <v>276.69</v>
      </c>
      <c r="P279" s="14">
        <f>F279*O279</f>
        <v>5326943.7891</v>
      </c>
      <c r="Q279" s="15">
        <f>IF($P$1279=0,0,P279/$P$1279*100)</f>
      </c>
      <c r="R279" s="10" t="str">
        <f>IF(O279=C279,"TETAP",IF(C279=0,"BARU",IF(O279=0,"HAPUS",IF(O279&gt;C279,"TAMBAH","KURANG"))))</f>
        <v>TETAP</v>
      </c>
    </row>
    <row r="280" spans="1:18" x14ac:dyDescent="0.25">
      <c r="A280" s="10" t="s">
        <v>172</v>
      </c>
      <c r="B280" s="18" t="s">
        <v>173</v>
      </c>
      <c r="C280" s="12">
        <v>7.84</v>
      </c>
      <c r="D280" s="13">
        <v>7.84</v>
      </c>
      <c r="E280" s="10" t="s">
        <v>159</v>
      </c>
      <c r="F280" s="14">
        <v>1504340.14</v>
      </c>
      <c r="G280" s="14">
        <f>F280*C280</f>
        <v>11794026.6976</v>
      </c>
      <c r="H280" s="15">
        <f>IF($G$1279=0,0,G280/$G$1279*100)</f>
      </c>
      <c r="I280" s="12">
        <f>IF(O280-C280&gt;0,O280-C280,"")</f>
        <v>1.9600000000000009</v>
      </c>
      <c r="J280" s="14">
        <f>IF(I280="","",F280*I280)</f>
        <v>2948506.6744000013</v>
      </c>
      <c r="K280" s="15">
        <f>IF(OR(J280="",$G$1279=0),"",J280/$G$1279*100)</f>
      </c>
      <c r="L280" s="12" t="str">
        <f>IF(C280-O280&gt;0,C280-O280,"")</f>
        <v/>
      </c>
      <c r="M280" s="14" t="str">
        <f>IF(L280="","",F280*L280)</f>
        <v/>
      </c>
      <c r="N280" s="15">
        <f>IF(OR(M280="",$G$1279=0),"",M280/$G$1279*100)</f>
      </c>
      <c r="O280" s="12">
        <v>9.8</v>
      </c>
      <c r="P280" s="14">
        <f>F280*O280</f>
        <v>14742533.372</v>
      </c>
      <c r="Q280" s="15">
        <f>IF($P$1279=0,0,P280/$P$1279*100)</f>
      </c>
      <c r="R280" s="10" t="str">
        <f>IF(O280=C280,"TETAP",IF(C280=0,"BARU",IF(O280=0,"HAPUS",IF(O280&gt;C280,"TAMBAH","KURANG"))))</f>
        <v>TAMBAH</v>
      </c>
    </row>
    <row r="281" spans="1:18" x14ac:dyDescent="0.25">
      <c r="A281" s="10" t="s">
        <v>255</v>
      </c>
      <c r="B281" s="18" t="s">
        <v>210</v>
      </c>
      <c r="C281" s="12">
        <v>7.84</v>
      </c>
      <c r="D281" s="13">
        <v>7.84</v>
      </c>
      <c r="E281" s="10" t="s">
        <v>159</v>
      </c>
      <c r="F281" s="14">
        <v>45149.88</v>
      </c>
      <c r="G281" s="14">
        <f>F281*C281</f>
        <v>353975.05919999996</v>
      </c>
      <c r="H281" s="15">
        <f>IF($G$1279=0,0,G281/$G$1279*100)</f>
      </c>
      <c r="I281" s="12">
        <f>IF(O281-C281&gt;0,O281-C281,"")</f>
        <v>1.9600000000000009</v>
      </c>
      <c r="J281" s="14">
        <f>IF(I281="","",F281*I281)</f>
        <v>88493.76480000003</v>
      </c>
      <c r="K281" s="15">
        <f>IF(OR(J281="",$G$1279=0),"",J281/$G$1279*100)</f>
      </c>
      <c r="L281" s="12" t="str">
        <f>IF(C281-O281&gt;0,C281-O281,"")</f>
        <v/>
      </c>
      <c r="M281" s="14" t="str">
        <f>IF(L281="","",F281*L281)</f>
        <v/>
      </c>
      <c r="N281" s="15">
        <f>IF(OR(M281="",$G$1279=0),"",M281/$G$1279*100)</f>
      </c>
      <c r="O281" s="12">
        <v>9.8</v>
      </c>
      <c r="P281" s="14">
        <f>F281*O281</f>
        <v>442468.824</v>
      </c>
      <c r="Q281" s="15">
        <f>IF($P$1279=0,0,P281/$P$1279*100)</f>
      </c>
      <c r="R281" s="10" t="str">
        <f>IF(O281=C281,"TETAP",IF(C281=0,"BARU",IF(O281=0,"HAPUS",IF(O281&gt;C281,"TAMBAH","KURANG"))))</f>
        <v>TAMBAH</v>
      </c>
    </row>
    <row r="282" spans="1:18" x14ac:dyDescent="0.25">
      <c r="A282" s="5" t="s">
        <v>344</v>
      </c>
      <c r="B282" s="6" t="s">
        <v>345</v>
      </c>
      <c r="C282" s="7"/>
      <c r="D282" s="7"/>
      <c r="E282" s="5"/>
      <c r="F282" s="8"/>
      <c r="G282" s="8"/>
      <c r="H282" s="9"/>
      <c r="I282" s="7"/>
      <c r="J282" s="8"/>
      <c r="K282" s="9"/>
      <c r="L282" s="7"/>
      <c r="M282" s="8"/>
      <c r="N282" s="9"/>
      <c r="O282" s="7"/>
      <c r="P282" s="8"/>
      <c r="Q282" s="9"/>
      <c r="R282" s="5"/>
    </row>
    <row r="283" spans="1:18" x14ac:dyDescent="0.25">
      <c r="A283" s="5" t="s">
        <v>346</v>
      </c>
      <c r="B283" s="16" t="s">
        <v>347</v>
      </c>
      <c r="C283" s="7"/>
      <c r="D283" s="7"/>
      <c r="E283" s="5"/>
      <c r="F283" s="8"/>
      <c r="G283" s="8"/>
      <c r="H283" s="9"/>
      <c r="I283" s="7"/>
      <c r="J283" s="8"/>
      <c r="K283" s="9"/>
      <c r="L283" s="7"/>
      <c r="M283" s="8"/>
      <c r="N283" s="9"/>
      <c r="O283" s="7"/>
      <c r="P283" s="8"/>
      <c r="Q283" s="9"/>
      <c r="R283" s="5"/>
    </row>
    <row r="284" spans="1:18" x14ac:dyDescent="0.25">
      <c r="A284" s="10" t="s">
        <v>24</v>
      </c>
      <c r="B284" s="20" t="s">
        <v>348</v>
      </c>
      <c r="C284" s="12">
        <v>38</v>
      </c>
      <c r="D284" s="12">
        <v>0</v>
      </c>
      <c r="E284" s="10" t="s">
        <v>37</v>
      </c>
      <c r="F284" s="14">
        <v>161600.06</v>
      </c>
      <c r="G284" s="14">
        <f>F284*C284</f>
        <v>6140802.28</v>
      </c>
      <c r="H284" s="15">
        <f>IF($G$1279=0,0,G284/$G$1279*100)</f>
      </c>
      <c r="I284" s="12" t="str">
        <f>IF(O284-C284&gt;0,O284-C284,"")</f>
        <v/>
      </c>
      <c r="J284" s="14" t="str">
        <f>IF(I284="","",F284*I284)</f>
        <v/>
      </c>
      <c r="K284" s="15">
        <f>IF(OR(J284="",$G$1279=0),"",J284/$G$1279*100)</f>
      </c>
      <c r="L284" s="12" t="str">
        <f>IF(C284-O284&gt;0,C284-O284,"")</f>
        <v/>
      </c>
      <c r="M284" s="14" t="str">
        <f>IF(L284="","",F284*L284)</f>
        <v/>
      </c>
      <c r="N284" s="15">
        <f>IF(OR(M284="",$G$1279=0),"",M284/$G$1279*100)</f>
      </c>
      <c r="O284" s="12">
        <v>38</v>
      </c>
      <c r="P284" s="14">
        <f>F284*O284</f>
        <v>6140802.28</v>
      </c>
      <c r="Q284" s="15">
        <f>IF($P$1279=0,0,P284/$P$1279*100)</f>
      </c>
      <c r="R284" s="10" t="str">
        <f>IF(O284=C284,"TETAP",IF(C284=0,"BARU",IF(O284=0,"HAPUS",IF(O284&gt;C284,"TAMBAH","KURANG"))))</f>
        <v>TETAP</v>
      </c>
    </row>
    <row r="285" spans="1:18" x14ac:dyDescent="0.25">
      <c r="A285" s="5" t="s">
        <v>27</v>
      </c>
      <c r="B285" s="17" t="s">
        <v>349</v>
      </c>
      <c r="C285" s="7"/>
      <c r="D285" s="7"/>
      <c r="E285" s="5"/>
      <c r="F285" s="8"/>
      <c r="G285" s="8"/>
      <c r="H285" s="9"/>
      <c r="I285" s="7"/>
      <c r="J285" s="8"/>
      <c r="K285" s="9"/>
      <c r="L285" s="7"/>
      <c r="M285" s="8"/>
      <c r="N285" s="9"/>
      <c r="O285" s="7"/>
      <c r="P285" s="8"/>
      <c r="Q285" s="9"/>
      <c r="R285" s="5"/>
    </row>
    <row r="286" spans="1:18" x14ac:dyDescent="0.25">
      <c r="A286" s="10" t="s">
        <v>165</v>
      </c>
      <c r="B286" s="18" t="s">
        <v>158</v>
      </c>
      <c r="C286" s="12">
        <v>9.6</v>
      </c>
      <c r="D286" s="12">
        <v>0</v>
      </c>
      <c r="E286" s="10" t="s">
        <v>159</v>
      </c>
      <c r="F286" s="14">
        <v>48730.7</v>
      </c>
      <c r="G286" s="14">
        <f>F286*C286</f>
        <v>467814.72</v>
      </c>
      <c r="H286" s="15">
        <f>IF($G$1279=0,0,G286/$G$1279*100)</f>
      </c>
      <c r="I286" s="12" t="str">
        <f>IF(O286-C286&gt;0,O286-C286,"")</f>
        <v/>
      </c>
      <c r="J286" s="14" t="str">
        <f>IF(I286="","",F286*I286)</f>
        <v/>
      </c>
      <c r="K286" s="15">
        <f>IF(OR(J286="",$G$1279=0),"",J286/$G$1279*100)</f>
      </c>
      <c r="L286" s="12" t="str">
        <f>IF(C286-O286&gt;0,C286-O286,"")</f>
        <v/>
      </c>
      <c r="M286" s="14" t="str">
        <f>IF(L286="","",F286*L286)</f>
        <v/>
      </c>
      <c r="N286" s="15">
        <f>IF(OR(M286="",$G$1279=0),"",M286/$G$1279*100)</f>
      </c>
      <c r="O286" s="12">
        <v>9.6</v>
      </c>
      <c r="P286" s="14">
        <f>F286*O286</f>
        <v>467814.72</v>
      </c>
      <c r="Q286" s="15">
        <f>IF($P$1279=0,0,P286/$P$1279*100)</f>
      </c>
      <c r="R286" s="10" t="str">
        <f>IF(O286=C286,"TETAP",IF(C286=0,"BARU",IF(O286=0,"HAPUS",IF(O286&gt;C286,"TAMBAH","KURANG"))))</f>
        <v>TETAP</v>
      </c>
    </row>
    <row r="287" spans="1:18" x14ac:dyDescent="0.25">
      <c r="A287" s="10" t="s">
        <v>167</v>
      </c>
      <c r="B287" s="18" t="s">
        <v>350</v>
      </c>
      <c r="C287" s="12">
        <v>0.56</v>
      </c>
      <c r="D287" s="12">
        <v>0</v>
      </c>
      <c r="E287" s="10" t="s">
        <v>159</v>
      </c>
      <c r="F287" s="14">
        <v>342654.98</v>
      </c>
      <c r="G287" s="14">
        <f>F287*C287</f>
        <v>191886.7888</v>
      </c>
      <c r="H287" s="15">
        <f>IF($G$1279=0,0,G287/$G$1279*100)</f>
      </c>
      <c r="I287" s="12" t="str">
        <f>IF(O287-C287&gt;0,O287-C287,"")</f>
        <v/>
      </c>
      <c r="J287" s="14" t="str">
        <f>IF(I287="","",F287*I287)</f>
        <v/>
      </c>
      <c r="K287" s="15">
        <f>IF(OR(J287="",$G$1279=0),"",J287/$G$1279*100)</f>
      </c>
      <c r="L287" s="12" t="str">
        <f>IF(C287-O287&gt;0,C287-O287,"")</f>
        <v/>
      </c>
      <c r="M287" s="14" t="str">
        <f>IF(L287="","",F287*L287)</f>
        <v/>
      </c>
      <c r="N287" s="15">
        <f>IF(OR(M287="",$G$1279=0),"",M287/$G$1279*100)</f>
      </c>
      <c r="O287" s="12">
        <v>0.56</v>
      </c>
      <c r="P287" s="14">
        <f>F287*O287</f>
        <v>191886.7888</v>
      </c>
      <c r="Q287" s="15">
        <f>IF($P$1279=0,0,P287/$P$1279*100)</f>
      </c>
      <c r="R287" s="10" t="str">
        <f>IF(O287=C287,"TETAP",IF(C287=0,"BARU",IF(O287=0,"HAPUS",IF(O287&gt;C287,"TAMBAH","KURANG"))))</f>
        <v>TETAP</v>
      </c>
    </row>
    <row r="288" spans="1:18" x14ac:dyDescent="0.25">
      <c r="A288" s="10" t="s">
        <v>170</v>
      </c>
      <c r="B288" s="18" t="s">
        <v>351</v>
      </c>
      <c r="C288" s="12">
        <v>0.24</v>
      </c>
      <c r="D288" s="12">
        <v>0</v>
      </c>
      <c r="E288" s="10" t="s">
        <v>159</v>
      </c>
      <c r="F288" s="14">
        <v>1243301.43</v>
      </c>
      <c r="G288" s="14">
        <f>F288*C288</f>
        <v>298392.34319999994</v>
      </c>
      <c r="H288" s="15">
        <f>IF($G$1279=0,0,G288/$G$1279*100)</f>
      </c>
      <c r="I288" s="12" t="str">
        <f>IF(O288-C288&gt;0,O288-C288,"")</f>
        <v/>
      </c>
      <c r="J288" s="14" t="str">
        <f>IF(I288="","",F288*I288)</f>
        <v/>
      </c>
      <c r="K288" s="15">
        <f>IF(OR(J288="",$G$1279=0),"",J288/$G$1279*100)</f>
      </c>
      <c r="L288" s="12" t="str">
        <f>IF(C288-O288&gt;0,C288-O288,"")</f>
        <v/>
      </c>
      <c r="M288" s="14" t="str">
        <f>IF(L288="","",F288*L288)</f>
        <v/>
      </c>
      <c r="N288" s="15">
        <f>IF(OR(M288="",$G$1279=0),"",M288/$G$1279*100)</f>
      </c>
      <c r="O288" s="12">
        <v>0.24</v>
      </c>
      <c r="P288" s="14">
        <f>F288*O288</f>
        <v>298392.34319999994</v>
      </c>
      <c r="Q288" s="15">
        <f>IF($P$1279=0,0,P288/$P$1279*100)</f>
      </c>
      <c r="R288" s="10" t="str">
        <f>IF(O288=C288,"TETAP",IF(C288=0,"BARU",IF(O288=0,"HAPUS",IF(O288&gt;C288,"TAMBAH","KURANG"))))</f>
        <v>TETAP</v>
      </c>
    </row>
    <row r="289" spans="1:18" x14ac:dyDescent="0.25">
      <c r="A289" s="10" t="s">
        <v>172</v>
      </c>
      <c r="B289" s="18" t="s">
        <v>352</v>
      </c>
      <c r="C289" s="12">
        <v>9.6</v>
      </c>
      <c r="D289" s="12">
        <v>0</v>
      </c>
      <c r="E289" s="10" t="s">
        <v>159</v>
      </c>
      <c r="F289" s="14">
        <v>184387.03</v>
      </c>
      <c r="G289" s="14">
        <f>F289*C289</f>
        <v>1770115.488</v>
      </c>
      <c r="H289" s="15">
        <f>IF($G$1279=0,0,G289/$G$1279*100)</f>
      </c>
      <c r="I289" s="12" t="str">
        <f>IF(O289-C289&gt;0,O289-C289,"")</f>
        <v/>
      </c>
      <c r="J289" s="14" t="str">
        <f>IF(I289="","",F289*I289)</f>
        <v/>
      </c>
      <c r="K289" s="15">
        <f>IF(OR(J289="",$G$1279=0),"",J289/$G$1279*100)</f>
      </c>
      <c r="L289" s="12" t="str">
        <f>IF(C289-O289&gt;0,C289-O289,"")</f>
        <v/>
      </c>
      <c r="M289" s="14" t="str">
        <f>IF(L289="","",F289*L289)</f>
        <v/>
      </c>
      <c r="N289" s="15">
        <f>IF(OR(M289="",$G$1279=0),"",M289/$G$1279*100)</f>
      </c>
      <c r="O289" s="12">
        <v>9.6</v>
      </c>
      <c r="P289" s="14">
        <f>F289*O289</f>
        <v>1770115.488</v>
      </c>
      <c r="Q289" s="15">
        <f>IF($P$1279=0,0,P289/$P$1279*100)</f>
      </c>
      <c r="R289" s="10" t="str">
        <f>IF(O289=C289,"TETAP",IF(C289=0,"BARU",IF(O289=0,"HAPUS",IF(O289&gt;C289,"TAMBAH","KURANG"))))</f>
        <v>TETAP</v>
      </c>
    </row>
    <row r="290" spans="1:18" x14ac:dyDescent="0.25">
      <c r="A290" s="10" t="s">
        <v>255</v>
      </c>
      <c r="B290" s="18" t="s">
        <v>353</v>
      </c>
      <c r="C290" s="12">
        <v>136.123</v>
      </c>
      <c r="D290" s="12">
        <v>0</v>
      </c>
      <c r="E290" s="10" t="s">
        <v>169</v>
      </c>
      <c r="F290" s="14">
        <v>19252.39</v>
      </c>
      <c r="G290" s="14">
        <f>F290*C290</f>
        <v>2620693.0839699996</v>
      </c>
      <c r="H290" s="15">
        <f>IF($G$1279=0,0,G290/$G$1279*100)</f>
      </c>
      <c r="I290" s="12" t="str">
        <f>IF(O290-C290&gt;0,O290-C290,"")</f>
        <v/>
      </c>
      <c r="J290" s="14" t="str">
        <f>IF(I290="","",F290*I290)</f>
        <v/>
      </c>
      <c r="K290" s="15">
        <f>IF(OR(J290="",$G$1279=0),"",J290/$G$1279*100)</f>
      </c>
      <c r="L290" s="12" t="str">
        <f>IF(C290-O290&gt;0,C290-O290,"")</f>
        <v/>
      </c>
      <c r="M290" s="14" t="str">
        <f>IF(L290="","",F290*L290)</f>
        <v/>
      </c>
      <c r="N290" s="15">
        <f>IF(OR(M290="",$G$1279=0),"",M290/$G$1279*100)</f>
      </c>
      <c r="O290" s="12">
        <v>136.123</v>
      </c>
      <c r="P290" s="14">
        <f>F290*O290</f>
        <v>2620693.0839699996</v>
      </c>
      <c r="Q290" s="15">
        <f>IF($P$1279=0,0,P290/$P$1279*100)</f>
      </c>
      <c r="R290" s="10" t="str">
        <f>IF(O290=C290,"TETAP",IF(C290=0,"BARU",IF(O290=0,"HAPUS",IF(O290&gt;C290,"TAMBAH","KURANG"))))</f>
        <v>TETAP</v>
      </c>
    </row>
    <row r="291" spans="1:18" x14ac:dyDescent="0.25">
      <c r="A291" s="10" t="s">
        <v>256</v>
      </c>
      <c r="B291" s="18" t="s">
        <v>354</v>
      </c>
      <c r="C291" s="12">
        <v>1.536</v>
      </c>
      <c r="D291" s="12">
        <v>0</v>
      </c>
      <c r="E291" s="10" t="s">
        <v>159</v>
      </c>
      <c r="F291" s="14">
        <v>1399567.05</v>
      </c>
      <c r="G291" s="14">
        <f>F291*C291</f>
        <v>2149734.9888</v>
      </c>
      <c r="H291" s="15">
        <f>IF($G$1279=0,0,G291/$G$1279*100)</f>
      </c>
      <c r="I291" s="12" t="str">
        <f>IF(O291-C291&gt;0,O291-C291,"")</f>
        <v/>
      </c>
      <c r="J291" s="14" t="str">
        <f>IF(I291="","",F291*I291)</f>
        <v/>
      </c>
      <c r="K291" s="15">
        <f>IF(OR(J291="",$G$1279=0),"",J291/$G$1279*100)</f>
      </c>
      <c r="L291" s="12" t="str">
        <f>IF(C291-O291&gt;0,C291-O291,"")</f>
        <v/>
      </c>
      <c r="M291" s="14" t="str">
        <f>IF(L291="","",F291*L291)</f>
        <v/>
      </c>
      <c r="N291" s="15">
        <f>IF(OR(M291="",$G$1279=0),"",M291/$G$1279*100)</f>
      </c>
      <c r="O291" s="12">
        <v>1.536</v>
      </c>
      <c r="P291" s="14">
        <f>F291*O291</f>
        <v>2149734.9888</v>
      </c>
      <c r="Q291" s="15">
        <f>IF($P$1279=0,0,P291/$P$1279*100)</f>
      </c>
      <c r="R291" s="10" t="str">
        <f>IF(O291=C291,"TETAP",IF(C291=0,"BARU",IF(O291=0,"HAPUS",IF(O291&gt;C291,"TAMBAH","KURANG"))))</f>
        <v>TETAP</v>
      </c>
    </row>
    <row r="292" spans="1:18" x14ac:dyDescent="0.25">
      <c r="A292" s="10" t="s">
        <v>355</v>
      </c>
      <c r="B292" s="18" t="s">
        <v>194</v>
      </c>
      <c r="C292" s="12">
        <v>160</v>
      </c>
      <c r="D292" s="12">
        <v>0</v>
      </c>
      <c r="E292" s="10" t="s">
        <v>37</v>
      </c>
      <c r="F292" s="14">
        <v>28117.52</v>
      </c>
      <c r="G292" s="14">
        <f>F292*C292</f>
        <v>4498803.2</v>
      </c>
      <c r="H292" s="15">
        <f>IF($G$1279=0,0,G292/$G$1279*100)</f>
      </c>
      <c r="I292" s="12" t="str">
        <f>IF(O292-C292&gt;0,O292-C292,"")</f>
        <v/>
      </c>
      <c r="J292" s="14" t="str">
        <f>IF(I292="","",F292*I292)</f>
        <v/>
      </c>
      <c r="K292" s="15">
        <f>IF(OR(J292="",$G$1279=0),"",J292/$G$1279*100)</f>
      </c>
      <c r="L292" s="12" t="str">
        <f>IF(C292-O292&gt;0,C292-O292,"")</f>
        <v/>
      </c>
      <c r="M292" s="14" t="str">
        <f>IF(L292="","",F292*L292)</f>
        <v/>
      </c>
      <c r="N292" s="15">
        <f>IF(OR(M292="",$G$1279=0),"",M292/$G$1279*100)</f>
      </c>
      <c r="O292" s="12">
        <v>160</v>
      </c>
      <c r="P292" s="14">
        <f>F292*O292</f>
        <v>4498803.2</v>
      </c>
      <c r="Q292" s="15">
        <f>IF($P$1279=0,0,P292/$P$1279*100)</f>
      </c>
      <c r="R292" s="10" t="str">
        <f>IF(O292=C292,"TETAP",IF(C292=0,"BARU",IF(O292=0,"HAPUS",IF(O292&gt;C292,"TAMBAH","KURANG"))))</f>
        <v>TETAP</v>
      </c>
    </row>
    <row r="293" spans="1:18" x14ac:dyDescent="0.25">
      <c r="A293" s="5" t="s">
        <v>30</v>
      </c>
      <c r="B293" s="17" t="s">
        <v>356</v>
      </c>
      <c r="C293" s="7"/>
      <c r="D293" s="7"/>
      <c r="E293" s="5"/>
      <c r="F293" s="8"/>
      <c r="G293" s="8"/>
      <c r="H293" s="9"/>
      <c r="I293" s="7"/>
      <c r="J293" s="8"/>
      <c r="K293" s="9"/>
      <c r="L293" s="7"/>
      <c r="M293" s="8"/>
      <c r="N293" s="9"/>
      <c r="O293" s="7"/>
      <c r="P293" s="8"/>
      <c r="Q293" s="9"/>
      <c r="R293" s="5"/>
    </row>
    <row r="294" spans="1:18" x14ac:dyDescent="0.25">
      <c r="A294" s="10" t="s">
        <v>175</v>
      </c>
      <c r="B294" s="18" t="s">
        <v>357</v>
      </c>
      <c r="C294" s="12">
        <v>30.62</v>
      </c>
      <c r="D294" s="12">
        <v>0</v>
      </c>
      <c r="E294" s="10" t="s">
        <v>159</v>
      </c>
      <c r="F294" s="14">
        <v>48730.7</v>
      </c>
      <c r="G294" s="14">
        <f>F294*C294</f>
        <v>1492134.034</v>
      </c>
      <c r="H294" s="15">
        <f>IF($G$1279=0,0,G294/$G$1279*100)</f>
      </c>
      <c r="I294" s="12" t="str">
        <f>IF(O294-C294&gt;0,O294-C294,"")</f>
        <v/>
      </c>
      <c r="J294" s="14" t="str">
        <f>IF(I294="","",F294*I294)</f>
        <v/>
      </c>
      <c r="K294" s="15">
        <f>IF(OR(J294="",$G$1279=0),"",J294/$G$1279*100)</f>
      </c>
      <c r="L294" s="12" t="str">
        <f>IF(C294-O294&gt;0,C294-O294,"")</f>
        <v/>
      </c>
      <c r="M294" s="14" t="str">
        <f>IF(L294="","",F294*L294)</f>
        <v/>
      </c>
      <c r="N294" s="15">
        <f>IF(OR(M294="",$G$1279=0),"",M294/$G$1279*100)</f>
      </c>
      <c r="O294" s="12">
        <v>30.62</v>
      </c>
      <c r="P294" s="14">
        <f>F294*O294</f>
        <v>1492134.034</v>
      </c>
      <c r="Q294" s="15">
        <f>IF($P$1279=0,0,P294/$P$1279*100)</f>
      </c>
      <c r="R294" s="10" t="str">
        <f>IF(O294=C294,"TETAP",IF(C294=0,"BARU",IF(O294=0,"HAPUS",IF(O294&gt;C294,"TAMBAH","KURANG"))))</f>
        <v>TETAP</v>
      </c>
    </row>
    <row r="295" spans="1:18" x14ac:dyDescent="0.25">
      <c r="A295" s="10" t="s">
        <v>176</v>
      </c>
      <c r="B295" s="18" t="s">
        <v>358</v>
      </c>
      <c r="C295" s="12">
        <v>0</v>
      </c>
      <c r="D295" s="12">
        <v>0</v>
      </c>
      <c r="E295" s="10" t="s">
        <v>37</v>
      </c>
      <c r="F295" s="14">
        <v>28117.52</v>
      </c>
      <c r="G295" s="14">
        <f>F295*C295</f>
        <v>0</v>
      </c>
      <c r="H295" s="15">
        <f>IF($G$1279=0,0,G295/$G$1279*100)</f>
      </c>
      <c r="I295" s="12">
        <f>IF(O295-C295&gt;0,O295-C295,"")</f>
        <v>704</v>
      </c>
      <c r="J295" s="14">
        <f>IF(I295="","",F295*I295)</f>
        <v>19794734.080000002</v>
      </c>
      <c r="K295" s="15">
        <f>IF(OR(J295="",$G$1279=0),"",J295/$G$1279*100)</f>
      </c>
      <c r="L295" s="12" t="str">
        <f>IF(C295-O295&gt;0,C295-O295,"")</f>
        <v/>
      </c>
      <c r="M295" s="14" t="str">
        <f>IF(L295="","",F295*L295)</f>
        <v/>
      </c>
      <c r="N295" s="15">
        <f>IF(OR(M295="",$G$1279=0),"",M295/$G$1279*100)</f>
      </c>
      <c r="O295" s="12">
        <v>704</v>
      </c>
      <c r="P295" s="14">
        <f>F295*O295</f>
        <v>19794734.080000002</v>
      </c>
      <c r="Q295" s="15">
        <f>IF($P$1279=0,0,P295/$P$1279*100)</f>
      </c>
      <c r="R295" s="10" t="str">
        <f>IF(O295=C295,"TETAP",IF(C295=0,"BARU",IF(O295=0,"HAPUS",IF(O295&gt;C295,"TAMBAH","KURANG"))))</f>
        <v>BARU</v>
      </c>
    </row>
    <row r="296" spans="1:18" x14ac:dyDescent="0.25">
      <c r="A296" s="10" t="s">
        <v>178</v>
      </c>
      <c r="B296" s="18" t="s">
        <v>359</v>
      </c>
      <c r="C296" s="12">
        <v>2.46</v>
      </c>
      <c r="D296" s="12">
        <v>0</v>
      </c>
      <c r="E296" s="10" t="s">
        <v>159</v>
      </c>
      <c r="F296" s="14">
        <v>342654.98</v>
      </c>
      <c r="G296" s="14">
        <f>F296*C296</f>
        <v>842931.2507999999</v>
      </c>
      <c r="H296" s="15">
        <f>IF($G$1279=0,0,G296/$G$1279*100)</f>
      </c>
      <c r="I296" s="12" t="str">
        <f>IF(O296-C296&gt;0,O296-C296,"")</f>
        <v/>
      </c>
      <c r="J296" s="14" t="str">
        <f>IF(I296="","",F296*I296)</f>
        <v/>
      </c>
      <c r="K296" s="15">
        <f>IF(OR(J296="",$G$1279=0),"",J296/$G$1279*100)</f>
      </c>
      <c r="L296" s="12" t="str">
        <f>IF(C296-O296&gt;0,C296-O296,"")</f>
        <v/>
      </c>
      <c r="M296" s="14" t="str">
        <f>IF(L296="","",F296*L296)</f>
        <v/>
      </c>
      <c r="N296" s="15">
        <f>IF(OR(M296="",$G$1279=0),"",M296/$G$1279*100)</f>
      </c>
      <c r="O296" s="12">
        <v>2.46</v>
      </c>
      <c r="P296" s="14">
        <f>F296*O296</f>
        <v>842931.2507999999</v>
      </c>
      <c r="Q296" s="15">
        <f>IF($P$1279=0,0,P296/$P$1279*100)</f>
      </c>
      <c r="R296" s="10" t="str">
        <f>IF(O296=C296,"TETAP",IF(C296=0,"BARU",IF(O296=0,"HAPUS",IF(O296&gt;C296,"TAMBAH","KURANG"))))</f>
        <v>TETAP</v>
      </c>
    </row>
    <row r="297" spans="1:18" x14ac:dyDescent="0.25">
      <c r="A297" s="10" t="s">
        <v>180</v>
      </c>
      <c r="B297" s="18" t="s">
        <v>360</v>
      </c>
      <c r="C297" s="12">
        <v>19.36</v>
      </c>
      <c r="D297" s="12">
        <v>0</v>
      </c>
      <c r="E297" s="10" t="s">
        <v>159</v>
      </c>
      <c r="F297" s="14">
        <v>1204293.02</v>
      </c>
      <c r="G297" s="14">
        <f>F297*C297</f>
        <v>23315112.8672</v>
      </c>
      <c r="H297" s="15">
        <f>IF($G$1279=0,0,G297/$G$1279*100)</f>
      </c>
      <c r="I297" s="12" t="str">
        <f>IF(O297-C297&gt;0,O297-C297,"")</f>
        <v/>
      </c>
      <c r="J297" s="14" t="str">
        <f>IF(I297="","",F297*I297)</f>
        <v/>
      </c>
      <c r="K297" s="15">
        <f>IF(OR(J297="",$G$1279=0),"",J297/$G$1279*100)</f>
      </c>
      <c r="L297" s="12" t="str">
        <f>IF(C297-O297&gt;0,C297-O297,"")</f>
        <v/>
      </c>
      <c r="M297" s="14" t="str">
        <f>IF(L297="","",F297*L297)</f>
        <v/>
      </c>
      <c r="N297" s="15">
        <f>IF(OR(M297="",$G$1279=0),"",M297/$G$1279*100)</f>
      </c>
      <c r="O297" s="12">
        <v>19.36</v>
      </c>
      <c r="P297" s="14">
        <f>F297*O297</f>
        <v>23315112.8672</v>
      </c>
      <c r="Q297" s="15">
        <f>IF($P$1279=0,0,P297/$P$1279*100)</f>
      </c>
      <c r="R297" s="10" t="str">
        <f>IF(O297=C297,"TETAP",IF(C297=0,"BARU",IF(O297=0,"HAPUS",IF(O297&gt;C297,"TAMBAH","KURANG"))))</f>
        <v>TETAP</v>
      </c>
    </row>
    <row r="298" spans="1:18" x14ac:dyDescent="0.25">
      <c r="A298" s="10" t="s">
        <v>33</v>
      </c>
      <c r="B298" s="20" t="s">
        <v>361</v>
      </c>
      <c r="C298" s="12">
        <v>13.56</v>
      </c>
      <c r="D298" s="12">
        <v>0</v>
      </c>
      <c r="E298" s="10" t="s">
        <v>169</v>
      </c>
      <c r="F298" s="14">
        <v>19252.39</v>
      </c>
      <c r="G298" s="14">
        <f>F298*C298</f>
        <v>261062.40840000001</v>
      </c>
      <c r="H298" s="15">
        <f>IF($G$1279=0,0,G298/$G$1279*100)</f>
      </c>
      <c r="I298" s="12" t="str">
        <f>IF(O298-C298&gt;0,O298-C298,"")</f>
        <v/>
      </c>
      <c r="J298" s="14" t="str">
        <f>IF(I298="","",F298*I298)</f>
        <v/>
      </c>
      <c r="K298" s="15">
        <f>IF(OR(J298="",$G$1279=0),"",J298/$G$1279*100)</f>
      </c>
      <c r="L298" s="12" t="str">
        <f>IF(C298-O298&gt;0,C298-O298,"")</f>
        <v/>
      </c>
      <c r="M298" s="14" t="str">
        <f>IF(L298="","",F298*L298)</f>
        <v/>
      </c>
      <c r="N298" s="15">
        <f>IF(OR(M298="",$G$1279=0),"",M298/$G$1279*100)</f>
      </c>
      <c r="O298" s="12">
        <v>13.56</v>
      </c>
      <c r="P298" s="14">
        <f>F298*O298</f>
        <v>261062.40840000001</v>
      </c>
      <c r="Q298" s="15">
        <f>IF($P$1279=0,0,P298/$P$1279*100)</f>
      </c>
      <c r="R298" s="10" t="str">
        <f>IF(O298=C298,"TETAP",IF(C298=0,"BARU",IF(O298=0,"HAPUS",IF(O298&gt;C298,"TAMBAH","KURANG"))))</f>
        <v>TETAP</v>
      </c>
    </row>
    <row r="299" spans="1:18" x14ac:dyDescent="0.25">
      <c r="A299" s="5" t="s">
        <v>35</v>
      </c>
      <c r="B299" s="17" t="s">
        <v>362</v>
      </c>
      <c r="C299" s="7"/>
      <c r="D299" s="7"/>
      <c r="E299" s="5"/>
      <c r="F299" s="8"/>
      <c r="G299" s="8"/>
      <c r="H299" s="9"/>
      <c r="I299" s="7"/>
      <c r="J299" s="8"/>
      <c r="K299" s="9"/>
      <c r="L299" s="7"/>
      <c r="M299" s="8"/>
      <c r="N299" s="9"/>
      <c r="O299" s="7"/>
      <c r="P299" s="8"/>
      <c r="Q299" s="9"/>
      <c r="R299" s="5"/>
    </row>
    <row r="300" spans="1:18" x14ac:dyDescent="0.25">
      <c r="A300" s="10" t="s">
        <v>193</v>
      </c>
      <c r="B300" s="18" t="s">
        <v>187</v>
      </c>
      <c r="C300" s="12">
        <v>26.4</v>
      </c>
      <c r="D300" s="12">
        <v>0</v>
      </c>
      <c r="E300" s="10" t="s">
        <v>26</v>
      </c>
      <c r="F300" s="14">
        <v>218225.13</v>
      </c>
      <c r="G300" s="14">
        <f>F300*C300</f>
        <v>5761143.432</v>
      </c>
      <c r="H300" s="15">
        <f>IF($G$1279=0,0,G300/$G$1279*100)</f>
      </c>
      <c r="I300" s="12" t="str">
        <f>IF(O300-C300&gt;0,O300-C300,"")</f>
        <v/>
      </c>
      <c r="J300" s="14" t="str">
        <f>IF(I300="","",F300*I300)</f>
        <v/>
      </c>
      <c r="K300" s="15">
        <f>IF(OR(J300="",$G$1279=0),"",J300/$G$1279*100)</f>
      </c>
      <c r="L300" s="12" t="str">
        <f>IF(C300-O300&gt;0,C300-O300,"")</f>
        <v/>
      </c>
      <c r="M300" s="14" t="str">
        <f>IF(L300="","",F300*L300)</f>
        <v/>
      </c>
      <c r="N300" s="15">
        <f>IF(OR(M300="",$G$1279=0),"",M300/$G$1279*100)</f>
      </c>
      <c r="O300" s="12">
        <v>26.4</v>
      </c>
      <c r="P300" s="14">
        <f>F300*O300</f>
        <v>5761143.432</v>
      </c>
      <c r="Q300" s="15">
        <f>IF($P$1279=0,0,P300/$P$1279*100)</f>
      </c>
      <c r="R300" s="10" t="str">
        <f>IF(O300=C300,"TETAP",IF(C300=0,"BARU",IF(O300=0,"HAPUS",IF(O300&gt;C300,"TAMBAH","KURANG"))))</f>
        <v>TETAP</v>
      </c>
    </row>
    <row r="301" spans="1:18" x14ac:dyDescent="0.25">
      <c r="A301" s="10" t="s">
        <v>195</v>
      </c>
      <c r="B301" s="18" t="s">
        <v>363</v>
      </c>
      <c r="C301" s="12">
        <v>135.63</v>
      </c>
      <c r="D301" s="12">
        <v>0</v>
      </c>
      <c r="E301" s="10" t="s">
        <v>169</v>
      </c>
      <c r="F301" s="14">
        <v>19252.39</v>
      </c>
      <c r="G301" s="14">
        <f>F301*C301</f>
        <v>2611201.6557</v>
      </c>
      <c r="H301" s="15">
        <f>IF($G$1279=0,0,G301/$G$1279*100)</f>
      </c>
      <c r="I301" s="12" t="str">
        <f>IF(O301-C301&gt;0,O301-C301,"")</f>
        <v/>
      </c>
      <c r="J301" s="14" t="str">
        <f>IF(I301="","",F301*I301)</f>
        <v/>
      </c>
      <c r="K301" s="15">
        <f>IF(OR(J301="",$G$1279=0),"",J301/$G$1279*100)</f>
      </c>
      <c r="L301" s="12" t="str">
        <f>IF(C301-O301&gt;0,C301-O301,"")</f>
        <v/>
      </c>
      <c r="M301" s="14" t="str">
        <f>IF(L301="","",F301*L301)</f>
        <v/>
      </c>
      <c r="N301" s="15">
        <f>IF(OR(M301="",$G$1279=0),"",M301/$G$1279*100)</f>
      </c>
      <c r="O301" s="12">
        <v>135.63</v>
      </c>
      <c r="P301" s="14">
        <f>F301*O301</f>
        <v>2611201.6557</v>
      </c>
      <c r="Q301" s="15">
        <f>IF($P$1279=0,0,P301/$P$1279*100)</f>
      </c>
      <c r="R301" s="10" t="str">
        <f>IF(O301=C301,"TETAP",IF(C301=0,"BARU",IF(O301=0,"HAPUS",IF(O301&gt;C301,"TAMBAH","KURANG"))))</f>
        <v>TETAP</v>
      </c>
    </row>
    <row r="302" spans="1:18" x14ac:dyDescent="0.25">
      <c r="A302" s="10" t="s">
        <v>197</v>
      </c>
      <c r="B302" s="18" t="s">
        <v>364</v>
      </c>
      <c r="C302" s="12">
        <v>122.22</v>
      </c>
      <c r="D302" s="12">
        <v>0</v>
      </c>
      <c r="E302" s="10" t="s">
        <v>169</v>
      </c>
      <c r="F302" s="14">
        <v>19252.39</v>
      </c>
      <c r="G302" s="14">
        <f>F302*C302</f>
        <v>2353027.1058</v>
      </c>
      <c r="H302" s="15">
        <f>IF($G$1279=0,0,G302/$G$1279*100)</f>
      </c>
      <c r="I302" s="12" t="str">
        <f>IF(O302-C302&gt;0,O302-C302,"")</f>
        <v/>
      </c>
      <c r="J302" s="14" t="str">
        <f>IF(I302="","",F302*I302)</f>
        <v/>
      </c>
      <c r="K302" s="15">
        <f>IF(OR(J302="",$G$1279=0),"",J302/$G$1279*100)</f>
      </c>
      <c r="L302" s="12" t="str">
        <f>IF(C302-O302&gt;0,C302-O302,"")</f>
        <v/>
      </c>
      <c r="M302" s="14" t="str">
        <f>IF(L302="","",F302*L302)</f>
        <v/>
      </c>
      <c r="N302" s="15">
        <f>IF(OR(M302="",$G$1279=0),"",M302/$G$1279*100)</f>
      </c>
      <c r="O302" s="12">
        <v>122.22</v>
      </c>
      <c r="P302" s="14">
        <f>F302*O302</f>
        <v>2353027.1058</v>
      </c>
      <c r="Q302" s="15">
        <f>IF($P$1279=0,0,P302/$P$1279*100)</f>
      </c>
      <c r="R302" s="10" t="str">
        <f>IF(O302=C302,"TETAP",IF(C302=0,"BARU",IF(O302=0,"HAPUS",IF(O302&gt;C302,"TAMBAH","KURANG"))))</f>
        <v>TETAP</v>
      </c>
    </row>
    <row r="303" spans="1:18" x14ac:dyDescent="0.25">
      <c r="A303" s="10" t="s">
        <v>198</v>
      </c>
      <c r="B303" s="18" t="s">
        <v>354</v>
      </c>
      <c r="C303" s="12">
        <v>3.3</v>
      </c>
      <c r="D303" s="12">
        <v>0</v>
      </c>
      <c r="E303" s="10" t="s">
        <v>159</v>
      </c>
      <c r="F303" s="14">
        <v>1399567.05</v>
      </c>
      <c r="G303" s="14">
        <f>F303*C303</f>
        <v>4618571.265</v>
      </c>
      <c r="H303" s="15">
        <f>IF($G$1279=0,0,G303/$G$1279*100)</f>
      </c>
      <c r="I303" s="12" t="str">
        <f>IF(O303-C303&gt;0,O303-C303,"")</f>
        <v/>
      </c>
      <c r="J303" s="14" t="str">
        <f>IF(I303="","",F303*I303)</f>
        <v/>
      </c>
      <c r="K303" s="15">
        <f>IF(OR(J303="",$G$1279=0),"",J303/$G$1279*100)</f>
      </c>
      <c r="L303" s="12" t="str">
        <f>IF(C303-O303&gt;0,C303-O303,"")</f>
        <v/>
      </c>
      <c r="M303" s="14" t="str">
        <f>IF(L303="","",F303*L303)</f>
        <v/>
      </c>
      <c r="N303" s="15">
        <f>IF(OR(M303="",$G$1279=0),"",M303/$G$1279*100)</f>
      </c>
      <c r="O303" s="12">
        <v>3.3</v>
      </c>
      <c r="P303" s="14">
        <f>F303*O303</f>
        <v>4618571.265</v>
      </c>
      <c r="Q303" s="15">
        <f>IF($P$1279=0,0,P303/$P$1279*100)</f>
      </c>
      <c r="R303" s="10" t="str">
        <f>IF(O303=C303,"TETAP",IF(C303=0,"BARU",IF(O303=0,"HAPUS",IF(O303&gt;C303,"TAMBAH","KURANG"))))</f>
        <v>TETAP</v>
      </c>
    </row>
    <row r="304" spans="1:18" x14ac:dyDescent="0.25">
      <c r="A304" s="5" t="s">
        <v>38</v>
      </c>
      <c r="B304" s="17" t="s">
        <v>365</v>
      </c>
      <c r="C304" s="7"/>
      <c r="D304" s="7"/>
      <c r="E304" s="5"/>
      <c r="F304" s="8"/>
      <c r="G304" s="8"/>
      <c r="H304" s="9"/>
      <c r="I304" s="7"/>
      <c r="J304" s="8"/>
      <c r="K304" s="9"/>
      <c r="L304" s="7"/>
      <c r="M304" s="8"/>
      <c r="N304" s="9"/>
      <c r="O304" s="7"/>
      <c r="P304" s="8"/>
      <c r="Q304" s="9"/>
      <c r="R304" s="5"/>
    </row>
    <row r="305" spans="1:18" x14ac:dyDescent="0.25">
      <c r="A305" s="10" t="s">
        <v>200</v>
      </c>
      <c r="B305" s="18" t="s">
        <v>366</v>
      </c>
      <c r="C305" s="12">
        <v>10.05</v>
      </c>
      <c r="D305" s="12">
        <v>0</v>
      </c>
      <c r="E305" s="10" t="s">
        <v>159</v>
      </c>
      <c r="F305" s="14">
        <v>211003.3</v>
      </c>
      <c r="G305" s="14">
        <f>F305*C305</f>
        <v>2120583.165</v>
      </c>
      <c r="H305" s="15">
        <f>IF($G$1279=0,0,G305/$G$1279*100)</f>
      </c>
      <c r="I305" s="12" t="str">
        <f>IF(O305-C305&gt;0,O305-C305,"")</f>
        <v/>
      </c>
      <c r="J305" s="14" t="str">
        <f>IF(I305="","",F305*I305)</f>
        <v/>
      </c>
      <c r="K305" s="15">
        <f>IF(OR(J305="",$G$1279=0),"",J305/$G$1279*100)</f>
      </c>
      <c r="L305" s="12" t="str">
        <f>IF(C305-O305&gt;0,C305-O305,"")</f>
        <v/>
      </c>
      <c r="M305" s="14" t="str">
        <f>IF(L305="","",F305*L305)</f>
        <v/>
      </c>
      <c r="N305" s="15">
        <f>IF(OR(M305="",$G$1279=0),"",M305/$G$1279*100)</f>
      </c>
      <c r="O305" s="12">
        <v>10.05</v>
      </c>
      <c r="P305" s="14">
        <f>F305*O305</f>
        <v>2120583.165</v>
      </c>
      <c r="Q305" s="15">
        <f>IF($P$1279=0,0,P305/$P$1279*100)</f>
      </c>
      <c r="R305" s="10" t="str">
        <f>IF(O305=C305,"TETAP",IF(C305=0,"BARU",IF(O305=0,"HAPUS",IF(O305&gt;C305,"TAMBAH","KURANG"))))</f>
        <v>TETAP</v>
      </c>
    </row>
    <row r="306" spans="1:18" x14ac:dyDescent="0.25">
      <c r="A306" s="10" t="s">
        <v>202</v>
      </c>
      <c r="B306" s="18" t="s">
        <v>367</v>
      </c>
      <c r="C306" s="12">
        <v>10.05</v>
      </c>
      <c r="D306" s="12">
        <v>0</v>
      </c>
      <c r="E306" s="10" t="s">
        <v>159</v>
      </c>
      <c r="F306" s="14">
        <v>39994.39</v>
      </c>
      <c r="G306" s="14">
        <f>F306*C306</f>
        <v>401943.61950000003</v>
      </c>
      <c r="H306" s="15">
        <f>IF($G$1279=0,0,G306/$G$1279*100)</f>
      </c>
      <c r="I306" s="12" t="str">
        <f>IF(O306-C306&gt;0,O306-C306,"")</f>
        <v/>
      </c>
      <c r="J306" s="14" t="str">
        <f>IF(I306="","",F306*I306)</f>
        <v/>
      </c>
      <c r="K306" s="15">
        <f>IF(OR(J306="",$G$1279=0),"",J306/$G$1279*100)</f>
      </c>
      <c r="L306" s="12" t="str">
        <f>IF(C306-O306&gt;0,C306-O306,"")</f>
        <v/>
      </c>
      <c r="M306" s="14" t="str">
        <f>IF(L306="","",F306*L306)</f>
        <v/>
      </c>
      <c r="N306" s="15">
        <f>IF(OR(M306="",$G$1279=0),"",M306/$G$1279*100)</f>
      </c>
      <c r="O306" s="12">
        <v>10.05</v>
      </c>
      <c r="P306" s="14">
        <f>F306*O306</f>
        <v>401943.61950000003</v>
      </c>
      <c r="Q306" s="15">
        <f>IF($P$1279=0,0,P306/$P$1279*100)</f>
      </c>
      <c r="R306" s="10" t="str">
        <f>IF(O306=C306,"TETAP",IF(C306=0,"BARU",IF(O306=0,"HAPUS",IF(O306&gt;C306,"TAMBAH","KURANG"))))</f>
        <v>TETAP</v>
      </c>
    </row>
    <row r="307" spans="1:18" x14ac:dyDescent="0.25">
      <c r="A307" s="10" t="s">
        <v>203</v>
      </c>
      <c r="B307" s="18" t="s">
        <v>368</v>
      </c>
      <c r="C307" s="12">
        <v>2.79</v>
      </c>
      <c r="D307" s="12">
        <v>0</v>
      </c>
      <c r="E307" s="10" t="s">
        <v>159</v>
      </c>
      <c r="F307" s="14">
        <v>342654.98</v>
      </c>
      <c r="G307" s="14">
        <f>F307*C307</f>
        <v>956007.3942</v>
      </c>
      <c r="H307" s="15">
        <f>IF($G$1279=0,0,G307/$G$1279*100)</f>
      </c>
      <c r="I307" s="12" t="str">
        <f>IF(O307-C307&gt;0,O307-C307,"")</f>
        <v/>
      </c>
      <c r="J307" s="14" t="str">
        <f>IF(I307="","",F307*I307)</f>
        <v/>
      </c>
      <c r="K307" s="15">
        <f>IF(OR(J307="",$G$1279=0),"",J307/$G$1279*100)</f>
      </c>
      <c r="L307" s="12" t="str">
        <f>IF(C307-O307&gt;0,C307-O307,"")</f>
        <v/>
      </c>
      <c r="M307" s="14" t="str">
        <f>IF(L307="","",F307*L307)</f>
        <v/>
      </c>
      <c r="N307" s="15">
        <f>IF(OR(M307="",$G$1279=0),"",M307/$G$1279*100)</f>
      </c>
      <c r="O307" s="12">
        <v>2.79</v>
      </c>
      <c r="P307" s="14">
        <f>F307*O307</f>
        <v>956007.3942</v>
      </c>
      <c r="Q307" s="15">
        <f>IF($P$1279=0,0,P307/$P$1279*100)</f>
      </c>
      <c r="R307" s="10" t="str">
        <f>IF(O307=C307,"TETAP",IF(C307=0,"BARU",IF(O307=0,"HAPUS",IF(O307&gt;C307,"TAMBAH","KURANG"))))</f>
        <v>TETAP</v>
      </c>
    </row>
    <row r="308" spans="1:18" x14ac:dyDescent="0.25">
      <c r="A308" s="10" t="s">
        <v>204</v>
      </c>
      <c r="B308" s="18" t="s">
        <v>369</v>
      </c>
      <c r="C308" s="12">
        <v>3.91</v>
      </c>
      <c r="D308" s="12">
        <v>0</v>
      </c>
      <c r="E308" s="10" t="s">
        <v>159</v>
      </c>
      <c r="F308" s="14">
        <v>1243301.43</v>
      </c>
      <c r="G308" s="14">
        <f>F308*C308</f>
        <v>4861308.5912999995</v>
      </c>
      <c r="H308" s="15">
        <f>IF($G$1279=0,0,G308/$G$1279*100)</f>
      </c>
      <c r="I308" s="12" t="str">
        <f>IF(O308-C308&gt;0,O308-C308,"")</f>
        <v/>
      </c>
      <c r="J308" s="14" t="str">
        <f>IF(I308="","",F308*I308)</f>
        <v/>
      </c>
      <c r="K308" s="15">
        <f>IF(OR(J308="",$G$1279=0),"",J308/$G$1279*100)</f>
      </c>
      <c r="L308" s="12" t="str">
        <f>IF(C308-O308&gt;0,C308-O308,"")</f>
        <v/>
      </c>
      <c r="M308" s="14" t="str">
        <f>IF(L308="","",F308*L308)</f>
        <v/>
      </c>
      <c r="N308" s="15">
        <f>IF(OR(M308="",$G$1279=0),"",M308/$G$1279*100)</f>
      </c>
      <c r="O308" s="12">
        <v>3.91</v>
      </c>
      <c r="P308" s="14">
        <f>F308*O308</f>
        <v>4861308.5912999995</v>
      </c>
      <c r="Q308" s="15">
        <f>IF($P$1279=0,0,P308/$P$1279*100)</f>
      </c>
      <c r="R308" s="10" t="str">
        <f>IF(O308=C308,"TETAP",IF(C308=0,"BARU",IF(O308=0,"HAPUS",IF(O308&gt;C308,"TAMBAH","KURANG"))))</f>
        <v>TETAP</v>
      </c>
    </row>
    <row r="309" spans="1:18" x14ac:dyDescent="0.25">
      <c r="A309" s="10" t="s">
        <v>206</v>
      </c>
      <c r="B309" s="18" t="s">
        <v>182</v>
      </c>
      <c r="C309" s="12">
        <v>55.81</v>
      </c>
      <c r="D309" s="12">
        <v>0</v>
      </c>
      <c r="E309" s="10" t="s">
        <v>26</v>
      </c>
      <c r="F309" s="14">
        <v>44344.2</v>
      </c>
      <c r="G309" s="14">
        <f>F309*C309</f>
        <v>2474849.802</v>
      </c>
      <c r="H309" s="15">
        <f>IF($G$1279=0,0,G309/$G$1279*100)</f>
      </c>
      <c r="I309" s="12" t="str">
        <f>IF(O309-C309&gt;0,O309-C309,"")</f>
        <v/>
      </c>
      <c r="J309" s="14" t="str">
        <f>IF(I309="","",F309*I309)</f>
        <v/>
      </c>
      <c r="K309" s="15">
        <f>IF(OR(J309="",$G$1279=0),"",J309/$G$1279*100)</f>
      </c>
      <c r="L309" s="12" t="str">
        <f>IF(C309-O309&gt;0,C309-O309,"")</f>
        <v/>
      </c>
      <c r="M309" s="14" t="str">
        <f>IF(L309="","",F309*L309)</f>
        <v/>
      </c>
      <c r="N309" s="15">
        <f>IF(OR(M309="",$G$1279=0),"",M309/$G$1279*100)</f>
      </c>
      <c r="O309" s="12">
        <v>55.81</v>
      </c>
      <c r="P309" s="14">
        <f>F309*O309</f>
        <v>2474849.802</v>
      </c>
      <c r="Q309" s="15">
        <f>IF($P$1279=0,0,P309/$P$1279*100)</f>
      </c>
      <c r="R309" s="10" t="str">
        <f>IF(O309=C309,"TETAP",IF(C309=0,"BARU",IF(O309=0,"HAPUS",IF(O309&gt;C309,"TAMBAH","KURANG"))))</f>
        <v>TETAP</v>
      </c>
    </row>
    <row r="310" spans="1:18" x14ac:dyDescent="0.25">
      <c r="A310" s="5" t="s">
        <v>108</v>
      </c>
      <c r="B310" s="17" t="s">
        <v>370</v>
      </c>
      <c r="C310" s="7"/>
      <c r="D310" s="7"/>
      <c r="E310" s="5"/>
      <c r="F310" s="8"/>
      <c r="G310" s="8"/>
      <c r="H310" s="9"/>
      <c r="I310" s="7"/>
      <c r="J310" s="8"/>
      <c r="K310" s="9"/>
      <c r="L310" s="7"/>
      <c r="M310" s="8"/>
      <c r="N310" s="9"/>
      <c r="O310" s="7"/>
      <c r="P310" s="8"/>
      <c r="Q310" s="9"/>
      <c r="R310" s="5"/>
    </row>
    <row r="311" spans="1:18" x14ac:dyDescent="0.25">
      <c r="A311" s="10" t="s">
        <v>212</v>
      </c>
      <c r="B311" s="18" t="s">
        <v>371</v>
      </c>
      <c r="C311" s="12">
        <v>6.4</v>
      </c>
      <c r="D311" s="12">
        <v>0</v>
      </c>
      <c r="E311" s="10" t="s">
        <v>26</v>
      </c>
      <c r="F311" s="14">
        <v>229284.3</v>
      </c>
      <c r="G311" s="14">
        <f>F311*C311</f>
        <v>1467419.52</v>
      </c>
      <c r="H311" s="15">
        <f>IF($G$1279=0,0,G311/$G$1279*100)</f>
      </c>
      <c r="I311" s="12" t="str">
        <f>IF(O311-C311&gt;0,O311-C311,"")</f>
        <v/>
      </c>
      <c r="J311" s="14" t="str">
        <f>IF(I311="","",F311*I311)</f>
        <v/>
      </c>
      <c r="K311" s="15">
        <f>IF(OR(J311="",$G$1279=0),"",J311/$G$1279*100)</f>
      </c>
      <c r="L311" s="12" t="str">
        <f>IF(C311-O311&gt;0,C311-O311,"")</f>
        <v/>
      </c>
      <c r="M311" s="14" t="str">
        <f>IF(L311="","",F311*L311)</f>
        <v/>
      </c>
      <c r="N311" s="15">
        <f>IF(OR(M311="",$G$1279=0),"",M311/$G$1279*100)</f>
      </c>
      <c r="O311" s="12">
        <v>6.4</v>
      </c>
      <c r="P311" s="14">
        <f>F311*O311</f>
        <v>1467419.52</v>
      </c>
      <c r="Q311" s="15">
        <f>IF($P$1279=0,0,P311/$P$1279*100)</f>
      </c>
      <c r="R311" s="10" t="str">
        <f>IF(O311=C311,"TETAP",IF(C311=0,"BARU",IF(O311=0,"HAPUS",IF(O311&gt;C311,"TAMBAH","KURANG"))))</f>
        <v>TETAP</v>
      </c>
    </row>
    <row r="312" spans="1:18" x14ac:dyDescent="0.25">
      <c r="A312" s="10" t="s">
        <v>214</v>
      </c>
      <c r="B312" s="18" t="s">
        <v>372</v>
      </c>
      <c r="C312" s="12">
        <v>41.43</v>
      </c>
      <c r="D312" s="13">
        <v>4.66</v>
      </c>
      <c r="E312" s="10" t="s">
        <v>169</v>
      </c>
      <c r="F312" s="14">
        <v>19252.39</v>
      </c>
      <c r="G312" s="14">
        <f>F312*C312</f>
        <v>797626.5177</v>
      </c>
      <c r="H312" s="15">
        <f>IF($G$1279=0,0,G312/$G$1279*100)</f>
      </c>
      <c r="I312" s="12" t="str">
        <f>IF(O312-C312&gt;0,O312-C312,"")</f>
        <v/>
      </c>
      <c r="J312" s="14" t="str">
        <f>IF(I312="","",F312*I312)</f>
        <v/>
      </c>
      <c r="K312" s="15">
        <f>IF(OR(J312="",$G$1279=0),"",J312/$G$1279*100)</f>
      </c>
      <c r="L312" s="12" t="str">
        <f>IF(C312-O312&gt;0,C312-O312,"")</f>
        <v/>
      </c>
      <c r="M312" s="14" t="str">
        <f>IF(L312="","",F312*L312)</f>
        <v/>
      </c>
      <c r="N312" s="15">
        <f>IF(OR(M312="",$G$1279=0),"",M312/$G$1279*100)</f>
      </c>
      <c r="O312" s="12">
        <v>41.43</v>
      </c>
      <c r="P312" s="14">
        <f>F312*O312</f>
        <v>797626.5177</v>
      </c>
      <c r="Q312" s="15">
        <f>IF($P$1279=0,0,P312/$P$1279*100)</f>
      </c>
      <c r="R312" s="10" t="str">
        <f>IF(O312=C312,"TETAP",IF(C312=0,"BARU",IF(O312=0,"HAPUS",IF(O312&gt;C312,"TAMBAH","KURANG"))))</f>
        <v>TETAP</v>
      </c>
    </row>
    <row r="313" spans="1:18" x14ac:dyDescent="0.25">
      <c r="A313" s="10" t="s">
        <v>216</v>
      </c>
      <c r="B313" s="18" t="s">
        <v>373</v>
      </c>
      <c r="C313" s="12">
        <v>12.31</v>
      </c>
      <c r="D313" s="12">
        <v>0</v>
      </c>
      <c r="E313" s="10" t="s">
        <v>169</v>
      </c>
      <c r="F313" s="14">
        <v>19252.39</v>
      </c>
      <c r="G313" s="14">
        <f>F313*C313</f>
        <v>236996.9209</v>
      </c>
      <c r="H313" s="15">
        <f>IF($G$1279=0,0,G313/$G$1279*100)</f>
      </c>
      <c r="I313" s="12" t="str">
        <f>IF(O313-C313&gt;0,O313-C313,"")</f>
        <v/>
      </c>
      <c r="J313" s="14" t="str">
        <f>IF(I313="","",F313*I313)</f>
        <v/>
      </c>
      <c r="K313" s="15">
        <f>IF(OR(J313="",$G$1279=0),"",J313/$G$1279*100)</f>
      </c>
      <c r="L313" s="12" t="str">
        <f>IF(C313-O313&gt;0,C313-O313,"")</f>
        <v/>
      </c>
      <c r="M313" s="14" t="str">
        <f>IF(L313="","",F313*L313)</f>
        <v/>
      </c>
      <c r="N313" s="15">
        <f>IF(OR(M313="",$G$1279=0),"",M313/$G$1279*100)</f>
      </c>
      <c r="O313" s="12">
        <v>12.31</v>
      </c>
      <c r="P313" s="14">
        <f>F313*O313</f>
        <v>236996.9209</v>
      </c>
      <c r="Q313" s="15">
        <f>IF($P$1279=0,0,P313/$P$1279*100)</f>
      </c>
      <c r="R313" s="10" t="str">
        <f>IF(O313=C313,"TETAP",IF(C313=0,"BARU",IF(O313=0,"HAPUS",IF(O313&gt;C313,"TAMBAH","KURANG"))))</f>
        <v>TETAP</v>
      </c>
    </row>
    <row r="314" spans="1:18" x14ac:dyDescent="0.25">
      <c r="A314" s="10" t="s">
        <v>218</v>
      </c>
      <c r="B314" s="18" t="s">
        <v>374</v>
      </c>
      <c r="C314" s="12">
        <v>0.4</v>
      </c>
      <c r="D314" s="12">
        <v>0</v>
      </c>
      <c r="E314" s="10" t="s">
        <v>159</v>
      </c>
      <c r="F314" s="14">
        <v>1399567.05</v>
      </c>
      <c r="G314" s="14">
        <f>F314*C314</f>
        <v>559826.8200000001</v>
      </c>
      <c r="H314" s="15">
        <f>IF($G$1279=0,0,G314/$G$1279*100)</f>
      </c>
      <c r="I314" s="12" t="str">
        <f>IF(O314-C314&gt;0,O314-C314,"")</f>
        <v/>
      </c>
      <c r="J314" s="14" t="str">
        <f>IF(I314="","",F314*I314)</f>
        <v/>
      </c>
      <c r="K314" s="15">
        <f>IF(OR(J314="",$G$1279=0),"",J314/$G$1279*100)</f>
      </c>
      <c r="L314" s="12" t="str">
        <f>IF(C314-O314&gt;0,C314-O314,"")</f>
        <v/>
      </c>
      <c r="M314" s="14" t="str">
        <f>IF(L314="","",F314*L314)</f>
        <v/>
      </c>
      <c r="N314" s="15">
        <f>IF(OR(M314="",$G$1279=0),"",M314/$G$1279*100)</f>
      </c>
      <c r="O314" s="12">
        <v>0.4</v>
      </c>
      <c r="P314" s="14">
        <f>F314*O314</f>
        <v>559826.8200000001</v>
      </c>
      <c r="Q314" s="15">
        <f>IF($P$1279=0,0,P314/$P$1279*100)</f>
      </c>
      <c r="R314" s="10" t="str">
        <f>IF(O314=C314,"TETAP",IF(C314=0,"BARU",IF(O314=0,"HAPUS",IF(O314&gt;C314,"TAMBAH","KURANG"))))</f>
        <v>TETAP</v>
      </c>
    </row>
    <row r="315" spans="1:18" x14ac:dyDescent="0.25">
      <c r="A315" s="5" t="s">
        <v>110</v>
      </c>
      <c r="B315" s="17" t="s">
        <v>375</v>
      </c>
      <c r="C315" s="7"/>
      <c r="D315" s="7"/>
      <c r="E315" s="5"/>
      <c r="F315" s="8"/>
      <c r="G315" s="8"/>
      <c r="H315" s="9"/>
      <c r="I315" s="7"/>
      <c r="J315" s="8"/>
      <c r="K315" s="9"/>
      <c r="L315" s="7"/>
      <c r="M315" s="8"/>
      <c r="N315" s="9"/>
      <c r="O315" s="7"/>
      <c r="P315" s="8"/>
      <c r="Q315" s="9"/>
      <c r="R315" s="5"/>
    </row>
    <row r="316" spans="1:18" x14ac:dyDescent="0.25">
      <c r="A316" s="10" t="s">
        <v>275</v>
      </c>
      <c r="B316" s="18" t="s">
        <v>371</v>
      </c>
      <c r="C316" s="12">
        <v>28.64</v>
      </c>
      <c r="D316" s="12">
        <v>0</v>
      </c>
      <c r="E316" s="10" t="s">
        <v>26</v>
      </c>
      <c r="F316" s="14">
        <v>229284.3</v>
      </c>
      <c r="G316" s="14">
        <f>F316*C316</f>
        <v>6566702.352</v>
      </c>
      <c r="H316" s="15">
        <f>IF($G$1279=0,0,G316/$G$1279*100)</f>
      </c>
      <c r="I316" s="12" t="str">
        <f>IF(O316-C316&gt;0,O316-C316,"")</f>
        <v/>
      </c>
      <c r="J316" s="14" t="str">
        <f>IF(I316="","",F316*I316)</f>
        <v/>
      </c>
      <c r="K316" s="15">
        <f>IF(OR(J316="",$G$1279=0),"",J316/$G$1279*100)</f>
      </c>
      <c r="L316" s="12" t="str">
        <f>IF(C316-O316&gt;0,C316-O316,"")</f>
        <v/>
      </c>
      <c r="M316" s="14" t="str">
        <f>IF(L316="","",F316*L316)</f>
        <v/>
      </c>
      <c r="N316" s="15">
        <f>IF(OR(M316="",$G$1279=0),"",M316/$G$1279*100)</f>
      </c>
      <c r="O316" s="12">
        <v>28.64</v>
      </c>
      <c r="P316" s="14">
        <f>F316*O316</f>
        <v>6566702.352</v>
      </c>
      <c r="Q316" s="15">
        <f>IF($P$1279=0,0,P316/$P$1279*100)</f>
      </c>
      <c r="R316" s="10" t="str">
        <f>IF(O316=C316,"TETAP",IF(C316=0,"BARU",IF(O316=0,"HAPUS",IF(O316&gt;C316,"TAMBAH","KURANG"))))</f>
        <v>TETAP</v>
      </c>
    </row>
    <row r="317" spans="1:18" x14ac:dyDescent="0.25">
      <c r="A317" s="10" t="s">
        <v>276</v>
      </c>
      <c r="B317" s="18" t="s">
        <v>372</v>
      </c>
      <c r="C317" s="12">
        <v>151.12</v>
      </c>
      <c r="D317" s="12">
        <v>0</v>
      </c>
      <c r="E317" s="10" t="s">
        <v>169</v>
      </c>
      <c r="F317" s="14">
        <v>19252.39</v>
      </c>
      <c r="G317" s="14">
        <f>F317*C317</f>
        <v>2909421.1768</v>
      </c>
      <c r="H317" s="15">
        <f>IF($G$1279=0,0,G317/$G$1279*100)</f>
      </c>
      <c r="I317" s="12" t="str">
        <f>IF(O317-C317&gt;0,O317-C317,"")</f>
        <v/>
      </c>
      <c r="J317" s="14" t="str">
        <f>IF(I317="","",F317*I317)</f>
        <v/>
      </c>
      <c r="K317" s="15">
        <f>IF(OR(J317="",$G$1279=0),"",J317/$G$1279*100)</f>
      </c>
      <c r="L317" s="12" t="str">
        <f>IF(C317-O317&gt;0,C317-O317,"")</f>
        <v/>
      </c>
      <c r="M317" s="14" t="str">
        <f>IF(L317="","",F317*L317)</f>
        <v/>
      </c>
      <c r="N317" s="15">
        <f>IF(OR(M317="",$G$1279=0),"",M317/$G$1279*100)</f>
      </c>
      <c r="O317" s="12">
        <v>151.12</v>
      </c>
      <c r="P317" s="14">
        <f>F317*O317</f>
        <v>2909421.1768</v>
      </c>
      <c r="Q317" s="15">
        <f>IF($P$1279=0,0,P317/$P$1279*100)</f>
      </c>
      <c r="R317" s="10" t="str">
        <f>IF(O317=C317,"TETAP",IF(C317=0,"BARU",IF(O317=0,"HAPUS",IF(O317&gt;C317,"TAMBAH","KURANG"))))</f>
        <v>TETAP</v>
      </c>
    </row>
    <row r="318" spans="1:18" x14ac:dyDescent="0.25">
      <c r="A318" s="10" t="s">
        <v>278</v>
      </c>
      <c r="B318" s="18" t="s">
        <v>373</v>
      </c>
      <c r="C318" s="12">
        <v>56.63</v>
      </c>
      <c r="D318" s="12">
        <v>0</v>
      </c>
      <c r="E318" s="10" t="s">
        <v>169</v>
      </c>
      <c r="F318" s="14">
        <v>19252.39</v>
      </c>
      <c r="G318" s="14">
        <f>F318*C318</f>
        <v>1090262.8457</v>
      </c>
      <c r="H318" s="15">
        <f>IF($G$1279=0,0,G318/$G$1279*100)</f>
      </c>
      <c r="I318" s="12" t="str">
        <f>IF(O318-C318&gt;0,O318-C318,"")</f>
        <v/>
      </c>
      <c r="J318" s="14" t="str">
        <f>IF(I318="","",F318*I318)</f>
        <v/>
      </c>
      <c r="K318" s="15">
        <f>IF(OR(J318="",$G$1279=0),"",J318/$G$1279*100)</f>
      </c>
      <c r="L318" s="12" t="str">
        <f>IF(C318-O318&gt;0,C318-O318,"")</f>
        <v/>
      </c>
      <c r="M318" s="14" t="str">
        <f>IF(L318="","",F318*L318)</f>
        <v/>
      </c>
      <c r="N318" s="15">
        <f>IF(OR(M318="",$G$1279=0),"",M318/$G$1279*100)</f>
      </c>
      <c r="O318" s="12">
        <v>56.63</v>
      </c>
      <c r="P318" s="14">
        <f>F318*O318</f>
        <v>1090262.8457</v>
      </c>
      <c r="Q318" s="15">
        <f>IF($P$1279=0,0,P318/$P$1279*100)</f>
      </c>
      <c r="R318" s="10" t="str">
        <f>IF(O318=C318,"TETAP",IF(C318=0,"BARU",IF(O318=0,"HAPUS",IF(O318&gt;C318,"TAMBAH","KURANG"))))</f>
        <v>TETAP</v>
      </c>
    </row>
    <row r="319" spans="1:18" x14ac:dyDescent="0.25">
      <c r="A319" s="10" t="s">
        <v>279</v>
      </c>
      <c r="B319" s="18" t="s">
        <v>354</v>
      </c>
      <c r="C319" s="12">
        <v>1.79</v>
      </c>
      <c r="D319" s="12">
        <v>0</v>
      </c>
      <c r="E319" s="10" t="s">
        <v>159</v>
      </c>
      <c r="F319" s="14">
        <v>1399567.05</v>
      </c>
      <c r="G319" s="14">
        <f>F319*C319</f>
        <v>2505225.0195</v>
      </c>
      <c r="H319" s="15">
        <f>IF($G$1279=0,0,G319/$G$1279*100)</f>
      </c>
      <c r="I319" s="12" t="str">
        <f>IF(O319-C319&gt;0,O319-C319,"")</f>
        <v/>
      </c>
      <c r="J319" s="14" t="str">
        <f>IF(I319="","",F319*I319)</f>
        <v/>
      </c>
      <c r="K319" s="15">
        <f>IF(OR(J319="",$G$1279=0),"",J319/$G$1279*100)</f>
      </c>
      <c r="L319" s="12" t="str">
        <f>IF(C319-O319&gt;0,C319-O319,"")</f>
        <v/>
      </c>
      <c r="M319" s="14" t="str">
        <f>IF(L319="","",F319*L319)</f>
        <v/>
      </c>
      <c r="N319" s="15">
        <f>IF(OR(M319="",$G$1279=0),"",M319/$G$1279*100)</f>
      </c>
      <c r="O319" s="12">
        <v>1.79</v>
      </c>
      <c r="P319" s="14">
        <f>F319*O319</f>
        <v>2505225.0195</v>
      </c>
      <c r="Q319" s="15">
        <f>IF($P$1279=0,0,P319/$P$1279*100)</f>
      </c>
      <c r="R319" s="10" t="str">
        <f>IF(O319=C319,"TETAP",IF(C319=0,"BARU",IF(O319=0,"HAPUS",IF(O319&gt;C319,"TAMBAH","KURANG"))))</f>
        <v>TETAP</v>
      </c>
    </row>
    <row r="320" spans="1:18" x14ac:dyDescent="0.25">
      <c r="A320" s="5" t="s">
        <v>112</v>
      </c>
      <c r="B320" s="17" t="s">
        <v>376</v>
      </c>
      <c r="C320" s="7"/>
      <c r="D320" s="7"/>
      <c r="E320" s="5"/>
      <c r="F320" s="8"/>
      <c r="G320" s="8"/>
      <c r="H320" s="9"/>
      <c r="I320" s="7"/>
      <c r="J320" s="8"/>
      <c r="K320" s="9"/>
      <c r="L320" s="7"/>
      <c r="M320" s="8"/>
      <c r="N320" s="9"/>
      <c r="O320" s="7"/>
      <c r="P320" s="8"/>
      <c r="Q320" s="9"/>
      <c r="R320" s="5"/>
    </row>
    <row r="321" spans="1:18" x14ac:dyDescent="0.25">
      <c r="A321" s="10" t="s">
        <v>287</v>
      </c>
      <c r="B321" s="18" t="s">
        <v>377</v>
      </c>
      <c r="C321" s="12">
        <v>15.3</v>
      </c>
      <c r="D321" s="12">
        <v>0</v>
      </c>
      <c r="E321" s="10" t="s">
        <v>26</v>
      </c>
      <c r="F321" s="14">
        <v>236600.08</v>
      </c>
      <c r="G321" s="14">
        <f>F321*C321</f>
        <v>3619981.224</v>
      </c>
      <c r="H321" s="15">
        <f>IF($G$1279=0,0,G321/$G$1279*100)</f>
      </c>
      <c r="I321" s="12" t="str">
        <f>IF(O321-C321&gt;0,O321-C321,"")</f>
        <v/>
      </c>
      <c r="J321" s="14" t="str">
        <f>IF(I321="","",F321*I321)</f>
        <v/>
      </c>
      <c r="K321" s="15">
        <f>IF(OR(J321="",$G$1279=0),"",J321/$G$1279*100)</f>
      </c>
      <c r="L321" s="12" t="str">
        <f>IF(C321-O321&gt;0,C321-O321,"")</f>
        <v/>
      </c>
      <c r="M321" s="14" t="str">
        <f>IF(L321="","",F321*L321)</f>
        <v/>
      </c>
      <c r="N321" s="15">
        <f>IF(OR(M321="",$G$1279=0),"",M321/$G$1279*100)</f>
      </c>
      <c r="O321" s="12">
        <v>15.3</v>
      </c>
      <c r="P321" s="14">
        <f>F321*O321</f>
        <v>3619981.224</v>
      </c>
      <c r="Q321" s="15">
        <f>IF($P$1279=0,0,P321/$P$1279*100)</f>
      </c>
      <c r="R321" s="10" t="str">
        <f>IF(O321=C321,"TETAP",IF(C321=0,"BARU",IF(O321=0,"HAPUS",IF(O321&gt;C321,"TAMBAH","KURANG"))))</f>
        <v>TETAP</v>
      </c>
    </row>
    <row r="322" spans="1:18" x14ac:dyDescent="0.25">
      <c r="A322" s="10" t="s">
        <v>288</v>
      </c>
      <c r="B322" s="18" t="s">
        <v>363</v>
      </c>
      <c r="C322" s="12">
        <v>104.81</v>
      </c>
      <c r="D322" s="12">
        <v>0</v>
      </c>
      <c r="E322" s="10" t="s">
        <v>169</v>
      </c>
      <c r="F322" s="14">
        <v>19252.39</v>
      </c>
      <c r="G322" s="14">
        <f>F322*C322</f>
        <v>2017842.9959</v>
      </c>
      <c r="H322" s="15">
        <f>IF($G$1279=0,0,G322/$G$1279*100)</f>
      </c>
      <c r="I322" s="12" t="str">
        <f>IF(O322-C322&gt;0,O322-C322,"")</f>
        <v/>
      </c>
      <c r="J322" s="14" t="str">
        <f>IF(I322="","",F322*I322)</f>
        <v/>
      </c>
      <c r="K322" s="15">
        <f>IF(OR(J322="",$G$1279=0),"",J322/$G$1279*100)</f>
      </c>
      <c r="L322" s="12" t="str">
        <f>IF(C322-O322&gt;0,C322-O322,"")</f>
        <v/>
      </c>
      <c r="M322" s="14" t="str">
        <f>IF(L322="","",F322*L322)</f>
        <v/>
      </c>
      <c r="N322" s="15">
        <f>IF(OR(M322="",$G$1279=0),"",M322/$G$1279*100)</f>
      </c>
      <c r="O322" s="12">
        <v>104.81</v>
      </c>
      <c r="P322" s="14">
        <f>F322*O322</f>
        <v>2017842.9959</v>
      </c>
      <c r="Q322" s="15">
        <f>IF($P$1279=0,0,P322/$P$1279*100)</f>
      </c>
      <c r="R322" s="10" t="str">
        <f>IF(O322=C322,"TETAP",IF(C322=0,"BARU",IF(O322=0,"HAPUS",IF(O322&gt;C322,"TAMBAH","KURANG"))))</f>
        <v>TETAP</v>
      </c>
    </row>
    <row r="323" spans="1:18" x14ac:dyDescent="0.25">
      <c r="A323" s="10" t="s">
        <v>289</v>
      </c>
      <c r="B323" s="18" t="s">
        <v>364</v>
      </c>
      <c r="C323" s="12">
        <v>94.44</v>
      </c>
      <c r="D323" s="12">
        <v>0</v>
      </c>
      <c r="E323" s="10" t="s">
        <v>169</v>
      </c>
      <c r="F323" s="14">
        <v>19252.39</v>
      </c>
      <c r="G323" s="14">
        <f>F323*C323</f>
        <v>1818195.7115999998</v>
      </c>
      <c r="H323" s="15">
        <f>IF($G$1279=0,0,G323/$G$1279*100)</f>
      </c>
      <c r="I323" s="12" t="str">
        <f>IF(O323-C323&gt;0,O323-C323,"")</f>
        <v/>
      </c>
      <c r="J323" s="14" t="str">
        <f>IF(I323="","",F323*I323)</f>
        <v/>
      </c>
      <c r="K323" s="15">
        <f>IF(OR(J323="",$G$1279=0),"",J323/$G$1279*100)</f>
      </c>
      <c r="L323" s="12" t="str">
        <f>IF(C323-O323&gt;0,C323-O323,"")</f>
        <v/>
      </c>
      <c r="M323" s="14" t="str">
        <f>IF(L323="","",F323*L323)</f>
        <v/>
      </c>
      <c r="N323" s="15">
        <f>IF(OR(M323="",$G$1279=0),"",M323/$G$1279*100)</f>
      </c>
      <c r="O323" s="12">
        <v>94.44</v>
      </c>
      <c r="P323" s="14">
        <f>F323*O323</f>
        <v>1818195.7115999998</v>
      </c>
      <c r="Q323" s="15">
        <f>IF($P$1279=0,0,P323/$P$1279*100)</f>
      </c>
      <c r="R323" s="10" t="str">
        <f>IF(O323=C323,"TETAP",IF(C323=0,"BARU",IF(O323=0,"HAPUS",IF(O323&gt;C323,"TAMBAH","KURANG"))))</f>
        <v>TETAP</v>
      </c>
    </row>
    <row r="324" spans="1:18" x14ac:dyDescent="0.25">
      <c r="A324" s="10" t="s">
        <v>290</v>
      </c>
      <c r="B324" s="18" t="s">
        <v>354</v>
      </c>
      <c r="C324" s="12">
        <v>2.38</v>
      </c>
      <c r="D324" s="12">
        <v>0</v>
      </c>
      <c r="E324" s="10" t="s">
        <v>159</v>
      </c>
      <c r="F324" s="14">
        <v>1399567.05</v>
      </c>
      <c r="G324" s="14">
        <f>F324*C324</f>
        <v>3330969.579</v>
      </c>
      <c r="H324" s="15">
        <f>IF($G$1279=0,0,G324/$G$1279*100)</f>
      </c>
      <c r="I324" s="12" t="str">
        <f>IF(O324-C324&gt;0,O324-C324,"")</f>
        <v/>
      </c>
      <c r="J324" s="14" t="str">
        <f>IF(I324="","",F324*I324)</f>
        <v/>
      </c>
      <c r="K324" s="15">
        <f>IF(OR(J324="",$G$1279=0),"",J324/$G$1279*100)</f>
      </c>
      <c r="L324" s="12" t="str">
        <f>IF(C324-O324&gt;0,C324-O324,"")</f>
        <v/>
      </c>
      <c r="M324" s="14" t="str">
        <f>IF(L324="","",F324*L324)</f>
        <v/>
      </c>
      <c r="N324" s="15">
        <f>IF(OR(M324="",$G$1279=0),"",M324/$G$1279*100)</f>
      </c>
      <c r="O324" s="12">
        <v>2.38</v>
      </c>
      <c r="P324" s="14">
        <f>F324*O324</f>
        <v>3330969.579</v>
      </c>
      <c r="Q324" s="15">
        <f>IF($P$1279=0,0,P324/$P$1279*100)</f>
      </c>
      <c r="R324" s="10" t="str">
        <f>IF(O324=C324,"TETAP",IF(C324=0,"BARU",IF(O324=0,"HAPUS",IF(O324&gt;C324,"TAMBAH","KURANG"))))</f>
        <v>TETAP</v>
      </c>
    </row>
    <row r="325" spans="1:18" x14ac:dyDescent="0.25">
      <c r="A325" s="5" t="s">
        <v>115</v>
      </c>
      <c r="B325" s="17" t="s">
        <v>378</v>
      </c>
      <c r="C325" s="7"/>
      <c r="D325" s="7"/>
      <c r="E325" s="5"/>
      <c r="F325" s="8"/>
      <c r="G325" s="8"/>
      <c r="H325" s="9"/>
      <c r="I325" s="7"/>
      <c r="J325" s="8"/>
      <c r="K325" s="9"/>
      <c r="L325" s="7"/>
      <c r="M325" s="8"/>
      <c r="N325" s="9"/>
      <c r="O325" s="7"/>
      <c r="P325" s="8"/>
      <c r="Q325" s="9"/>
      <c r="R325" s="5"/>
    </row>
    <row r="326" spans="1:18" x14ac:dyDescent="0.25">
      <c r="A326" s="10" t="s">
        <v>117</v>
      </c>
      <c r="B326" s="18" t="s">
        <v>377</v>
      </c>
      <c r="C326" s="12">
        <v>9</v>
      </c>
      <c r="D326" s="12">
        <v>0</v>
      </c>
      <c r="E326" s="10" t="s">
        <v>26</v>
      </c>
      <c r="F326" s="14">
        <v>236600.08</v>
      </c>
      <c r="G326" s="14">
        <f>F326*C326</f>
        <v>2129400.7199999997</v>
      </c>
      <c r="H326" s="15">
        <f>IF($G$1279=0,0,G326/$G$1279*100)</f>
      </c>
      <c r="I326" s="12" t="str">
        <f>IF(O326-C326&gt;0,O326-C326,"")</f>
        <v/>
      </c>
      <c r="J326" s="14" t="str">
        <f>IF(I326="","",F326*I326)</f>
        <v/>
      </c>
      <c r="K326" s="15">
        <f>IF(OR(J326="",$G$1279=0),"",J326/$G$1279*100)</f>
      </c>
      <c r="L326" s="12" t="str">
        <f>IF(C326-O326&gt;0,C326-O326,"")</f>
        <v/>
      </c>
      <c r="M326" s="14" t="str">
        <f>IF(L326="","",F326*L326)</f>
        <v/>
      </c>
      <c r="N326" s="15">
        <f>IF(OR(M326="",$G$1279=0),"",M326/$G$1279*100)</f>
      </c>
      <c r="O326" s="12">
        <v>9</v>
      </c>
      <c r="P326" s="14">
        <f>F326*O326</f>
        <v>2129400.7199999997</v>
      </c>
      <c r="Q326" s="15">
        <f>IF($P$1279=0,0,P326/$P$1279*100)</f>
      </c>
      <c r="R326" s="10" t="str">
        <f>IF(O326=C326,"TETAP",IF(C326=0,"BARU",IF(O326=0,"HAPUS",IF(O326&gt;C326,"TAMBAH","KURANG"))))</f>
        <v>TETAP</v>
      </c>
    </row>
    <row r="327" spans="1:18" x14ac:dyDescent="0.25">
      <c r="A327" s="10" t="s">
        <v>120</v>
      </c>
      <c r="B327" s="18" t="s">
        <v>363</v>
      </c>
      <c r="C327" s="12">
        <v>30.83</v>
      </c>
      <c r="D327" s="12">
        <v>0</v>
      </c>
      <c r="E327" s="10" t="s">
        <v>169</v>
      </c>
      <c r="F327" s="14">
        <v>19252.39</v>
      </c>
      <c r="G327" s="14">
        <f>F327*C327</f>
        <v>593551.1836999999</v>
      </c>
      <c r="H327" s="15">
        <f>IF($G$1279=0,0,G327/$G$1279*100)</f>
      </c>
      <c r="I327" s="12" t="str">
        <f>IF(O327-C327&gt;0,O327-C327,"")</f>
        <v/>
      </c>
      <c r="J327" s="14" t="str">
        <f>IF(I327="","",F327*I327)</f>
        <v/>
      </c>
      <c r="K327" s="15">
        <f>IF(OR(J327="",$G$1279=0),"",J327/$G$1279*100)</f>
      </c>
      <c r="L327" s="12" t="str">
        <f>IF(C327-O327&gt;0,C327-O327,"")</f>
        <v/>
      </c>
      <c r="M327" s="14" t="str">
        <f>IF(L327="","",F327*L327)</f>
        <v/>
      </c>
      <c r="N327" s="15">
        <f>IF(OR(M327="",$G$1279=0),"",M327/$G$1279*100)</f>
      </c>
      <c r="O327" s="12">
        <v>30.83</v>
      </c>
      <c r="P327" s="14">
        <f>F327*O327</f>
        <v>593551.1836999999</v>
      </c>
      <c r="Q327" s="15">
        <f>IF($P$1279=0,0,P327/$P$1279*100)</f>
      </c>
      <c r="R327" s="10" t="str">
        <f>IF(O327=C327,"TETAP",IF(C327=0,"BARU",IF(O327=0,"HAPUS",IF(O327&gt;C327,"TAMBAH","KURANG"))))</f>
        <v>TETAP</v>
      </c>
    </row>
    <row r="328" spans="1:18" x14ac:dyDescent="0.25">
      <c r="A328" s="10" t="s">
        <v>122</v>
      </c>
      <c r="B328" s="18" t="s">
        <v>364</v>
      </c>
      <c r="C328" s="12">
        <v>27.777</v>
      </c>
      <c r="D328" s="12">
        <v>0</v>
      </c>
      <c r="E328" s="10" t="s">
        <v>169</v>
      </c>
      <c r="F328" s="14">
        <v>19252.39</v>
      </c>
      <c r="G328" s="14">
        <f>F328*C328</f>
        <v>534773.63703</v>
      </c>
      <c r="H328" s="15">
        <f>IF($G$1279=0,0,G328/$G$1279*100)</f>
      </c>
      <c r="I328" s="12" t="str">
        <f>IF(O328-C328&gt;0,O328-C328,"")</f>
        <v/>
      </c>
      <c r="J328" s="14" t="str">
        <f>IF(I328="","",F328*I328)</f>
        <v/>
      </c>
      <c r="K328" s="15">
        <f>IF(OR(J328="",$G$1279=0),"",J328/$G$1279*100)</f>
      </c>
      <c r="L328" s="12" t="str">
        <f>IF(C328-O328&gt;0,C328-O328,"")</f>
        <v/>
      </c>
      <c r="M328" s="14" t="str">
        <f>IF(L328="","",F328*L328)</f>
        <v/>
      </c>
      <c r="N328" s="15">
        <f>IF(OR(M328="",$G$1279=0),"",M328/$G$1279*100)</f>
      </c>
      <c r="O328" s="12">
        <v>27.777</v>
      </c>
      <c r="P328" s="14">
        <f>F328*O328</f>
        <v>534773.63703</v>
      </c>
      <c r="Q328" s="15">
        <f>IF($P$1279=0,0,P328/$P$1279*100)</f>
      </c>
      <c r="R328" s="10" t="str">
        <f>IF(O328=C328,"TETAP",IF(C328=0,"BARU",IF(O328=0,"HAPUS",IF(O328&gt;C328,"TAMBAH","KURANG"))))</f>
        <v>TETAP</v>
      </c>
    </row>
    <row r="329" spans="1:18" x14ac:dyDescent="0.25">
      <c r="A329" s="10" t="s">
        <v>124</v>
      </c>
      <c r="B329" s="18" t="s">
        <v>354</v>
      </c>
      <c r="C329" s="12">
        <v>0.7</v>
      </c>
      <c r="D329" s="12">
        <v>0</v>
      </c>
      <c r="E329" s="10" t="s">
        <v>159</v>
      </c>
      <c r="F329" s="14">
        <v>1399567.05</v>
      </c>
      <c r="G329" s="14">
        <f>F329*C329</f>
        <v>979696.9349999999</v>
      </c>
      <c r="H329" s="15">
        <f>IF($G$1279=0,0,G329/$G$1279*100)</f>
      </c>
      <c r="I329" s="12" t="str">
        <f>IF(O329-C329&gt;0,O329-C329,"")</f>
        <v/>
      </c>
      <c r="J329" s="14" t="str">
        <f>IF(I329="","",F329*I329)</f>
        <v/>
      </c>
      <c r="K329" s="15">
        <f>IF(OR(J329="",$G$1279=0),"",J329/$G$1279*100)</f>
      </c>
      <c r="L329" s="12" t="str">
        <f>IF(C329-O329&gt;0,C329-O329,"")</f>
        <v/>
      </c>
      <c r="M329" s="14" t="str">
        <f>IF(L329="","",F329*L329)</f>
        <v/>
      </c>
      <c r="N329" s="15">
        <f>IF(OR(M329="",$G$1279=0),"",M329/$G$1279*100)</f>
      </c>
      <c r="O329" s="12">
        <v>0.7</v>
      </c>
      <c r="P329" s="14">
        <f>F329*O329</f>
        <v>979696.9349999999</v>
      </c>
      <c r="Q329" s="15">
        <f>IF($P$1279=0,0,P329/$P$1279*100)</f>
      </c>
      <c r="R329" s="10" t="str">
        <f>IF(O329=C329,"TETAP",IF(C329=0,"BARU",IF(O329=0,"HAPUS",IF(O329&gt;C329,"TAMBAH","KURANG"))))</f>
        <v>TETAP</v>
      </c>
    </row>
    <row r="330" spans="1:18" x14ac:dyDescent="0.25">
      <c r="A330" s="5" t="s">
        <v>132</v>
      </c>
      <c r="B330" s="17" t="s">
        <v>379</v>
      </c>
      <c r="C330" s="7"/>
      <c r="D330" s="7"/>
      <c r="E330" s="5"/>
      <c r="F330" s="8"/>
      <c r="G330" s="8"/>
      <c r="H330" s="9"/>
      <c r="I330" s="7"/>
      <c r="J330" s="8"/>
      <c r="K330" s="9"/>
      <c r="L330" s="7"/>
      <c r="M330" s="8"/>
      <c r="N330" s="9"/>
      <c r="O330" s="7"/>
      <c r="P330" s="8"/>
      <c r="Q330" s="9"/>
      <c r="R330" s="5"/>
    </row>
    <row r="331" spans="1:18" x14ac:dyDescent="0.25">
      <c r="A331" s="10" t="s">
        <v>134</v>
      </c>
      <c r="B331" s="18" t="s">
        <v>377</v>
      </c>
      <c r="C331" s="12">
        <v>1.8</v>
      </c>
      <c r="D331" s="12">
        <v>0</v>
      </c>
      <c r="E331" s="10" t="s">
        <v>26</v>
      </c>
      <c r="F331" s="14">
        <v>236600.08</v>
      </c>
      <c r="G331" s="14">
        <f>F331*C331</f>
        <v>425880.144</v>
      </c>
      <c r="H331" s="15">
        <f>IF($G$1279=0,0,G331/$G$1279*100)</f>
      </c>
      <c r="I331" s="12" t="str">
        <f>IF(O331-C331&gt;0,O331-C331,"")</f>
        <v/>
      </c>
      <c r="J331" s="14" t="str">
        <f>IF(I331="","",F331*I331)</f>
        <v/>
      </c>
      <c r="K331" s="15">
        <f>IF(OR(J331="",$G$1279=0),"",J331/$G$1279*100)</f>
      </c>
      <c r="L331" s="12" t="str">
        <f>IF(C331-O331&gt;0,C331-O331,"")</f>
        <v/>
      </c>
      <c r="M331" s="14" t="str">
        <f>IF(L331="","",F331*L331)</f>
        <v/>
      </c>
      <c r="N331" s="15">
        <f>IF(OR(M331="",$G$1279=0),"",M331/$G$1279*100)</f>
      </c>
      <c r="O331" s="12">
        <v>1.8</v>
      </c>
      <c r="P331" s="14">
        <f>F331*O331</f>
        <v>425880.144</v>
      </c>
      <c r="Q331" s="15">
        <f>IF($P$1279=0,0,P331/$P$1279*100)</f>
      </c>
      <c r="R331" s="10" t="str">
        <f>IF(O331=C331,"TETAP",IF(C331=0,"BARU",IF(O331=0,"HAPUS",IF(O331&gt;C331,"TAMBAH","KURANG"))))</f>
        <v>TETAP</v>
      </c>
    </row>
    <row r="332" spans="1:18" x14ac:dyDescent="0.25">
      <c r="A332" s="10" t="s">
        <v>136</v>
      </c>
      <c r="B332" s="18" t="s">
        <v>380</v>
      </c>
      <c r="C332" s="12">
        <v>9.86</v>
      </c>
      <c r="D332" s="12">
        <v>0</v>
      </c>
      <c r="E332" s="10" t="s">
        <v>169</v>
      </c>
      <c r="F332" s="14">
        <v>19252.39</v>
      </c>
      <c r="G332" s="14">
        <f>F332*C332</f>
        <v>189828.5654</v>
      </c>
      <c r="H332" s="15">
        <f>IF($G$1279=0,0,G332/$G$1279*100)</f>
      </c>
      <c r="I332" s="12" t="str">
        <f>IF(O332-C332&gt;0,O332-C332,"")</f>
        <v/>
      </c>
      <c r="J332" s="14" t="str">
        <f>IF(I332="","",F332*I332)</f>
        <v/>
      </c>
      <c r="K332" s="15">
        <f>IF(OR(J332="",$G$1279=0),"",J332/$G$1279*100)</f>
      </c>
      <c r="L332" s="12" t="str">
        <f>IF(C332-O332&gt;0,C332-O332,"")</f>
        <v/>
      </c>
      <c r="M332" s="14" t="str">
        <f>IF(L332="","",F332*L332)</f>
        <v/>
      </c>
      <c r="N332" s="15">
        <f>IF(OR(M332="",$G$1279=0),"",M332/$G$1279*100)</f>
      </c>
      <c r="O332" s="12">
        <v>9.86</v>
      </c>
      <c r="P332" s="14">
        <f>F332*O332</f>
        <v>189828.5654</v>
      </c>
      <c r="Q332" s="15">
        <f>IF($P$1279=0,0,P332/$P$1279*100)</f>
      </c>
      <c r="R332" s="10" t="str">
        <f>IF(O332=C332,"TETAP",IF(C332=0,"BARU",IF(O332=0,"HAPUS",IF(O332&gt;C332,"TAMBAH","KURANG"))))</f>
        <v>TETAP</v>
      </c>
    </row>
    <row r="333" spans="1:18" x14ac:dyDescent="0.25">
      <c r="A333" s="10" t="s">
        <v>381</v>
      </c>
      <c r="B333" s="18" t="s">
        <v>364</v>
      </c>
      <c r="C333" s="12">
        <v>6.31</v>
      </c>
      <c r="D333" s="12">
        <v>0</v>
      </c>
      <c r="E333" s="10" t="s">
        <v>169</v>
      </c>
      <c r="F333" s="14">
        <v>19252.39</v>
      </c>
      <c r="G333" s="14">
        <f>F333*C333</f>
        <v>121482.58089999999</v>
      </c>
      <c r="H333" s="15">
        <f>IF($G$1279=0,0,G333/$G$1279*100)</f>
      </c>
      <c r="I333" s="12" t="str">
        <f>IF(O333-C333&gt;0,O333-C333,"")</f>
        <v/>
      </c>
      <c r="J333" s="14" t="str">
        <f>IF(I333="","",F333*I333)</f>
        <v/>
      </c>
      <c r="K333" s="15">
        <f>IF(OR(J333="",$G$1279=0),"",J333/$G$1279*100)</f>
      </c>
      <c r="L333" s="12" t="str">
        <f>IF(C333-O333&gt;0,C333-O333,"")</f>
        <v/>
      </c>
      <c r="M333" s="14" t="str">
        <f>IF(L333="","",F333*L333)</f>
        <v/>
      </c>
      <c r="N333" s="15">
        <f>IF(OR(M333="",$G$1279=0),"",M333/$G$1279*100)</f>
      </c>
      <c r="O333" s="12">
        <v>6.31</v>
      </c>
      <c r="P333" s="14">
        <f>F333*O333</f>
        <v>121482.58089999999</v>
      </c>
      <c r="Q333" s="15">
        <f>IF($P$1279=0,0,P333/$P$1279*100)</f>
      </c>
      <c r="R333" s="10" t="str">
        <f>IF(O333=C333,"TETAP",IF(C333=0,"BARU",IF(O333=0,"HAPUS",IF(O333&gt;C333,"TAMBAH","KURANG"))))</f>
        <v>TETAP</v>
      </c>
    </row>
    <row r="334" spans="1:18" x14ac:dyDescent="0.25">
      <c r="A334" s="10" t="s">
        <v>382</v>
      </c>
      <c r="B334" s="18" t="s">
        <v>354</v>
      </c>
      <c r="C334" s="12">
        <v>0.09</v>
      </c>
      <c r="D334" s="12">
        <v>0</v>
      </c>
      <c r="E334" s="10" t="s">
        <v>159</v>
      </c>
      <c r="F334" s="14">
        <v>1399567.05</v>
      </c>
      <c r="G334" s="14">
        <f>F334*C334</f>
        <v>125961.0345</v>
      </c>
      <c r="H334" s="15">
        <f>IF($G$1279=0,0,G334/$G$1279*100)</f>
      </c>
      <c r="I334" s="12" t="str">
        <f>IF(O334-C334&gt;0,O334-C334,"")</f>
        <v/>
      </c>
      <c r="J334" s="14" t="str">
        <f>IF(I334="","",F334*I334)</f>
        <v/>
      </c>
      <c r="K334" s="15">
        <f>IF(OR(J334="",$G$1279=0),"",J334/$G$1279*100)</f>
      </c>
      <c r="L334" s="12" t="str">
        <f>IF(C334-O334&gt;0,C334-O334,"")</f>
        <v/>
      </c>
      <c r="M334" s="14" t="str">
        <f>IF(L334="","",F334*L334)</f>
        <v/>
      </c>
      <c r="N334" s="15">
        <f>IF(OR(M334="",$G$1279=0),"",M334/$G$1279*100)</f>
      </c>
      <c r="O334" s="12">
        <v>0.09</v>
      </c>
      <c r="P334" s="14">
        <f>F334*O334</f>
        <v>125961.0345</v>
      </c>
      <c r="Q334" s="15">
        <f>IF($P$1279=0,0,P334/$P$1279*100)</f>
      </c>
      <c r="R334" s="10" t="str">
        <f>IF(O334=C334,"TETAP",IF(C334=0,"BARU",IF(O334=0,"HAPUS",IF(O334&gt;C334,"TAMBAH","KURANG"))))</f>
        <v>TETAP</v>
      </c>
    </row>
    <row r="335" spans="1:18" x14ac:dyDescent="0.25">
      <c r="A335" s="5" t="s">
        <v>138</v>
      </c>
      <c r="B335" s="17" t="s">
        <v>383</v>
      </c>
      <c r="C335" s="7"/>
      <c r="D335" s="7"/>
      <c r="E335" s="5"/>
      <c r="F335" s="8"/>
      <c r="G335" s="8"/>
      <c r="H335" s="9"/>
      <c r="I335" s="7"/>
      <c r="J335" s="8"/>
      <c r="K335" s="9"/>
      <c r="L335" s="7"/>
      <c r="M335" s="8"/>
      <c r="N335" s="9"/>
      <c r="O335" s="7"/>
      <c r="P335" s="8"/>
      <c r="Q335" s="9"/>
      <c r="R335" s="5"/>
    </row>
    <row r="336" spans="1:18" x14ac:dyDescent="0.25">
      <c r="A336" s="5" t="s">
        <v>384</v>
      </c>
      <c r="B336" s="19" t="s">
        <v>385</v>
      </c>
      <c r="C336" s="7"/>
      <c r="D336" s="7"/>
      <c r="E336" s="5"/>
      <c r="F336" s="8"/>
      <c r="G336" s="8"/>
      <c r="H336" s="9"/>
      <c r="I336" s="7"/>
      <c r="J336" s="8"/>
      <c r="K336" s="9"/>
      <c r="L336" s="7"/>
      <c r="M336" s="8"/>
      <c r="N336" s="9"/>
      <c r="O336" s="7"/>
      <c r="P336" s="8"/>
      <c r="Q336" s="9"/>
      <c r="R336" s="5"/>
    </row>
    <row r="337" spans="1:18" x14ac:dyDescent="0.25">
      <c r="A337" s="10" t="s">
        <v>386</v>
      </c>
      <c r="B337" s="21" t="s">
        <v>377</v>
      </c>
      <c r="C337" s="12">
        <v>12.35</v>
      </c>
      <c r="D337" s="12">
        <v>0</v>
      </c>
      <c r="E337" s="10" t="s">
        <v>26</v>
      </c>
      <c r="F337" s="14">
        <v>236600.08</v>
      </c>
      <c r="G337" s="14">
        <f>F337*C337</f>
        <v>2922010.988</v>
      </c>
      <c r="H337" s="15">
        <f>IF($G$1279=0,0,G337/$G$1279*100)</f>
      </c>
      <c r="I337" s="12" t="str">
        <f>IF(O337-C337&gt;0,O337-C337,"")</f>
        <v/>
      </c>
      <c r="J337" s="14" t="str">
        <f>IF(I337="","",F337*I337)</f>
        <v/>
      </c>
      <c r="K337" s="15">
        <f>IF(OR(J337="",$G$1279=0),"",J337/$G$1279*100)</f>
      </c>
      <c r="L337" s="12" t="str">
        <f>IF(C337-O337&gt;0,C337-O337,"")</f>
        <v/>
      </c>
      <c r="M337" s="14" t="str">
        <f>IF(L337="","",F337*L337)</f>
        <v/>
      </c>
      <c r="N337" s="15">
        <f>IF(OR(M337="",$G$1279=0),"",M337/$G$1279*100)</f>
      </c>
      <c r="O337" s="12">
        <v>12.35</v>
      </c>
      <c r="P337" s="14">
        <f>F337*O337</f>
        <v>2922010.988</v>
      </c>
      <c r="Q337" s="15">
        <f>IF($P$1279=0,0,P337/$P$1279*100)</f>
      </c>
      <c r="R337" s="10" t="str">
        <f>IF(O337=C337,"TETAP",IF(C337=0,"BARU",IF(O337=0,"HAPUS",IF(O337&gt;C337,"TAMBAH","KURANG"))))</f>
        <v>TETAP</v>
      </c>
    </row>
    <row r="338" spans="1:18" x14ac:dyDescent="0.25">
      <c r="A338" s="10" t="s">
        <v>387</v>
      </c>
      <c r="B338" s="21" t="s">
        <v>388</v>
      </c>
      <c r="C338" s="12">
        <v>57.82</v>
      </c>
      <c r="D338" s="12">
        <v>0</v>
      </c>
      <c r="E338" s="10" t="s">
        <v>169</v>
      </c>
      <c r="F338" s="14">
        <v>19252.39</v>
      </c>
      <c r="G338" s="14">
        <f>F338*C338</f>
        <v>1113173.1898</v>
      </c>
      <c r="H338" s="15">
        <f>IF($G$1279=0,0,G338/$G$1279*100)</f>
      </c>
      <c r="I338" s="12" t="str">
        <f>IF(O338-C338&gt;0,O338-C338,"")</f>
        <v/>
      </c>
      <c r="J338" s="14" t="str">
        <f>IF(I338="","",F338*I338)</f>
        <v/>
      </c>
      <c r="K338" s="15">
        <f>IF(OR(J338="",$G$1279=0),"",J338/$G$1279*100)</f>
      </c>
      <c r="L338" s="12" t="str">
        <f>IF(C338-O338&gt;0,C338-O338,"")</f>
        <v/>
      </c>
      <c r="M338" s="14" t="str">
        <f>IF(L338="","",F338*L338)</f>
        <v/>
      </c>
      <c r="N338" s="15">
        <f>IF(OR(M338="",$G$1279=0),"",M338/$G$1279*100)</f>
      </c>
      <c r="O338" s="12">
        <v>57.82</v>
      </c>
      <c r="P338" s="14">
        <f>F338*O338</f>
        <v>1113173.1898</v>
      </c>
      <c r="Q338" s="15">
        <f>IF($P$1279=0,0,P338/$P$1279*100)</f>
      </c>
      <c r="R338" s="10" t="str">
        <f>IF(O338=C338,"TETAP",IF(C338=0,"BARU",IF(O338=0,"HAPUS",IF(O338&gt;C338,"TAMBAH","KURANG"))))</f>
        <v>TETAP</v>
      </c>
    </row>
    <row r="339" spans="1:18" x14ac:dyDescent="0.25">
      <c r="A339" s="10" t="s">
        <v>389</v>
      </c>
      <c r="B339" s="21" t="s">
        <v>390</v>
      </c>
      <c r="C339" s="12">
        <v>41.67</v>
      </c>
      <c r="D339" s="12">
        <v>0</v>
      </c>
      <c r="E339" s="10" t="s">
        <v>169</v>
      </c>
      <c r="F339" s="14">
        <v>19252.39</v>
      </c>
      <c r="G339" s="14">
        <f>F339*C339</f>
        <v>802247.0913</v>
      </c>
      <c r="H339" s="15">
        <f>IF($G$1279=0,0,G339/$G$1279*100)</f>
      </c>
      <c r="I339" s="12" t="str">
        <f>IF(O339-C339&gt;0,O339-C339,"")</f>
        <v/>
      </c>
      <c r="J339" s="14" t="str">
        <f>IF(I339="","",F339*I339)</f>
        <v/>
      </c>
      <c r="K339" s="15">
        <f>IF(OR(J339="",$G$1279=0),"",J339/$G$1279*100)</f>
      </c>
      <c r="L339" s="12" t="str">
        <f>IF(C339-O339&gt;0,C339-O339,"")</f>
        <v/>
      </c>
      <c r="M339" s="14" t="str">
        <f>IF(L339="","",F339*L339)</f>
        <v/>
      </c>
      <c r="N339" s="15">
        <f>IF(OR(M339="",$G$1279=0),"",M339/$G$1279*100)</f>
      </c>
      <c r="O339" s="12">
        <v>41.67</v>
      </c>
      <c r="P339" s="14">
        <f>F339*O339</f>
        <v>802247.0913</v>
      </c>
      <c r="Q339" s="15">
        <f>IF($P$1279=0,0,P339/$P$1279*100)</f>
      </c>
      <c r="R339" s="10" t="str">
        <f>IF(O339=C339,"TETAP",IF(C339=0,"BARU",IF(O339=0,"HAPUS",IF(O339&gt;C339,"TAMBAH","KURANG"))))</f>
        <v>TETAP</v>
      </c>
    </row>
    <row r="340" spans="1:18" x14ac:dyDescent="0.25">
      <c r="A340" s="10" t="s">
        <v>391</v>
      </c>
      <c r="B340" s="21" t="s">
        <v>392</v>
      </c>
      <c r="C340" s="12">
        <v>0.67</v>
      </c>
      <c r="D340" s="12">
        <v>0</v>
      </c>
      <c r="E340" s="10" t="s">
        <v>159</v>
      </c>
      <c r="F340" s="14">
        <v>1399567.05</v>
      </c>
      <c r="G340" s="14">
        <f>F340*C340</f>
        <v>937709.9235</v>
      </c>
      <c r="H340" s="15">
        <f>IF($G$1279=0,0,G340/$G$1279*100)</f>
      </c>
      <c r="I340" s="12" t="str">
        <f>IF(O340-C340&gt;0,O340-C340,"")</f>
        <v/>
      </c>
      <c r="J340" s="14" t="str">
        <f>IF(I340="","",F340*I340)</f>
        <v/>
      </c>
      <c r="K340" s="15">
        <f>IF(OR(J340="",$G$1279=0),"",J340/$G$1279*100)</f>
      </c>
      <c r="L340" s="12" t="str">
        <f>IF(C340-O340&gt;0,C340-O340,"")</f>
        <v/>
      </c>
      <c r="M340" s="14" t="str">
        <f>IF(L340="","",F340*L340)</f>
        <v/>
      </c>
      <c r="N340" s="15">
        <f>IF(OR(M340="",$G$1279=0),"",M340/$G$1279*100)</f>
      </c>
      <c r="O340" s="12">
        <v>0.67</v>
      </c>
      <c r="P340" s="14">
        <f>F340*O340</f>
        <v>937709.9235</v>
      </c>
      <c r="Q340" s="15">
        <f>IF($P$1279=0,0,P340/$P$1279*100)</f>
      </c>
      <c r="R340" s="10" t="str">
        <f>IF(O340=C340,"TETAP",IF(C340=0,"BARU",IF(O340=0,"HAPUS",IF(O340&gt;C340,"TAMBAH","KURANG"))))</f>
        <v>TETAP</v>
      </c>
    </row>
    <row r="341" spans="1:18" x14ac:dyDescent="0.25">
      <c r="A341" s="5" t="s">
        <v>393</v>
      </c>
      <c r="B341" s="19" t="s">
        <v>394</v>
      </c>
      <c r="C341" s="7"/>
      <c r="D341" s="7"/>
      <c r="E341" s="5"/>
      <c r="F341" s="8"/>
      <c r="G341" s="8"/>
      <c r="H341" s="9"/>
      <c r="I341" s="7"/>
      <c r="J341" s="8"/>
      <c r="K341" s="9"/>
      <c r="L341" s="7"/>
      <c r="M341" s="8"/>
      <c r="N341" s="9"/>
      <c r="O341" s="7"/>
      <c r="P341" s="8"/>
      <c r="Q341" s="9"/>
      <c r="R341" s="5"/>
    </row>
    <row r="342" spans="1:18" x14ac:dyDescent="0.25">
      <c r="A342" s="10" t="s">
        <v>395</v>
      </c>
      <c r="B342" s="21" t="s">
        <v>371</v>
      </c>
      <c r="C342" s="12">
        <v>4.2</v>
      </c>
      <c r="D342" s="12">
        <v>0</v>
      </c>
      <c r="E342" s="10" t="s">
        <v>26</v>
      </c>
      <c r="F342" s="14">
        <v>229284.3</v>
      </c>
      <c r="G342" s="14">
        <f>F342*C342</f>
        <v>962994.0599999999</v>
      </c>
      <c r="H342" s="15">
        <f>IF($G$1279=0,0,G342/$G$1279*100)</f>
      </c>
      <c r="I342" s="12" t="str">
        <f>IF(O342-C342&gt;0,O342-C342,"")</f>
        <v/>
      </c>
      <c r="J342" s="14" t="str">
        <f>IF(I342="","",F342*I342)</f>
        <v/>
      </c>
      <c r="K342" s="15">
        <f>IF(OR(J342="",$G$1279=0),"",J342/$G$1279*100)</f>
      </c>
      <c r="L342" s="12" t="str">
        <f>IF(C342-O342&gt;0,C342-O342,"")</f>
        <v/>
      </c>
      <c r="M342" s="14" t="str">
        <f>IF(L342="","",F342*L342)</f>
        <v/>
      </c>
      <c r="N342" s="15">
        <f>IF(OR(M342="",$G$1279=0),"",M342/$G$1279*100)</f>
      </c>
      <c r="O342" s="12">
        <v>4.2</v>
      </c>
      <c r="P342" s="14">
        <f>F342*O342</f>
        <v>962994.0599999999</v>
      </c>
      <c r="Q342" s="15">
        <f>IF($P$1279=0,0,P342/$P$1279*100)</f>
      </c>
      <c r="R342" s="10" t="str">
        <f>IF(O342=C342,"TETAP",IF(C342=0,"BARU",IF(O342=0,"HAPUS",IF(O342&gt;C342,"TAMBAH","KURANG"))))</f>
        <v>TETAP</v>
      </c>
    </row>
    <row r="343" spans="1:18" x14ac:dyDescent="0.25">
      <c r="A343" s="10" t="s">
        <v>396</v>
      </c>
      <c r="B343" s="21" t="s">
        <v>380</v>
      </c>
      <c r="C343" s="12">
        <v>16.28</v>
      </c>
      <c r="D343" s="12">
        <v>0</v>
      </c>
      <c r="E343" s="10" t="s">
        <v>169</v>
      </c>
      <c r="F343" s="14">
        <v>19252.39</v>
      </c>
      <c r="G343" s="14">
        <f>F343*C343</f>
        <v>313428.9092</v>
      </c>
      <c r="H343" s="15">
        <f>IF($G$1279=0,0,G343/$G$1279*100)</f>
      </c>
      <c r="I343" s="12" t="str">
        <f>IF(O343-C343&gt;0,O343-C343,"")</f>
        <v/>
      </c>
      <c r="J343" s="14" t="str">
        <f>IF(I343="","",F343*I343)</f>
        <v/>
      </c>
      <c r="K343" s="15">
        <f>IF(OR(J343="",$G$1279=0),"",J343/$G$1279*100)</f>
      </c>
      <c r="L343" s="12" t="str">
        <f>IF(C343-O343&gt;0,C343-O343,"")</f>
        <v/>
      </c>
      <c r="M343" s="14" t="str">
        <f>IF(L343="","",F343*L343)</f>
        <v/>
      </c>
      <c r="N343" s="15">
        <f>IF(OR(M343="",$G$1279=0),"",M343/$G$1279*100)</f>
      </c>
      <c r="O343" s="12">
        <v>16.28</v>
      </c>
      <c r="P343" s="14">
        <f>F343*O343</f>
        <v>313428.9092</v>
      </c>
      <c r="Q343" s="15">
        <f>IF($P$1279=0,0,P343/$P$1279*100)</f>
      </c>
      <c r="R343" s="10" t="str">
        <f>IF(O343=C343,"TETAP",IF(C343=0,"BARU",IF(O343=0,"HAPUS",IF(O343&gt;C343,"TAMBAH","KURANG"))))</f>
        <v>TETAP</v>
      </c>
    </row>
    <row r="344" spans="1:18" x14ac:dyDescent="0.25">
      <c r="A344" s="10" t="s">
        <v>397</v>
      </c>
      <c r="B344" s="21" t="s">
        <v>390</v>
      </c>
      <c r="C344" s="12">
        <v>9.47</v>
      </c>
      <c r="D344" s="12">
        <v>0</v>
      </c>
      <c r="E344" s="10" t="s">
        <v>169</v>
      </c>
      <c r="F344" s="14">
        <v>19252.39</v>
      </c>
      <c r="G344" s="14">
        <f>F344*C344</f>
        <v>182320.13330000002</v>
      </c>
      <c r="H344" s="15">
        <f>IF($G$1279=0,0,G344/$G$1279*100)</f>
      </c>
      <c r="I344" s="12" t="str">
        <f>IF(O344-C344&gt;0,O344-C344,"")</f>
        <v/>
      </c>
      <c r="J344" s="14" t="str">
        <f>IF(I344="","",F344*I344)</f>
        <v/>
      </c>
      <c r="K344" s="15">
        <f>IF(OR(J344="",$G$1279=0),"",J344/$G$1279*100)</f>
      </c>
      <c r="L344" s="12" t="str">
        <f>IF(C344-O344&gt;0,C344-O344,"")</f>
        <v/>
      </c>
      <c r="M344" s="14" t="str">
        <f>IF(L344="","",F344*L344)</f>
        <v/>
      </c>
      <c r="N344" s="15">
        <f>IF(OR(M344="",$G$1279=0),"",M344/$G$1279*100)</f>
      </c>
      <c r="O344" s="12">
        <v>9.47</v>
      </c>
      <c r="P344" s="14">
        <f>F344*O344</f>
        <v>182320.13330000002</v>
      </c>
      <c r="Q344" s="15">
        <f>IF($P$1279=0,0,P344/$P$1279*100)</f>
      </c>
      <c r="R344" s="10" t="str">
        <f>IF(O344=C344,"TETAP",IF(C344=0,"BARU",IF(O344=0,"HAPUS",IF(O344&gt;C344,"TAMBAH","KURANG"))))</f>
        <v>TETAP</v>
      </c>
    </row>
    <row r="345" spans="1:18" x14ac:dyDescent="0.25">
      <c r="A345" s="10" t="s">
        <v>398</v>
      </c>
      <c r="B345" s="21" t="s">
        <v>392</v>
      </c>
      <c r="C345" s="12">
        <v>0.18</v>
      </c>
      <c r="D345" s="12">
        <v>0</v>
      </c>
      <c r="E345" s="10" t="s">
        <v>159</v>
      </c>
      <c r="F345" s="14">
        <v>1399567.05</v>
      </c>
      <c r="G345" s="14">
        <f>F345*C345</f>
        <v>251922.069</v>
      </c>
      <c r="H345" s="15">
        <f>IF($G$1279=0,0,G345/$G$1279*100)</f>
      </c>
      <c r="I345" s="12" t="str">
        <f>IF(O345-C345&gt;0,O345-C345,"")</f>
        <v/>
      </c>
      <c r="J345" s="14" t="str">
        <f>IF(I345="","",F345*I345)</f>
        <v/>
      </c>
      <c r="K345" s="15">
        <f>IF(OR(J345="",$G$1279=0),"",J345/$G$1279*100)</f>
      </c>
      <c r="L345" s="12" t="str">
        <f>IF(C345-O345&gt;0,C345-O345,"")</f>
        <v/>
      </c>
      <c r="M345" s="14" t="str">
        <f>IF(L345="","",F345*L345)</f>
        <v/>
      </c>
      <c r="N345" s="15">
        <f>IF(OR(M345="",$G$1279=0),"",M345/$G$1279*100)</f>
      </c>
      <c r="O345" s="12">
        <v>0.18</v>
      </c>
      <c r="P345" s="14">
        <f>F345*O345</f>
        <v>251922.069</v>
      </c>
      <c r="Q345" s="15">
        <f>IF($P$1279=0,0,P345/$P$1279*100)</f>
      </c>
      <c r="R345" s="10" t="str">
        <f>IF(O345=C345,"TETAP",IF(C345=0,"BARU",IF(O345=0,"HAPUS",IF(O345&gt;C345,"TAMBAH","KURANG"))))</f>
        <v>TETAP</v>
      </c>
    </row>
    <row r="346" spans="1:18" x14ac:dyDescent="0.25">
      <c r="A346" s="5" t="s">
        <v>399</v>
      </c>
      <c r="B346" s="16" t="s">
        <v>400</v>
      </c>
      <c r="C346" s="7"/>
      <c r="D346" s="7"/>
      <c r="E346" s="5"/>
      <c r="F346" s="8"/>
      <c r="G346" s="8"/>
      <c r="H346" s="9"/>
      <c r="I346" s="7"/>
      <c r="J346" s="8"/>
      <c r="K346" s="9"/>
      <c r="L346" s="7"/>
      <c r="M346" s="8"/>
      <c r="N346" s="9"/>
      <c r="O346" s="7"/>
      <c r="P346" s="8"/>
      <c r="Q346" s="9"/>
      <c r="R346" s="5"/>
    </row>
    <row r="347" spans="1:18" x14ac:dyDescent="0.25">
      <c r="A347" s="10" t="s">
        <v>24</v>
      </c>
      <c r="B347" s="20" t="s">
        <v>401</v>
      </c>
      <c r="C347" s="12">
        <v>3.2</v>
      </c>
      <c r="D347" s="12">
        <v>0</v>
      </c>
      <c r="E347" s="10" t="s">
        <v>26</v>
      </c>
      <c r="F347" s="14">
        <v>164501.03</v>
      </c>
      <c r="G347" s="14">
        <f>F347*C347</f>
        <v>526403.296</v>
      </c>
      <c r="H347" s="15">
        <f>IF($G$1279=0,0,G347/$G$1279*100)</f>
      </c>
      <c r="I347" s="12" t="str">
        <f>IF(O347-C347&gt;0,O347-C347,"")</f>
        <v/>
      </c>
      <c r="J347" s="14" t="str">
        <f>IF(I347="","",F347*I347)</f>
        <v/>
      </c>
      <c r="K347" s="15">
        <f>IF(OR(J347="",$G$1279=0),"",J347/$G$1279*100)</f>
      </c>
      <c r="L347" s="12" t="str">
        <f>IF(C347-O347&gt;0,C347-O347,"")</f>
        <v/>
      </c>
      <c r="M347" s="14" t="str">
        <f>IF(L347="","",F347*L347)</f>
        <v/>
      </c>
      <c r="N347" s="15">
        <f>IF(OR(M347="",$G$1279=0),"",M347/$G$1279*100)</f>
      </c>
      <c r="O347" s="12">
        <v>3.2</v>
      </c>
      <c r="P347" s="14">
        <f>F347*O347</f>
        <v>526403.296</v>
      </c>
      <c r="Q347" s="15">
        <f>IF($P$1279=0,0,P347/$P$1279*100)</f>
      </c>
      <c r="R347" s="10" t="str">
        <f>IF(O347=C347,"TETAP",IF(C347=0,"BARU",IF(O347=0,"HAPUS",IF(O347&gt;C347,"TAMBAH","KURANG"))))</f>
        <v>TETAP</v>
      </c>
    </row>
    <row r="348" spans="1:18" x14ac:dyDescent="0.25">
      <c r="A348" s="10" t="s">
        <v>27</v>
      </c>
      <c r="B348" s="20" t="s">
        <v>402</v>
      </c>
      <c r="C348" s="12">
        <v>6.4</v>
      </c>
      <c r="D348" s="12">
        <v>0</v>
      </c>
      <c r="E348" s="10" t="s">
        <v>26</v>
      </c>
      <c r="F348" s="14">
        <v>60093.87</v>
      </c>
      <c r="G348" s="14">
        <f>F348*C348</f>
        <v>384600.76800000004</v>
      </c>
      <c r="H348" s="15">
        <f>IF($G$1279=0,0,G348/$G$1279*100)</f>
      </c>
      <c r="I348" s="12" t="str">
        <f>IF(O348-C348&gt;0,O348-C348,"")</f>
        <v/>
      </c>
      <c r="J348" s="14" t="str">
        <f>IF(I348="","",F348*I348)</f>
        <v/>
      </c>
      <c r="K348" s="15">
        <f>IF(OR(J348="",$G$1279=0),"",J348/$G$1279*100)</f>
      </c>
      <c r="L348" s="12" t="str">
        <f>IF(C348-O348&gt;0,C348-O348,"")</f>
        <v/>
      </c>
      <c r="M348" s="14" t="str">
        <f>IF(L348="","",F348*L348)</f>
        <v/>
      </c>
      <c r="N348" s="15">
        <f>IF(OR(M348="",$G$1279=0),"",M348/$G$1279*100)</f>
      </c>
      <c r="O348" s="12">
        <v>6.4</v>
      </c>
      <c r="P348" s="14">
        <f>F348*O348</f>
        <v>384600.76800000004</v>
      </c>
      <c r="Q348" s="15">
        <f>IF($P$1279=0,0,P348/$P$1279*100)</f>
      </c>
      <c r="R348" s="10" t="str">
        <f>IF(O348=C348,"TETAP",IF(C348=0,"BARU",IF(O348=0,"HAPUS",IF(O348&gt;C348,"TAMBAH","KURANG"))))</f>
        <v>TETAP</v>
      </c>
    </row>
    <row r="349" spans="1:18" x14ac:dyDescent="0.25">
      <c r="A349" s="10" t="s">
        <v>30</v>
      </c>
      <c r="B349" s="20" t="s">
        <v>182</v>
      </c>
      <c r="C349" s="12">
        <v>6.4</v>
      </c>
      <c r="D349" s="12">
        <v>0</v>
      </c>
      <c r="E349" s="10" t="s">
        <v>26</v>
      </c>
      <c r="F349" s="14">
        <v>44344.2</v>
      </c>
      <c r="G349" s="14">
        <f>F349*C349</f>
        <v>283802.88</v>
      </c>
      <c r="H349" s="15">
        <f>IF($G$1279=0,0,G349/$G$1279*100)</f>
      </c>
      <c r="I349" s="12" t="str">
        <f>IF(O349-C349&gt;0,O349-C349,"")</f>
        <v/>
      </c>
      <c r="J349" s="14" t="str">
        <f>IF(I349="","",F349*I349)</f>
        <v/>
      </c>
      <c r="K349" s="15">
        <f>IF(OR(J349="",$G$1279=0),"",J349/$G$1279*100)</f>
      </c>
      <c r="L349" s="12" t="str">
        <f>IF(C349-O349&gt;0,C349-O349,"")</f>
        <v/>
      </c>
      <c r="M349" s="14" t="str">
        <f>IF(L349="","",F349*L349)</f>
        <v/>
      </c>
      <c r="N349" s="15">
        <f>IF(OR(M349="",$G$1279=0),"",M349/$G$1279*100)</f>
      </c>
      <c r="O349" s="12">
        <v>6.4</v>
      </c>
      <c r="P349" s="14">
        <f>F349*O349</f>
        <v>283802.88</v>
      </c>
      <c r="Q349" s="15">
        <f>IF($P$1279=0,0,P349/$P$1279*100)</f>
      </c>
      <c r="R349" s="10" t="str">
        <f>IF(O349=C349,"TETAP",IF(C349=0,"BARU",IF(O349=0,"HAPUS",IF(O349&gt;C349,"TAMBAH","KURANG"))))</f>
        <v>TETAP</v>
      </c>
    </row>
    <row r="350" spans="1:18" x14ac:dyDescent="0.25">
      <c r="A350" s="10" t="s">
        <v>33</v>
      </c>
      <c r="B350" s="20" t="s">
        <v>403</v>
      </c>
      <c r="C350" s="12">
        <v>135.96</v>
      </c>
      <c r="D350" s="12">
        <v>0</v>
      </c>
      <c r="E350" s="10" t="s">
        <v>26</v>
      </c>
      <c r="F350" s="14">
        <v>44344.2</v>
      </c>
      <c r="G350" s="14">
        <f>F350*C350</f>
        <v>6029037.432</v>
      </c>
      <c r="H350" s="15">
        <f>IF($G$1279=0,0,G350/$G$1279*100)</f>
      </c>
      <c r="I350" s="12" t="str">
        <f>IF(O350-C350&gt;0,O350-C350,"")</f>
        <v/>
      </c>
      <c r="J350" s="14" t="str">
        <f>IF(I350="","",F350*I350)</f>
        <v/>
      </c>
      <c r="K350" s="15">
        <f>IF(OR(J350="",$G$1279=0),"",J350/$G$1279*100)</f>
      </c>
      <c r="L350" s="12" t="str">
        <f>IF(C350-O350&gt;0,C350-O350,"")</f>
        <v/>
      </c>
      <c r="M350" s="14" t="str">
        <f>IF(L350="","",F350*L350)</f>
        <v/>
      </c>
      <c r="N350" s="15">
        <f>IF(OR(M350="",$G$1279=0),"",M350/$G$1279*100)</f>
      </c>
      <c r="O350" s="12">
        <v>135.96</v>
      </c>
      <c r="P350" s="14">
        <f>F350*O350</f>
        <v>6029037.432</v>
      </c>
      <c r="Q350" s="15">
        <f>IF($P$1279=0,0,P350/$P$1279*100)</f>
      </c>
      <c r="R350" s="10" t="str">
        <f>IF(O350=C350,"TETAP",IF(C350=0,"BARU",IF(O350=0,"HAPUS",IF(O350&gt;C350,"TAMBAH","KURANG"))))</f>
        <v>TETAP</v>
      </c>
    </row>
    <row r="351" spans="1:18" x14ac:dyDescent="0.25">
      <c r="A351" s="10" t="s">
        <v>35</v>
      </c>
      <c r="B351" s="20" t="s">
        <v>404</v>
      </c>
      <c r="C351" s="12">
        <v>13.11</v>
      </c>
      <c r="D351" s="12">
        <v>0</v>
      </c>
      <c r="E351" s="10" t="s">
        <v>26</v>
      </c>
      <c r="F351" s="14">
        <v>40999.28</v>
      </c>
      <c r="G351" s="14">
        <f>F351*C351</f>
        <v>537500.5608</v>
      </c>
      <c r="H351" s="15">
        <f>IF($G$1279=0,0,G351/$G$1279*100)</f>
      </c>
      <c r="I351" s="12" t="str">
        <f>IF(O351-C351&gt;0,O351-C351,"")</f>
        <v/>
      </c>
      <c r="J351" s="14" t="str">
        <f>IF(I351="","",F351*I351)</f>
        <v/>
      </c>
      <c r="K351" s="15">
        <f>IF(OR(J351="",$G$1279=0),"",J351/$G$1279*100)</f>
      </c>
      <c r="L351" s="12" t="str">
        <f>IF(C351-O351&gt;0,C351-O351,"")</f>
        <v/>
      </c>
      <c r="M351" s="14" t="str">
        <f>IF(L351="","",F351*L351)</f>
        <v/>
      </c>
      <c r="N351" s="15">
        <f>IF(OR(M351="",$G$1279=0),"",M351/$G$1279*100)</f>
      </c>
      <c r="O351" s="12">
        <v>13.11</v>
      </c>
      <c r="P351" s="14">
        <f>F351*O351</f>
        <v>537500.5608</v>
      </c>
      <c r="Q351" s="15">
        <f>IF($P$1279=0,0,P351/$P$1279*100)</f>
      </c>
      <c r="R351" s="10" t="str">
        <f>IF(O351=C351,"TETAP",IF(C351=0,"BARU",IF(O351=0,"HAPUS",IF(O351&gt;C351,"TAMBAH","KURANG"))))</f>
        <v>TETAP</v>
      </c>
    </row>
    <row r="352" spans="1:18" x14ac:dyDescent="0.25">
      <c r="A352" s="5" t="s">
        <v>38</v>
      </c>
      <c r="B352" s="17" t="s">
        <v>405</v>
      </c>
      <c r="C352" s="7"/>
      <c r="D352" s="7"/>
      <c r="E352" s="5"/>
      <c r="F352" s="8"/>
      <c r="G352" s="8"/>
      <c r="H352" s="9"/>
      <c r="I352" s="7"/>
      <c r="J352" s="8"/>
      <c r="K352" s="9"/>
      <c r="L352" s="7"/>
      <c r="M352" s="8"/>
      <c r="N352" s="9"/>
      <c r="O352" s="7"/>
      <c r="P352" s="8"/>
      <c r="Q352" s="9"/>
      <c r="R352" s="5"/>
    </row>
    <row r="353" spans="1:18" x14ac:dyDescent="0.25">
      <c r="A353" s="10" t="s">
        <v>200</v>
      </c>
      <c r="B353" s="18" t="s">
        <v>406</v>
      </c>
      <c r="C353" s="12">
        <v>1.86</v>
      </c>
      <c r="D353" s="12">
        <v>0</v>
      </c>
      <c r="E353" s="10" t="s">
        <v>159</v>
      </c>
      <c r="F353" s="14">
        <v>48730.7</v>
      </c>
      <c r="G353" s="14">
        <f>F353*C353</f>
        <v>90639.102</v>
      </c>
      <c r="H353" s="15">
        <f>IF($G$1279=0,0,G353/$G$1279*100)</f>
      </c>
      <c r="I353" s="12" t="str">
        <f>IF(O353-C353&gt;0,O353-C353,"")</f>
        <v/>
      </c>
      <c r="J353" s="14" t="str">
        <f>IF(I353="","",F353*I353)</f>
        <v/>
      </c>
      <c r="K353" s="15">
        <f>IF(OR(J353="",$G$1279=0),"",J353/$G$1279*100)</f>
      </c>
      <c r="L353" s="12" t="str">
        <f>IF(C353-O353&gt;0,C353-O353,"")</f>
        <v/>
      </c>
      <c r="M353" s="14" t="str">
        <f>IF(L353="","",F353*L353)</f>
        <v/>
      </c>
      <c r="N353" s="15">
        <f>IF(OR(M353="",$G$1279=0),"",M353/$G$1279*100)</f>
      </c>
      <c r="O353" s="12">
        <v>1.86</v>
      </c>
      <c r="P353" s="14">
        <f>F353*O353</f>
        <v>90639.102</v>
      </c>
      <c r="Q353" s="15">
        <f>IF($P$1279=0,0,P353/$P$1279*100)</f>
      </c>
      <c r="R353" s="10" t="str">
        <f>IF(O353=C353,"TETAP",IF(C353=0,"BARU",IF(O353=0,"HAPUS",IF(O353&gt;C353,"TAMBAH","KURANG"))))</f>
        <v>TETAP</v>
      </c>
    </row>
    <row r="354" spans="1:18" x14ac:dyDescent="0.25">
      <c r="A354" s="10" t="s">
        <v>202</v>
      </c>
      <c r="B354" s="18" t="s">
        <v>407</v>
      </c>
      <c r="C354" s="12">
        <v>32.89</v>
      </c>
      <c r="D354" s="12">
        <v>0</v>
      </c>
      <c r="E354" s="10" t="s">
        <v>26</v>
      </c>
      <c r="F354" s="14">
        <v>164501.03</v>
      </c>
      <c r="G354" s="14">
        <f>F354*C354</f>
        <v>5410438.8767</v>
      </c>
      <c r="H354" s="15">
        <f>IF($G$1279=0,0,G354/$G$1279*100)</f>
      </c>
      <c r="I354" s="12" t="str">
        <f>IF(O354-C354&gt;0,O354-C354,"")</f>
        <v/>
      </c>
      <c r="J354" s="14" t="str">
        <f>IF(I354="","",F354*I354)</f>
        <v/>
      </c>
      <c r="K354" s="15">
        <f>IF(OR(J354="",$G$1279=0),"",J354/$G$1279*100)</f>
      </c>
      <c r="L354" s="12" t="str">
        <f>IF(C354-O354&gt;0,C354-O354,"")</f>
        <v/>
      </c>
      <c r="M354" s="14" t="str">
        <f>IF(L354="","",F354*L354)</f>
        <v/>
      </c>
      <c r="N354" s="15">
        <f>IF(OR(M354="",$G$1279=0),"",M354/$G$1279*100)</f>
      </c>
      <c r="O354" s="12">
        <v>32.89</v>
      </c>
      <c r="P354" s="14">
        <f>F354*O354</f>
        <v>5410438.8767</v>
      </c>
      <c r="Q354" s="15">
        <f>IF($P$1279=0,0,P354/$P$1279*100)</f>
      </c>
      <c r="R354" s="10" t="str">
        <f>IF(O354=C354,"TETAP",IF(C354=0,"BARU",IF(O354=0,"HAPUS",IF(O354&gt;C354,"TAMBAH","KURANG"))))</f>
        <v>TETAP</v>
      </c>
    </row>
    <row r="355" spans="1:18" x14ac:dyDescent="0.25">
      <c r="A355" s="10" t="s">
        <v>203</v>
      </c>
      <c r="B355" s="18" t="s">
        <v>408</v>
      </c>
      <c r="C355" s="12">
        <v>2.88</v>
      </c>
      <c r="D355" s="12">
        <v>0</v>
      </c>
      <c r="E355" s="10" t="s">
        <v>159</v>
      </c>
      <c r="F355" s="14">
        <v>211003.3</v>
      </c>
      <c r="G355" s="14">
        <f>F355*C355</f>
        <v>607689.504</v>
      </c>
      <c r="H355" s="15">
        <f>IF($G$1279=0,0,G355/$G$1279*100)</f>
      </c>
      <c r="I355" s="12" t="str">
        <f>IF(O355-C355&gt;0,O355-C355,"")</f>
        <v/>
      </c>
      <c r="J355" s="14" t="str">
        <f>IF(I355="","",F355*I355)</f>
        <v/>
      </c>
      <c r="K355" s="15">
        <f>IF(OR(J355="",$G$1279=0),"",J355/$G$1279*100)</f>
      </c>
      <c r="L355" s="12" t="str">
        <f>IF(C355-O355&gt;0,C355-O355,"")</f>
        <v/>
      </c>
      <c r="M355" s="14" t="str">
        <f>IF(L355="","",F355*L355)</f>
        <v/>
      </c>
      <c r="N355" s="15">
        <f>IF(OR(M355="",$G$1279=0),"",M355/$G$1279*100)</f>
      </c>
      <c r="O355" s="12">
        <v>2.88</v>
      </c>
      <c r="P355" s="14">
        <f>F355*O355</f>
        <v>607689.504</v>
      </c>
      <c r="Q355" s="15">
        <f>IF($P$1279=0,0,P355/$P$1279*100)</f>
      </c>
      <c r="R355" s="10" t="str">
        <f>IF(O355=C355,"TETAP",IF(C355=0,"BARU",IF(O355=0,"HAPUS",IF(O355&gt;C355,"TAMBAH","KURANG"))))</f>
        <v>TETAP</v>
      </c>
    </row>
    <row r="356" spans="1:18" x14ac:dyDescent="0.25">
      <c r="A356" s="10" t="s">
        <v>204</v>
      </c>
      <c r="B356" s="18" t="s">
        <v>409</v>
      </c>
      <c r="C356" s="12">
        <v>0.7</v>
      </c>
      <c r="D356" s="12">
        <v>0</v>
      </c>
      <c r="E356" s="10" t="s">
        <v>159</v>
      </c>
      <c r="F356" s="14">
        <v>342654.98</v>
      </c>
      <c r="G356" s="14">
        <f>F356*C356</f>
        <v>239858.48599999998</v>
      </c>
      <c r="H356" s="15">
        <f>IF($G$1279=0,0,G356/$G$1279*100)</f>
      </c>
      <c r="I356" s="12" t="str">
        <f>IF(O356-C356&gt;0,O356-C356,"")</f>
        <v/>
      </c>
      <c r="J356" s="14" t="str">
        <f>IF(I356="","",F356*I356)</f>
        <v/>
      </c>
      <c r="K356" s="15">
        <f>IF(OR(J356="",$G$1279=0),"",J356/$G$1279*100)</f>
      </c>
      <c r="L356" s="12" t="str">
        <f>IF(C356-O356&gt;0,C356-O356,"")</f>
        <v/>
      </c>
      <c r="M356" s="14" t="str">
        <f>IF(L356="","",F356*L356)</f>
        <v/>
      </c>
      <c r="N356" s="15">
        <f>IF(OR(M356="",$G$1279=0),"",M356/$G$1279*100)</f>
      </c>
      <c r="O356" s="12">
        <v>0.7</v>
      </c>
      <c r="P356" s="14">
        <f>F356*O356</f>
        <v>239858.48599999998</v>
      </c>
      <c r="Q356" s="15">
        <f>IF($P$1279=0,0,P356/$P$1279*100)</f>
      </c>
      <c r="R356" s="10" t="str">
        <f>IF(O356=C356,"TETAP",IF(C356=0,"BARU",IF(O356=0,"HAPUS",IF(O356&gt;C356,"TAMBAH","KURANG"))))</f>
        <v>TETAP</v>
      </c>
    </row>
    <row r="357" spans="1:18" x14ac:dyDescent="0.25">
      <c r="A357" s="10" t="s">
        <v>206</v>
      </c>
      <c r="B357" s="18" t="s">
        <v>369</v>
      </c>
      <c r="C357" s="12">
        <v>1.63</v>
      </c>
      <c r="D357" s="12">
        <v>0</v>
      </c>
      <c r="E357" s="10" t="s">
        <v>159</v>
      </c>
      <c r="F357" s="14">
        <v>1243301.43</v>
      </c>
      <c r="G357" s="14">
        <f>F357*C357</f>
        <v>2026581.3308999997</v>
      </c>
      <c r="H357" s="15">
        <f>IF($G$1279=0,0,G357/$G$1279*100)</f>
      </c>
      <c r="I357" s="12" t="str">
        <f>IF(O357-C357&gt;0,O357-C357,"")</f>
        <v/>
      </c>
      <c r="J357" s="14" t="str">
        <f>IF(I357="","",F357*I357)</f>
        <v/>
      </c>
      <c r="K357" s="15">
        <f>IF(OR(J357="",$G$1279=0),"",J357/$G$1279*100)</f>
      </c>
      <c r="L357" s="12" t="str">
        <f>IF(C357-O357&gt;0,C357-O357,"")</f>
        <v/>
      </c>
      <c r="M357" s="14" t="str">
        <f>IF(L357="","",F357*L357)</f>
        <v/>
      </c>
      <c r="N357" s="15">
        <f>IF(OR(M357="",$G$1279=0),"",M357/$G$1279*100)</f>
      </c>
      <c r="O357" s="12">
        <v>1.63</v>
      </c>
      <c r="P357" s="14">
        <f>F357*O357</f>
        <v>2026581.3308999997</v>
      </c>
      <c r="Q357" s="15">
        <f>IF($P$1279=0,0,P357/$P$1279*100)</f>
      </c>
      <c r="R357" s="10" t="str">
        <f>IF(O357=C357,"TETAP",IF(C357=0,"BARU",IF(O357=0,"HAPUS",IF(O357&gt;C357,"TAMBAH","KURANG"))))</f>
        <v>TETAP</v>
      </c>
    </row>
    <row r="358" spans="1:18" x14ac:dyDescent="0.25">
      <c r="A358" s="10" t="s">
        <v>208</v>
      </c>
      <c r="B358" s="18" t="s">
        <v>410</v>
      </c>
      <c r="C358" s="12">
        <v>11.64</v>
      </c>
      <c r="D358" s="12">
        <v>0</v>
      </c>
      <c r="E358" s="10" t="s">
        <v>26</v>
      </c>
      <c r="F358" s="14">
        <v>60093.87</v>
      </c>
      <c r="G358" s="14">
        <f>F358*C358</f>
        <v>699492.6468000001</v>
      </c>
      <c r="H358" s="15">
        <f>IF($G$1279=0,0,G358/$G$1279*100)</f>
      </c>
      <c r="I358" s="12" t="str">
        <f>IF(O358-C358&gt;0,O358-C358,"")</f>
        <v/>
      </c>
      <c r="J358" s="14" t="str">
        <f>IF(I358="","",F358*I358)</f>
        <v/>
      </c>
      <c r="K358" s="15">
        <f>IF(OR(J358="",$G$1279=0),"",J358/$G$1279*100)</f>
      </c>
      <c r="L358" s="12" t="str">
        <f>IF(C358-O358&gt;0,C358-O358,"")</f>
        <v/>
      </c>
      <c r="M358" s="14" t="str">
        <f>IF(L358="","",F358*L358)</f>
        <v/>
      </c>
      <c r="N358" s="15">
        <f>IF(OR(M358="",$G$1279=0),"",M358/$G$1279*100)</f>
      </c>
      <c r="O358" s="12">
        <v>11.64</v>
      </c>
      <c r="P358" s="14">
        <f>F358*O358</f>
        <v>699492.6468000001</v>
      </c>
      <c r="Q358" s="15">
        <f>IF($P$1279=0,0,P358/$P$1279*100)</f>
      </c>
      <c r="R358" s="10" t="str">
        <f>IF(O358=C358,"TETAP",IF(C358=0,"BARU",IF(O358=0,"HAPUS",IF(O358&gt;C358,"TAMBAH","KURANG"))))</f>
        <v>TETAP</v>
      </c>
    </row>
    <row r="359" spans="1:18" x14ac:dyDescent="0.25">
      <c r="A359" s="10" t="s">
        <v>209</v>
      </c>
      <c r="B359" s="18" t="s">
        <v>182</v>
      </c>
      <c r="C359" s="12">
        <v>34.92</v>
      </c>
      <c r="D359" s="12">
        <v>0</v>
      </c>
      <c r="E359" s="10" t="s">
        <v>26</v>
      </c>
      <c r="F359" s="14">
        <v>44344.2</v>
      </c>
      <c r="G359" s="14">
        <f>F359*C359</f>
        <v>1548499.464</v>
      </c>
      <c r="H359" s="15">
        <f>IF($G$1279=0,0,G359/$G$1279*100)</f>
      </c>
      <c r="I359" s="12" t="str">
        <f>IF(O359-C359&gt;0,O359-C359,"")</f>
        <v/>
      </c>
      <c r="J359" s="14" t="str">
        <f>IF(I359="","",F359*I359)</f>
        <v/>
      </c>
      <c r="K359" s="15">
        <f>IF(OR(J359="",$G$1279=0),"",J359/$G$1279*100)</f>
      </c>
      <c r="L359" s="12" t="str">
        <f>IF(C359-O359&gt;0,C359-O359,"")</f>
        <v/>
      </c>
      <c r="M359" s="14" t="str">
        <f>IF(L359="","",F359*L359)</f>
        <v/>
      </c>
      <c r="N359" s="15">
        <f>IF(OR(M359="",$G$1279=0),"",M359/$G$1279*100)</f>
      </c>
      <c r="O359" s="12">
        <v>34.92</v>
      </c>
      <c r="P359" s="14">
        <f>F359*O359</f>
        <v>1548499.464</v>
      </c>
      <c r="Q359" s="15">
        <f>IF($P$1279=0,0,P359/$P$1279*100)</f>
      </c>
      <c r="R359" s="10" t="str">
        <f>IF(O359=C359,"TETAP",IF(C359=0,"BARU",IF(O359=0,"HAPUS",IF(O359&gt;C359,"TAMBAH","KURANG"))))</f>
        <v>TETAP</v>
      </c>
    </row>
    <row r="360" spans="1:18" x14ac:dyDescent="0.25">
      <c r="A360" s="5" t="s">
        <v>108</v>
      </c>
      <c r="B360" s="17" t="s">
        <v>411</v>
      </c>
      <c r="C360" s="7"/>
      <c r="D360" s="7"/>
      <c r="E360" s="5"/>
      <c r="F360" s="8"/>
      <c r="G360" s="8"/>
      <c r="H360" s="9"/>
      <c r="I360" s="7"/>
      <c r="J360" s="8"/>
      <c r="K360" s="9"/>
      <c r="L360" s="7"/>
      <c r="M360" s="8"/>
      <c r="N360" s="9"/>
      <c r="O360" s="7"/>
      <c r="P360" s="8"/>
      <c r="Q360" s="9"/>
      <c r="R360" s="5"/>
    </row>
    <row r="361" spans="1:18" x14ac:dyDescent="0.25">
      <c r="A361" s="10" t="s">
        <v>212</v>
      </c>
      <c r="B361" s="18" t="s">
        <v>412</v>
      </c>
      <c r="C361" s="12">
        <v>90.61</v>
      </c>
      <c r="D361" s="12">
        <v>0</v>
      </c>
      <c r="E361" s="10" t="s">
        <v>26</v>
      </c>
      <c r="F361" s="14">
        <v>298683.04</v>
      </c>
      <c r="G361" s="14">
        <f>F361*C361</f>
        <v>27063670.254399996</v>
      </c>
      <c r="H361" s="15">
        <f>IF($G$1279=0,0,G361/$G$1279*100)</f>
      </c>
      <c r="I361" s="12" t="str">
        <f>IF(O361-C361&gt;0,O361-C361,"")</f>
        <v/>
      </c>
      <c r="J361" s="14" t="str">
        <f>IF(I361="","",F361*I361)</f>
        <v/>
      </c>
      <c r="K361" s="15">
        <f>IF(OR(J361="",$G$1279=0),"",J361/$G$1279*100)</f>
      </c>
      <c r="L361" s="12" t="str">
        <f>IF(C361-O361&gt;0,C361-O361,"")</f>
        <v/>
      </c>
      <c r="M361" s="14" t="str">
        <f>IF(L361="","",F361*L361)</f>
        <v/>
      </c>
      <c r="N361" s="15">
        <f>IF(OR(M361="",$G$1279=0),"",M361/$G$1279*100)</f>
      </c>
      <c r="O361" s="12">
        <v>90.61</v>
      </c>
      <c r="P361" s="14">
        <f>F361*O361</f>
        <v>27063670.254399996</v>
      </c>
      <c r="Q361" s="15">
        <f>IF($P$1279=0,0,P361/$P$1279*100)</f>
      </c>
      <c r="R361" s="10" t="str">
        <f>IF(O361=C361,"TETAP",IF(C361=0,"BARU",IF(O361=0,"HAPUS",IF(O361&gt;C361,"TAMBAH","KURANG"))))</f>
        <v>TETAP</v>
      </c>
    </row>
    <row r="362" spans="1:18" x14ac:dyDescent="0.25">
      <c r="A362" s="10" t="s">
        <v>214</v>
      </c>
      <c r="B362" s="18" t="s">
        <v>413</v>
      </c>
      <c r="C362" s="12">
        <v>283</v>
      </c>
      <c r="D362" s="12">
        <v>0</v>
      </c>
      <c r="E362" s="10" t="s">
        <v>37</v>
      </c>
      <c r="F362" s="14">
        <v>6848.67</v>
      </c>
      <c r="G362" s="14">
        <f>F362*C362</f>
        <v>1938173.61</v>
      </c>
      <c r="H362" s="15">
        <f>IF($G$1279=0,0,G362/$G$1279*100)</f>
      </c>
      <c r="I362" s="12" t="str">
        <f>IF(O362-C362&gt;0,O362-C362,"")</f>
        <v/>
      </c>
      <c r="J362" s="14" t="str">
        <f>IF(I362="","",F362*I362)</f>
        <v/>
      </c>
      <c r="K362" s="15">
        <f>IF(OR(J362="",$G$1279=0),"",J362/$G$1279*100)</f>
      </c>
      <c r="L362" s="12" t="str">
        <f>IF(C362-O362&gt;0,C362-O362,"")</f>
        <v/>
      </c>
      <c r="M362" s="14" t="str">
        <f>IF(L362="","",F362*L362)</f>
        <v/>
      </c>
      <c r="N362" s="15">
        <f>IF(OR(M362="",$G$1279=0),"",M362/$G$1279*100)</f>
      </c>
      <c r="O362" s="12">
        <v>283</v>
      </c>
      <c r="P362" s="14">
        <f>F362*O362</f>
        <v>1938173.61</v>
      </c>
      <c r="Q362" s="15">
        <f>IF($P$1279=0,0,P362/$P$1279*100)</f>
      </c>
      <c r="R362" s="10" t="str">
        <f>IF(O362=C362,"TETAP",IF(C362=0,"BARU",IF(O362=0,"HAPUS",IF(O362&gt;C362,"TAMBAH","KURANG"))))</f>
        <v>TETAP</v>
      </c>
    </row>
    <row r="363" spans="1:18" x14ac:dyDescent="0.25">
      <c r="A363" s="10" t="s">
        <v>216</v>
      </c>
      <c r="B363" s="18" t="s">
        <v>414</v>
      </c>
      <c r="C363" s="12">
        <v>132.867</v>
      </c>
      <c r="D363" s="12">
        <v>0</v>
      </c>
      <c r="E363" s="10" t="s">
        <v>26</v>
      </c>
      <c r="F363" s="14">
        <v>201383.58</v>
      </c>
      <c r="G363" s="14">
        <f>F363*C363</f>
        <v>26757232.123859998</v>
      </c>
      <c r="H363" s="15">
        <f>IF($G$1279=0,0,G363/$G$1279*100)</f>
      </c>
      <c r="I363" s="12" t="str">
        <f>IF(O363-C363&gt;0,O363-C363,"")</f>
        <v/>
      </c>
      <c r="J363" s="14" t="str">
        <f>IF(I363="","",F363*I363)</f>
        <v/>
      </c>
      <c r="K363" s="15">
        <f>IF(OR(J363="",$G$1279=0),"",J363/$G$1279*100)</f>
      </c>
      <c r="L363" s="12" t="str">
        <f>IF(C363-O363&gt;0,C363-O363,"")</f>
        <v/>
      </c>
      <c r="M363" s="14" t="str">
        <f>IF(L363="","",F363*L363)</f>
        <v/>
      </c>
      <c r="N363" s="15">
        <f>IF(OR(M363="",$G$1279=0),"",M363/$G$1279*100)</f>
      </c>
      <c r="O363" s="12">
        <v>132.867</v>
      </c>
      <c r="P363" s="14">
        <f>F363*O363</f>
        <v>26757232.123859998</v>
      </c>
      <c r="Q363" s="15">
        <f>IF($P$1279=0,0,P363/$P$1279*100)</f>
      </c>
      <c r="R363" s="10" t="str">
        <f>IF(O363=C363,"TETAP",IF(C363=0,"BARU",IF(O363=0,"HAPUS",IF(O363&gt;C363,"TAMBAH","KURANG"))))</f>
        <v>TETAP</v>
      </c>
    </row>
    <row r="364" spans="1:18" x14ac:dyDescent="0.25">
      <c r="A364" s="10" t="s">
        <v>218</v>
      </c>
      <c r="B364" s="18" t="s">
        <v>415</v>
      </c>
      <c r="C364" s="12">
        <v>14.25</v>
      </c>
      <c r="D364" s="12">
        <v>0</v>
      </c>
      <c r="E364" s="10" t="s">
        <v>37</v>
      </c>
      <c r="F364" s="14">
        <v>180329.43</v>
      </c>
      <c r="G364" s="14">
        <f>F364*C364</f>
        <v>2569694.3775</v>
      </c>
      <c r="H364" s="15">
        <f>IF($G$1279=0,0,G364/$G$1279*100)</f>
      </c>
      <c r="I364" s="12" t="str">
        <f>IF(O364-C364&gt;0,O364-C364,"")</f>
        <v/>
      </c>
      <c r="J364" s="14" t="str">
        <f>IF(I364="","",F364*I364)</f>
        <v/>
      </c>
      <c r="K364" s="15">
        <f>IF(OR(J364="",$G$1279=0),"",J364/$G$1279*100)</f>
      </c>
      <c r="L364" s="12" t="str">
        <f>IF(C364-O364&gt;0,C364-O364,"")</f>
        <v/>
      </c>
      <c r="M364" s="14" t="str">
        <f>IF(L364="","",F364*L364)</f>
        <v/>
      </c>
      <c r="N364" s="15">
        <f>IF(OR(M364="",$G$1279=0),"",M364/$G$1279*100)</f>
      </c>
      <c r="O364" s="12">
        <v>14.25</v>
      </c>
      <c r="P364" s="14">
        <f>F364*O364</f>
        <v>2569694.3775</v>
      </c>
      <c r="Q364" s="15">
        <f>IF($P$1279=0,0,P364/$P$1279*100)</f>
      </c>
      <c r="R364" s="10" t="str">
        <f>IF(O364=C364,"TETAP",IF(C364=0,"BARU",IF(O364=0,"HAPUS",IF(O364&gt;C364,"TAMBAH","KURANG"))))</f>
        <v>TETAP</v>
      </c>
    </row>
    <row r="365" spans="1:18" x14ac:dyDescent="0.25">
      <c r="A365" s="10" t="s">
        <v>110</v>
      </c>
      <c r="B365" s="20" t="s">
        <v>416</v>
      </c>
      <c r="C365" s="12">
        <v>98.3</v>
      </c>
      <c r="D365" s="12">
        <v>0</v>
      </c>
      <c r="E365" s="10" t="s">
        <v>26</v>
      </c>
      <c r="F365" s="14">
        <v>222901.19</v>
      </c>
      <c r="G365" s="14">
        <f>F365*C365</f>
        <v>21911186.976999998</v>
      </c>
      <c r="H365" s="15">
        <f>IF($G$1279=0,0,G365/$G$1279*100)</f>
      </c>
      <c r="I365" s="12" t="str">
        <f>IF(O365-C365&gt;0,O365-C365,"")</f>
        <v/>
      </c>
      <c r="J365" s="14" t="str">
        <f>IF(I365="","",F365*I365)</f>
        <v/>
      </c>
      <c r="K365" s="15">
        <f>IF(OR(J365="",$G$1279=0),"",J365/$G$1279*100)</f>
      </c>
      <c r="L365" s="12" t="str">
        <f>IF(C365-O365&gt;0,C365-O365,"")</f>
        <v/>
      </c>
      <c r="M365" s="14" t="str">
        <f>IF(L365="","",F365*L365)</f>
        <v/>
      </c>
      <c r="N365" s="15">
        <f>IF(OR(M365="",$G$1279=0),"",M365/$G$1279*100)</f>
      </c>
      <c r="O365" s="12">
        <v>98.3</v>
      </c>
      <c r="P365" s="14">
        <f>F365*O365</f>
        <v>21911186.976999998</v>
      </c>
      <c r="Q365" s="15">
        <f>IF($P$1279=0,0,P365/$P$1279*100)</f>
      </c>
      <c r="R365" s="10" t="str">
        <f>IF(O365=C365,"TETAP",IF(C365=0,"BARU",IF(O365=0,"HAPUS",IF(O365&gt;C365,"TAMBAH","KURANG"))))</f>
        <v>TETAP</v>
      </c>
    </row>
    <row r="366" spans="1:18" x14ac:dyDescent="0.25">
      <c r="A366" s="10" t="s">
        <v>112</v>
      </c>
      <c r="B366" s="20" t="s">
        <v>417</v>
      </c>
      <c r="C366" s="12">
        <v>19.36</v>
      </c>
      <c r="D366" s="12">
        <v>0</v>
      </c>
      <c r="E366" s="10" t="s">
        <v>26</v>
      </c>
      <c r="F366" s="14">
        <v>436098.11</v>
      </c>
      <c r="G366" s="14">
        <f>F366*C366</f>
        <v>8442859.409599999</v>
      </c>
      <c r="H366" s="15">
        <f>IF($G$1279=0,0,G366/$G$1279*100)</f>
      </c>
      <c r="I366" s="12" t="str">
        <f>IF(O366-C366&gt;0,O366-C366,"")</f>
        <v/>
      </c>
      <c r="J366" s="14" t="str">
        <f>IF(I366="","",F366*I366)</f>
        <v/>
      </c>
      <c r="K366" s="15">
        <f>IF(OR(J366="",$G$1279=0),"",J366/$G$1279*100)</f>
      </c>
      <c r="L366" s="12" t="str">
        <f>IF(C366-O366&gt;0,C366-O366,"")</f>
        <v/>
      </c>
      <c r="M366" s="14" t="str">
        <f>IF(L366="","",F366*L366)</f>
        <v/>
      </c>
      <c r="N366" s="15">
        <f>IF(OR(M366="",$G$1279=0),"",M366/$G$1279*100)</f>
      </c>
      <c r="O366" s="12">
        <v>19.36</v>
      </c>
      <c r="P366" s="14">
        <f>F366*O366</f>
        <v>8442859.409599999</v>
      </c>
      <c r="Q366" s="15">
        <f>IF($P$1279=0,0,P366/$P$1279*100)</f>
      </c>
      <c r="R366" s="10" t="str">
        <f>IF(O366=C366,"TETAP",IF(C366=0,"BARU",IF(O366=0,"HAPUS",IF(O366&gt;C366,"TAMBAH","KURANG"))))</f>
        <v>TETAP</v>
      </c>
    </row>
    <row r="367" spans="1:18" x14ac:dyDescent="0.25">
      <c r="A367" s="10" t="s">
        <v>115</v>
      </c>
      <c r="B367" s="20" t="s">
        <v>418</v>
      </c>
      <c r="C367" s="12">
        <v>155.47</v>
      </c>
      <c r="D367" s="12">
        <v>0</v>
      </c>
      <c r="E367" s="10" t="s">
        <v>26</v>
      </c>
      <c r="F367" s="14">
        <v>92448.72</v>
      </c>
      <c r="G367" s="14">
        <f>F367*C367</f>
        <v>14373002.4984</v>
      </c>
      <c r="H367" s="15">
        <f>IF($G$1279=0,0,G367/$G$1279*100)</f>
      </c>
      <c r="I367" s="12" t="str">
        <f>IF(O367-C367&gt;0,O367-C367,"")</f>
        <v/>
      </c>
      <c r="J367" s="14" t="str">
        <f>IF(I367="","",F367*I367)</f>
        <v/>
      </c>
      <c r="K367" s="15">
        <f>IF(OR(J367="",$G$1279=0),"",J367/$G$1279*100)</f>
      </c>
      <c r="L367" s="12" t="str">
        <f>IF(C367-O367&gt;0,C367-O367,"")</f>
        <v/>
      </c>
      <c r="M367" s="14" t="str">
        <f>IF(L367="","",F367*L367)</f>
        <v/>
      </c>
      <c r="N367" s="15">
        <f>IF(OR(M367="",$G$1279=0),"",M367/$G$1279*100)</f>
      </c>
      <c r="O367" s="12">
        <v>155.47</v>
      </c>
      <c r="P367" s="14">
        <f>F367*O367</f>
        <v>14373002.4984</v>
      </c>
      <c r="Q367" s="15">
        <f>IF($P$1279=0,0,P367/$P$1279*100)</f>
      </c>
      <c r="R367" s="10" t="str">
        <f>IF(O367=C367,"TETAP",IF(C367=0,"BARU",IF(O367=0,"HAPUS",IF(O367&gt;C367,"TAMBAH","KURANG"))))</f>
        <v>TETAP</v>
      </c>
    </row>
    <row r="368" spans="1:18" x14ac:dyDescent="0.25">
      <c r="A368" s="10" t="s">
        <v>132</v>
      </c>
      <c r="B368" s="20" t="s">
        <v>419</v>
      </c>
      <c r="C368" s="12">
        <v>98.3</v>
      </c>
      <c r="D368" s="12">
        <v>0</v>
      </c>
      <c r="E368" s="10" t="s">
        <v>26</v>
      </c>
      <c r="F368" s="14">
        <v>37047.53</v>
      </c>
      <c r="G368" s="14">
        <f>F368*C368</f>
        <v>3641772.1989999996</v>
      </c>
      <c r="H368" s="15">
        <f>IF($G$1279=0,0,G368/$G$1279*100)</f>
      </c>
      <c r="I368" s="12" t="str">
        <f>IF(O368-C368&gt;0,O368-C368,"")</f>
        <v/>
      </c>
      <c r="J368" s="14" t="str">
        <f>IF(I368="","",F368*I368)</f>
        <v/>
      </c>
      <c r="K368" s="15">
        <f>IF(OR(J368="",$G$1279=0),"",J368/$G$1279*100)</f>
      </c>
      <c r="L368" s="12" t="str">
        <f>IF(C368-O368&gt;0,C368-O368,"")</f>
        <v/>
      </c>
      <c r="M368" s="14" t="str">
        <f>IF(L368="","",F368*L368)</f>
        <v/>
      </c>
      <c r="N368" s="15">
        <f>IF(OR(M368="",$G$1279=0),"",M368/$G$1279*100)</f>
      </c>
      <c r="O368" s="12">
        <v>98.3</v>
      </c>
      <c r="P368" s="14">
        <f>F368*O368</f>
        <v>3641772.1989999996</v>
      </c>
      <c r="Q368" s="15">
        <f>IF($P$1279=0,0,P368/$P$1279*100)</f>
      </c>
      <c r="R368" s="10" t="str">
        <f>IF(O368=C368,"TETAP",IF(C368=0,"BARU",IF(O368=0,"HAPUS",IF(O368&gt;C368,"TAMBAH","KURANG"))))</f>
        <v>TETAP</v>
      </c>
    </row>
    <row r="369" spans="1:18" x14ac:dyDescent="0.25">
      <c r="A369" s="10" t="s">
        <v>138</v>
      </c>
      <c r="B369" s="20" t="s">
        <v>420</v>
      </c>
      <c r="C369" s="12">
        <v>37.42</v>
      </c>
      <c r="D369" s="12">
        <v>0</v>
      </c>
      <c r="E369" s="10" t="s">
        <v>37</v>
      </c>
      <c r="F369" s="14">
        <v>104856.07</v>
      </c>
      <c r="G369" s="14">
        <f>F369*C369</f>
        <v>3923714.1394</v>
      </c>
      <c r="H369" s="15">
        <f>IF($G$1279=0,0,G369/$G$1279*100)</f>
      </c>
      <c r="I369" s="12" t="str">
        <f>IF(O369-C369&gt;0,O369-C369,"")</f>
        <v/>
      </c>
      <c r="J369" s="14" t="str">
        <f>IF(I369="","",F369*I369)</f>
        <v/>
      </c>
      <c r="K369" s="15">
        <f>IF(OR(J369="",$G$1279=0),"",J369/$G$1279*100)</f>
      </c>
      <c r="L369" s="12" t="str">
        <f>IF(C369-O369&gt;0,C369-O369,"")</f>
        <v/>
      </c>
      <c r="M369" s="14" t="str">
        <f>IF(L369="","",F369*L369)</f>
        <v/>
      </c>
      <c r="N369" s="15">
        <f>IF(OR(M369="",$G$1279=0),"",M369/$G$1279*100)</f>
      </c>
      <c r="O369" s="12">
        <v>37.42</v>
      </c>
      <c r="P369" s="14">
        <f>F369*O369</f>
        <v>3923714.1394</v>
      </c>
      <c r="Q369" s="15">
        <f>IF($P$1279=0,0,P369/$P$1279*100)</f>
      </c>
      <c r="R369" s="10" t="str">
        <f>IF(O369=C369,"TETAP",IF(C369=0,"BARU",IF(O369=0,"HAPUS",IF(O369&gt;C369,"TAMBAH","KURANG"))))</f>
        <v>TETAP</v>
      </c>
    </row>
    <row r="370" spans="1:18" x14ac:dyDescent="0.25">
      <c r="A370" s="10" t="s">
        <v>144</v>
      </c>
      <c r="B370" s="20" t="s">
        <v>421</v>
      </c>
      <c r="C370" s="12">
        <v>11.23</v>
      </c>
      <c r="D370" s="12">
        <v>0</v>
      </c>
      <c r="E370" s="10" t="s">
        <v>26</v>
      </c>
      <c r="F370" s="14">
        <v>92448.72</v>
      </c>
      <c r="G370" s="14">
        <f>F370*C370</f>
        <v>1038199.1256</v>
      </c>
      <c r="H370" s="15">
        <f>IF($G$1279=0,0,G370/$G$1279*100)</f>
      </c>
      <c r="I370" s="12" t="str">
        <f>IF(O370-C370&gt;0,O370-C370,"")</f>
        <v/>
      </c>
      <c r="J370" s="14" t="str">
        <f>IF(I370="","",F370*I370)</f>
        <v/>
      </c>
      <c r="K370" s="15">
        <f>IF(OR(J370="",$G$1279=0),"",J370/$G$1279*100)</f>
      </c>
      <c r="L370" s="12" t="str">
        <f>IF(C370-O370&gt;0,C370-O370,"")</f>
        <v/>
      </c>
      <c r="M370" s="14" t="str">
        <f>IF(L370="","",F370*L370)</f>
        <v/>
      </c>
      <c r="N370" s="15">
        <f>IF(OR(M370="",$G$1279=0),"",M370/$G$1279*100)</f>
      </c>
      <c r="O370" s="12">
        <v>11.23</v>
      </c>
      <c r="P370" s="14">
        <f>F370*O370</f>
        <v>1038199.1256</v>
      </c>
      <c r="Q370" s="15">
        <f>IF($P$1279=0,0,P370/$P$1279*100)</f>
      </c>
      <c r="R370" s="10" t="str">
        <f>IF(O370=C370,"TETAP",IF(C370=0,"BARU",IF(O370=0,"HAPUS",IF(O370&gt;C370,"TAMBAH","KURANG"))))</f>
        <v>TETAP</v>
      </c>
    </row>
    <row r="371" spans="1:18" x14ac:dyDescent="0.25">
      <c r="A371" s="10" t="s">
        <v>150</v>
      </c>
      <c r="B371" s="20" t="s">
        <v>422</v>
      </c>
      <c r="C371" s="12">
        <v>1</v>
      </c>
      <c r="D371" s="12">
        <v>0</v>
      </c>
      <c r="E371" s="10" t="s">
        <v>119</v>
      </c>
      <c r="F371" s="14">
        <v>2296017.52</v>
      </c>
      <c r="G371" s="14">
        <f>F371*C371</f>
        <v>2296017.52</v>
      </c>
      <c r="H371" s="15">
        <f>IF($G$1279=0,0,G371/$G$1279*100)</f>
      </c>
      <c r="I371" s="12" t="str">
        <f>IF(O371-C371&gt;0,O371-C371,"")</f>
        <v/>
      </c>
      <c r="J371" s="14" t="str">
        <f>IF(I371="","",F371*I371)</f>
        <v/>
      </c>
      <c r="K371" s="15">
        <f>IF(OR(J371="",$G$1279=0),"",J371/$G$1279*100)</f>
      </c>
      <c r="L371" s="12" t="str">
        <f>IF(C371-O371&gt;0,C371-O371,"")</f>
        <v/>
      </c>
      <c r="M371" s="14" t="str">
        <f>IF(L371="","",F371*L371)</f>
        <v/>
      </c>
      <c r="N371" s="15">
        <f>IF(OR(M371="",$G$1279=0),"",M371/$G$1279*100)</f>
      </c>
      <c r="O371" s="12">
        <v>1</v>
      </c>
      <c r="P371" s="14">
        <f>F371*O371</f>
        <v>2296017.52</v>
      </c>
      <c r="Q371" s="15">
        <f>IF($P$1279=0,0,P371/$P$1279*100)</f>
      </c>
      <c r="R371" s="10" t="str">
        <f>IF(O371=C371,"TETAP",IF(C371=0,"BARU",IF(O371=0,"HAPUS",IF(O371&gt;C371,"TAMBAH","KURANG"))))</f>
        <v>TETAP</v>
      </c>
    </row>
    <row r="372" spans="1:18" x14ac:dyDescent="0.25">
      <c r="A372" s="10" t="s">
        <v>152</v>
      </c>
      <c r="B372" s="20" t="s">
        <v>423</v>
      </c>
      <c r="C372" s="12">
        <v>21</v>
      </c>
      <c r="D372" s="12">
        <v>0</v>
      </c>
      <c r="E372" s="10" t="s">
        <v>32</v>
      </c>
      <c r="F372" s="14">
        <v>127712.6</v>
      </c>
      <c r="G372" s="14">
        <f>F372*C372</f>
        <v>2681964.6</v>
      </c>
      <c r="H372" s="15">
        <f>IF($G$1279=0,0,G372/$G$1279*100)</f>
      </c>
      <c r="I372" s="12" t="str">
        <f>IF(O372-C372&gt;0,O372-C372,"")</f>
        <v/>
      </c>
      <c r="J372" s="14" t="str">
        <f>IF(I372="","",F372*I372)</f>
        <v/>
      </c>
      <c r="K372" s="15">
        <f>IF(OR(J372="",$G$1279=0),"",J372/$G$1279*100)</f>
      </c>
      <c r="L372" s="12" t="str">
        <f>IF(C372-O372&gt;0,C372-O372,"")</f>
        <v/>
      </c>
      <c r="M372" s="14" t="str">
        <f>IF(L372="","",F372*L372)</f>
        <v/>
      </c>
      <c r="N372" s="15">
        <f>IF(OR(M372="",$G$1279=0),"",M372/$G$1279*100)</f>
      </c>
      <c r="O372" s="12">
        <v>21</v>
      </c>
      <c r="P372" s="14">
        <f>F372*O372</f>
        <v>2681964.6</v>
      </c>
      <c r="Q372" s="15">
        <f>IF($P$1279=0,0,P372/$P$1279*100)</f>
      </c>
      <c r="R372" s="10" t="str">
        <f>IF(O372=C372,"TETAP",IF(C372=0,"BARU",IF(O372=0,"HAPUS",IF(O372&gt;C372,"TAMBAH","KURANG"))))</f>
        <v>TETAP</v>
      </c>
    </row>
    <row r="373" spans="1:18" x14ac:dyDescent="0.25">
      <c r="A373" s="5" t="s">
        <v>424</v>
      </c>
      <c r="B373" s="16" t="s">
        <v>425</v>
      </c>
      <c r="C373" s="7"/>
      <c r="D373" s="7"/>
      <c r="E373" s="5"/>
      <c r="F373" s="8"/>
      <c r="G373" s="8"/>
      <c r="H373" s="9"/>
      <c r="I373" s="7"/>
      <c r="J373" s="8"/>
      <c r="K373" s="9"/>
      <c r="L373" s="7"/>
      <c r="M373" s="8"/>
      <c r="N373" s="9"/>
      <c r="O373" s="7"/>
      <c r="P373" s="8"/>
      <c r="Q373" s="9"/>
      <c r="R373" s="5"/>
    </row>
    <row r="374" spans="1:18" x14ac:dyDescent="0.25">
      <c r="A374" s="10" t="s">
        <v>24</v>
      </c>
      <c r="B374" s="20" t="s">
        <v>426</v>
      </c>
      <c r="C374" s="12">
        <v>12</v>
      </c>
      <c r="D374" s="12">
        <v>0</v>
      </c>
      <c r="E374" s="10" t="s">
        <v>114</v>
      </c>
      <c r="F374" s="14">
        <v>480412.67</v>
      </c>
      <c r="G374" s="14">
        <f>F374*C374</f>
        <v>5764952.04</v>
      </c>
      <c r="H374" s="15">
        <f>IF($G$1279=0,0,G374/$G$1279*100)</f>
      </c>
      <c r="I374" s="12" t="str">
        <f>IF(O374-C374&gt;0,O374-C374,"")</f>
        <v/>
      </c>
      <c r="J374" s="14" t="str">
        <f>IF(I374="","",F374*I374)</f>
        <v/>
      </c>
      <c r="K374" s="15">
        <f>IF(OR(J374="",$G$1279=0),"",J374/$G$1279*100)</f>
      </c>
      <c r="L374" s="12" t="str">
        <f>IF(C374-O374&gt;0,C374-O374,"")</f>
        <v/>
      </c>
      <c r="M374" s="14" t="str">
        <f>IF(L374="","",F374*L374)</f>
        <v/>
      </c>
      <c r="N374" s="15">
        <f>IF(OR(M374="",$G$1279=0),"",M374/$G$1279*100)</f>
      </c>
      <c r="O374" s="12">
        <v>12</v>
      </c>
      <c r="P374" s="14">
        <f>F374*O374</f>
        <v>5764952.04</v>
      </c>
      <c r="Q374" s="15">
        <f>IF($P$1279=0,0,P374/$P$1279*100)</f>
      </c>
      <c r="R374" s="10" t="str">
        <f>IF(O374=C374,"TETAP",IF(C374=0,"BARU",IF(O374=0,"HAPUS",IF(O374&gt;C374,"TAMBAH","KURANG"))))</f>
        <v>TETAP</v>
      </c>
    </row>
    <row r="375" spans="1:18" x14ac:dyDescent="0.25">
      <c r="A375" s="10" t="s">
        <v>27</v>
      </c>
      <c r="B375" s="20" t="s">
        <v>427</v>
      </c>
      <c r="C375" s="12">
        <v>8</v>
      </c>
      <c r="D375" s="12">
        <v>0</v>
      </c>
      <c r="E375" s="10" t="s">
        <v>114</v>
      </c>
      <c r="F375" s="14">
        <v>709748.82</v>
      </c>
      <c r="G375" s="14">
        <f>F375*C375</f>
        <v>5677990.56</v>
      </c>
      <c r="H375" s="15">
        <f>IF($G$1279=0,0,G375/$G$1279*100)</f>
      </c>
      <c r="I375" s="12" t="str">
        <f>IF(O375-C375&gt;0,O375-C375,"")</f>
        <v/>
      </c>
      <c r="J375" s="14" t="str">
        <f>IF(I375="","",F375*I375)</f>
        <v/>
      </c>
      <c r="K375" s="15">
        <f>IF(OR(J375="",$G$1279=0),"",J375/$G$1279*100)</f>
      </c>
      <c r="L375" s="12" t="str">
        <f>IF(C375-O375&gt;0,C375-O375,"")</f>
        <v/>
      </c>
      <c r="M375" s="14" t="str">
        <f>IF(L375="","",F375*L375)</f>
        <v/>
      </c>
      <c r="N375" s="15">
        <f>IF(OR(M375="",$G$1279=0),"",M375/$G$1279*100)</f>
      </c>
      <c r="O375" s="12">
        <v>8</v>
      </c>
      <c r="P375" s="14">
        <f>F375*O375</f>
        <v>5677990.56</v>
      </c>
      <c r="Q375" s="15">
        <f>IF($P$1279=0,0,P375/$P$1279*100)</f>
      </c>
      <c r="R375" s="10" t="str">
        <f>IF(O375=C375,"TETAP",IF(C375=0,"BARU",IF(O375=0,"HAPUS",IF(O375&gt;C375,"TAMBAH","KURANG"))))</f>
        <v>TETAP</v>
      </c>
    </row>
    <row r="376" spans="1:18" x14ac:dyDescent="0.25">
      <c r="A376" s="10" t="s">
        <v>30</v>
      </c>
      <c r="B376" s="20" t="s">
        <v>428</v>
      </c>
      <c r="C376" s="12">
        <v>1</v>
      </c>
      <c r="D376" s="12">
        <v>0</v>
      </c>
      <c r="E376" s="10" t="s">
        <v>32</v>
      </c>
      <c r="F376" s="14">
        <v>69290.26</v>
      </c>
      <c r="G376" s="14">
        <f>F376*C376</f>
        <v>69290.26</v>
      </c>
      <c r="H376" s="15">
        <f>IF($G$1279=0,0,G376/$G$1279*100)</f>
      </c>
      <c r="I376" s="12" t="str">
        <f>IF(O376-C376&gt;0,O376-C376,"")</f>
        <v/>
      </c>
      <c r="J376" s="14" t="str">
        <f>IF(I376="","",F376*I376)</f>
        <v/>
      </c>
      <c r="K376" s="15">
        <f>IF(OR(J376="",$G$1279=0),"",J376/$G$1279*100)</f>
      </c>
      <c r="L376" s="12" t="str">
        <f>IF(C376-O376&gt;0,C376-O376,"")</f>
        <v/>
      </c>
      <c r="M376" s="14" t="str">
        <f>IF(L376="","",F376*L376)</f>
        <v/>
      </c>
      <c r="N376" s="15">
        <f>IF(OR(M376="",$G$1279=0),"",M376/$G$1279*100)</f>
      </c>
      <c r="O376" s="12">
        <v>1</v>
      </c>
      <c r="P376" s="14">
        <f>F376*O376</f>
        <v>69290.26</v>
      </c>
      <c r="Q376" s="15">
        <f>IF($P$1279=0,0,P376/$P$1279*100)</f>
      </c>
      <c r="R376" s="10" t="str">
        <f>IF(O376=C376,"TETAP",IF(C376=0,"BARU",IF(O376=0,"HAPUS",IF(O376&gt;C376,"TAMBAH","KURANG"))))</f>
        <v>TETAP</v>
      </c>
    </row>
    <row r="377" spans="1:18" x14ac:dyDescent="0.25">
      <c r="A377" s="10" t="s">
        <v>33</v>
      </c>
      <c r="B377" s="20" t="s">
        <v>429</v>
      </c>
      <c r="C377" s="12">
        <v>8</v>
      </c>
      <c r="D377" s="12">
        <v>0</v>
      </c>
      <c r="E377" s="10" t="s">
        <v>32</v>
      </c>
      <c r="F377" s="14">
        <v>88424.41</v>
      </c>
      <c r="G377" s="14">
        <f>F377*C377</f>
        <v>707395.28</v>
      </c>
      <c r="H377" s="15">
        <f>IF($G$1279=0,0,G377/$G$1279*100)</f>
      </c>
      <c r="I377" s="12" t="str">
        <f>IF(O377-C377&gt;0,O377-C377,"")</f>
        <v/>
      </c>
      <c r="J377" s="14" t="str">
        <f>IF(I377="","",F377*I377)</f>
        <v/>
      </c>
      <c r="K377" s="15">
        <f>IF(OR(J377="",$G$1279=0),"",J377/$G$1279*100)</f>
      </c>
      <c r="L377" s="12" t="str">
        <f>IF(C377-O377&gt;0,C377-O377,"")</f>
        <v/>
      </c>
      <c r="M377" s="14" t="str">
        <f>IF(L377="","",F377*L377)</f>
        <v/>
      </c>
      <c r="N377" s="15">
        <f>IF(OR(M377="",$G$1279=0),"",M377/$G$1279*100)</f>
      </c>
      <c r="O377" s="12">
        <v>8</v>
      </c>
      <c r="P377" s="14">
        <f>F377*O377</f>
        <v>707395.28</v>
      </c>
      <c r="Q377" s="15">
        <f>IF($P$1279=0,0,P377/$P$1279*100)</f>
      </c>
      <c r="R377" s="10" t="str">
        <f>IF(O377=C377,"TETAP",IF(C377=0,"BARU",IF(O377=0,"HAPUS",IF(O377&gt;C377,"TAMBAH","KURANG"))))</f>
        <v>TETAP</v>
      </c>
    </row>
    <row r="378" spans="1:18" x14ac:dyDescent="0.25">
      <c r="A378" s="10" t="s">
        <v>35</v>
      </c>
      <c r="B378" s="20" t="s">
        <v>430</v>
      </c>
      <c r="C378" s="12">
        <v>12</v>
      </c>
      <c r="D378" s="12">
        <v>0</v>
      </c>
      <c r="E378" s="10" t="s">
        <v>32</v>
      </c>
      <c r="F378" s="14">
        <v>144903.67</v>
      </c>
      <c r="G378" s="14">
        <f>F378*C378</f>
        <v>1738844.04</v>
      </c>
      <c r="H378" s="15">
        <f>IF($G$1279=0,0,G378/$G$1279*100)</f>
      </c>
      <c r="I378" s="12" t="str">
        <f>IF(O378-C378&gt;0,O378-C378,"")</f>
        <v/>
      </c>
      <c r="J378" s="14" t="str">
        <f>IF(I378="","",F378*I378)</f>
        <v/>
      </c>
      <c r="K378" s="15">
        <f>IF(OR(J378="",$G$1279=0),"",J378/$G$1279*100)</f>
      </c>
      <c r="L378" s="12" t="str">
        <f>IF(C378-O378&gt;0,C378-O378,"")</f>
        <v/>
      </c>
      <c r="M378" s="14" t="str">
        <f>IF(L378="","",F378*L378)</f>
        <v/>
      </c>
      <c r="N378" s="15">
        <f>IF(OR(M378="",$G$1279=0),"",M378/$G$1279*100)</f>
      </c>
      <c r="O378" s="12">
        <v>12</v>
      </c>
      <c r="P378" s="14">
        <f>F378*O378</f>
        <v>1738844.04</v>
      </c>
      <c r="Q378" s="15">
        <f>IF($P$1279=0,0,P378/$P$1279*100)</f>
      </c>
      <c r="R378" s="10" t="str">
        <f>IF(O378=C378,"TETAP",IF(C378=0,"BARU",IF(O378=0,"HAPUS",IF(O378&gt;C378,"TAMBAH","KURANG"))))</f>
        <v>TETAP</v>
      </c>
    </row>
    <row r="379" spans="1:18" x14ac:dyDescent="0.25">
      <c r="A379" s="10" t="s">
        <v>38</v>
      </c>
      <c r="B379" s="20" t="s">
        <v>431</v>
      </c>
      <c r="C379" s="12">
        <v>1</v>
      </c>
      <c r="D379" s="12">
        <v>0</v>
      </c>
      <c r="E379" s="10" t="s">
        <v>119</v>
      </c>
      <c r="F379" s="14">
        <v>713457.39</v>
      </c>
      <c r="G379" s="14">
        <f>F379*C379</f>
        <v>713457.39</v>
      </c>
      <c r="H379" s="15">
        <f>IF($G$1279=0,0,G379/$G$1279*100)</f>
      </c>
      <c r="I379" s="12" t="str">
        <f>IF(O379-C379&gt;0,O379-C379,"")</f>
        <v/>
      </c>
      <c r="J379" s="14" t="str">
        <f>IF(I379="","",F379*I379)</f>
        <v/>
      </c>
      <c r="K379" s="15">
        <f>IF(OR(J379="",$G$1279=0),"",J379/$G$1279*100)</f>
      </c>
      <c r="L379" s="12" t="str">
        <f>IF(C379-O379&gt;0,C379-O379,"")</f>
        <v/>
      </c>
      <c r="M379" s="14" t="str">
        <f>IF(L379="","",F379*L379)</f>
        <v/>
      </c>
      <c r="N379" s="15">
        <f>IF(OR(M379="",$G$1279=0),"",M379/$G$1279*100)</f>
      </c>
      <c r="O379" s="12">
        <v>1</v>
      </c>
      <c r="P379" s="14">
        <f>F379*O379</f>
        <v>713457.39</v>
      </c>
      <c r="Q379" s="15">
        <f>IF($P$1279=0,0,P379/$P$1279*100)</f>
      </c>
      <c r="R379" s="10" t="str">
        <f>IF(O379=C379,"TETAP",IF(C379=0,"BARU",IF(O379=0,"HAPUS",IF(O379&gt;C379,"TAMBAH","KURANG"))))</f>
        <v>TETAP</v>
      </c>
    </row>
    <row r="380" spans="1:18" x14ac:dyDescent="0.25">
      <c r="A380" s="5" t="s">
        <v>432</v>
      </c>
      <c r="B380" s="6" t="s">
        <v>433</v>
      </c>
      <c r="C380" s="7"/>
      <c r="D380" s="7"/>
      <c r="E380" s="5"/>
      <c r="F380" s="8"/>
      <c r="G380" s="8"/>
      <c r="H380" s="9"/>
      <c r="I380" s="7"/>
      <c r="J380" s="8"/>
      <c r="K380" s="9"/>
      <c r="L380" s="7"/>
      <c r="M380" s="8"/>
      <c r="N380" s="9"/>
      <c r="O380" s="7"/>
      <c r="P380" s="8"/>
      <c r="Q380" s="9"/>
      <c r="R380" s="5"/>
    </row>
    <row r="381" spans="1:18" x14ac:dyDescent="0.25">
      <c r="A381" s="5" t="s">
        <v>434</v>
      </c>
      <c r="B381" s="16" t="s">
        <v>435</v>
      </c>
      <c r="C381" s="7"/>
      <c r="D381" s="7"/>
      <c r="E381" s="5"/>
      <c r="F381" s="8"/>
      <c r="G381" s="8"/>
      <c r="H381" s="9"/>
      <c r="I381" s="7"/>
      <c r="J381" s="8"/>
      <c r="K381" s="9"/>
      <c r="L381" s="7"/>
      <c r="M381" s="8"/>
      <c r="N381" s="9"/>
      <c r="O381" s="7"/>
      <c r="P381" s="8"/>
      <c r="Q381" s="9"/>
      <c r="R381" s="5"/>
    </row>
    <row r="382" spans="1:18" x14ac:dyDescent="0.25">
      <c r="A382" s="10" t="s">
        <v>24</v>
      </c>
      <c r="B382" s="20" t="s">
        <v>348</v>
      </c>
      <c r="C382" s="12">
        <v>48.9</v>
      </c>
      <c r="D382" s="12">
        <v>0</v>
      </c>
      <c r="E382" s="10" t="s">
        <v>37</v>
      </c>
      <c r="F382" s="14">
        <v>161600.06</v>
      </c>
      <c r="G382" s="14">
        <f>F382*C382</f>
        <v>7902242.933999999</v>
      </c>
      <c r="H382" s="15">
        <f>IF($G$1279=0,0,G382/$G$1279*100)</f>
      </c>
      <c r="I382" s="12" t="str">
        <f>IF(O382-C382&gt;0,O382-C382,"")</f>
        <v/>
      </c>
      <c r="J382" s="14" t="str">
        <f>IF(I382="","",F382*I382)</f>
        <v/>
      </c>
      <c r="K382" s="15">
        <f>IF(OR(J382="",$G$1279=0),"",J382/$G$1279*100)</f>
      </c>
      <c r="L382" s="12" t="str">
        <f>IF(C382-O382&gt;0,C382-O382,"")</f>
        <v/>
      </c>
      <c r="M382" s="14" t="str">
        <f>IF(L382="","",F382*L382)</f>
        <v/>
      </c>
      <c r="N382" s="15">
        <f>IF(OR(M382="",$G$1279=0),"",M382/$G$1279*100)</f>
      </c>
      <c r="O382" s="12">
        <v>48.9</v>
      </c>
      <c r="P382" s="14">
        <f>F382*O382</f>
        <v>7902242.933999999</v>
      </c>
      <c r="Q382" s="15">
        <f>IF($P$1279=0,0,P382/$P$1279*100)</f>
      </c>
      <c r="R382" s="10" t="str">
        <f>IF(O382=C382,"TETAP",IF(C382=0,"BARU",IF(O382=0,"HAPUS",IF(O382&gt;C382,"TAMBAH","KURANG"))))</f>
        <v>TETAP</v>
      </c>
    </row>
    <row r="383" spans="1:18" x14ac:dyDescent="0.25">
      <c r="A383" s="5" t="s">
        <v>27</v>
      </c>
      <c r="B383" s="17" t="s">
        <v>436</v>
      </c>
      <c r="C383" s="7"/>
      <c r="D383" s="7"/>
      <c r="E383" s="5"/>
      <c r="F383" s="8"/>
      <c r="G383" s="8"/>
      <c r="H383" s="9"/>
      <c r="I383" s="7"/>
      <c r="J383" s="8"/>
      <c r="K383" s="9"/>
      <c r="L383" s="7"/>
      <c r="M383" s="8"/>
      <c r="N383" s="9"/>
      <c r="O383" s="7"/>
      <c r="P383" s="8"/>
      <c r="Q383" s="9"/>
      <c r="R383" s="5"/>
    </row>
    <row r="384" spans="1:18" x14ac:dyDescent="0.25">
      <c r="A384" s="10" t="s">
        <v>165</v>
      </c>
      <c r="B384" s="18" t="s">
        <v>437</v>
      </c>
      <c r="C384" s="12">
        <v>109.31</v>
      </c>
      <c r="D384" s="12">
        <v>0</v>
      </c>
      <c r="E384" s="10" t="s">
        <v>159</v>
      </c>
      <c r="F384" s="14">
        <v>104895.16</v>
      </c>
      <c r="G384" s="14">
        <f>F384*C384</f>
        <v>11466089.9396</v>
      </c>
      <c r="H384" s="15">
        <f>IF($G$1279=0,0,G384/$G$1279*100)</f>
      </c>
      <c r="I384" s="12" t="str">
        <f>IF(O384-C384&gt;0,O384-C384,"")</f>
        <v/>
      </c>
      <c r="J384" s="14" t="str">
        <f>IF(I384="","",F384*I384)</f>
        <v/>
      </c>
      <c r="K384" s="15">
        <f>IF(OR(J384="",$G$1279=0),"",J384/$G$1279*100)</f>
      </c>
      <c r="L384" s="12" t="str">
        <f>IF(C384-O384&gt;0,C384-O384,"")</f>
        <v/>
      </c>
      <c r="M384" s="14" t="str">
        <f>IF(L384="","",F384*L384)</f>
        <v/>
      </c>
      <c r="N384" s="15">
        <f>IF(OR(M384="",$G$1279=0),"",M384/$G$1279*100)</f>
      </c>
      <c r="O384" s="12">
        <v>109.31</v>
      </c>
      <c r="P384" s="14">
        <f>F384*O384</f>
        <v>11466089.9396</v>
      </c>
      <c r="Q384" s="15">
        <f>IF($P$1279=0,0,P384/$P$1279*100)</f>
      </c>
      <c r="R384" s="10" t="str">
        <f>IF(O384=C384,"TETAP",IF(C384=0,"BARU",IF(O384=0,"HAPUS",IF(O384&gt;C384,"TAMBAH","KURANG"))))</f>
        <v>TETAP</v>
      </c>
    </row>
    <row r="385" spans="1:18" x14ac:dyDescent="0.25">
      <c r="A385" s="10" t="s">
        <v>167</v>
      </c>
      <c r="B385" s="18" t="s">
        <v>358</v>
      </c>
      <c r="C385" s="12">
        <v>1596</v>
      </c>
      <c r="D385" s="12">
        <v>0</v>
      </c>
      <c r="E385" s="10" t="s">
        <v>37</v>
      </c>
      <c r="F385" s="14">
        <v>28117.52</v>
      </c>
      <c r="G385" s="14">
        <f>F385*C385</f>
        <v>44875561.92</v>
      </c>
      <c r="H385" s="15">
        <f>IF($G$1279=0,0,G385/$G$1279*100)</f>
      </c>
      <c r="I385" s="12" t="str">
        <f>IF(O385-C385&gt;0,O385-C385,"")</f>
        <v/>
      </c>
      <c r="J385" s="14" t="str">
        <f>IF(I385="","",F385*I385)</f>
        <v/>
      </c>
      <c r="K385" s="15">
        <f>IF(OR(J385="",$G$1279=0),"",J385/$G$1279*100)</f>
      </c>
      <c r="L385" s="12" t="str">
        <f>IF(C385-O385&gt;0,C385-O385,"")</f>
        <v/>
      </c>
      <c r="M385" s="14" t="str">
        <f>IF(L385="","",F385*L385)</f>
        <v/>
      </c>
      <c r="N385" s="15">
        <f>IF(OR(M385="",$G$1279=0),"",M385/$G$1279*100)</f>
      </c>
      <c r="O385" s="12">
        <v>1596</v>
      </c>
      <c r="P385" s="14">
        <f>F385*O385</f>
        <v>44875561.92</v>
      </c>
      <c r="Q385" s="15">
        <f>IF($P$1279=0,0,P385/$P$1279*100)</f>
      </c>
      <c r="R385" s="10" t="str">
        <f>IF(O385=C385,"TETAP",IF(C385=0,"BARU",IF(O385=0,"HAPUS",IF(O385&gt;C385,"TAMBAH","KURANG"))))</f>
        <v>TETAP</v>
      </c>
    </row>
    <row r="386" spans="1:18" x14ac:dyDescent="0.25">
      <c r="A386" s="10" t="s">
        <v>170</v>
      </c>
      <c r="B386" s="18" t="s">
        <v>438</v>
      </c>
      <c r="C386" s="12">
        <v>14.58</v>
      </c>
      <c r="D386" s="12">
        <v>0</v>
      </c>
      <c r="E386" s="10" t="s">
        <v>159</v>
      </c>
      <c r="F386" s="14">
        <v>840738.64</v>
      </c>
      <c r="G386" s="14">
        <f>F386*C386</f>
        <v>12257969.3712</v>
      </c>
      <c r="H386" s="15">
        <f>IF($G$1279=0,0,G386/$G$1279*100)</f>
      </c>
      <c r="I386" s="12" t="str">
        <f>IF(O386-C386&gt;0,O386-C386,"")</f>
        <v/>
      </c>
      <c r="J386" s="14" t="str">
        <f>IF(I386="","",F386*I386)</f>
        <v/>
      </c>
      <c r="K386" s="15">
        <f>IF(OR(J386="",$G$1279=0),"",J386/$G$1279*100)</f>
      </c>
      <c r="L386" s="12" t="str">
        <f>IF(C386-O386&gt;0,C386-O386,"")</f>
        <v/>
      </c>
      <c r="M386" s="14" t="str">
        <f>IF(L386="","",F386*L386)</f>
        <v/>
      </c>
      <c r="N386" s="15">
        <f>IF(OR(M386="",$G$1279=0),"",M386/$G$1279*100)</f>
      </c>
      <c r="O386" s="12">
        <v>14.58</v>
      </c>
      <c r="P386" s="14">
        <f>F386*O386</f>
        <v>12257969.3712</v>
      </c>
      <c r="Q386" s="15">
        <f>IF($P$1279=0,0,P386/$P$1279*100)</f>
      </c>
      <c r="R386" s="10" t="str">
        <f>IF(O386=C386,"TETAP",IF(C386=0,"BARU",IF(O386=0,"HAPUS",IF(O386&gt;C386,"TAMBAH","KURANG"))))</f>
        <v>TETAP</v>
      </c>
    </row>
    <row r="387" spans="1:18" x14ac:dyDescent="0.25">
      <c r="A387" s="10" t="s">
        <v>172</v>
      </c>
      <c r="B387" s="18" t="s">
        <v>360</v>
      </c>
      <c r="C387" s="12">
        <v>60.29</v>
      </c>
      <c r="D387" s="12">
        <v>0</v>
      </c>
      <c r="E387" s="10" t="s">
        <v>159</v>
      </c>
      <c r="F387" s="14">
        <v>1204293.02</v>
      </c>
      <c r="G387" s="14">
        <f>F387*C387</f>
        <v>72606826.1758</v>
      </c>
      <c r="H387" s="15">
        <f>IF($G$1279=0,0,G387/$G$1279*100)</f>
      </c>
      <c r="I387" s="12" t="str">
        <f>IF(O387-C387&gt;0,O387-C387,"")</f>
        <v/>
      </c>
      <c r="J387" s="14" t="str">
        <f>IF(I387="","",F387*I387)</f>
        <v/>
      </c>
      <c r="K387" s="15">
        <f>IF(OR(J387="",$G$1279=0),"",J387/$G$1279*100)</f>
      </c>
      <c r="L387" s="12" t="str">
        <f>IF(C387-O387&gt;0,C387-O387,"")</f>
        <v/>
      </c>
      <c r="M387" s="14" t="str">
        <f>IF(L387="","",F387*L387)</f>
        <v/>
      </c>
      <c r="N387" s="15">
        <f>IF(OR(M387="",$G$1279=0),"",M387/$G$1279*100)</f>
      </c>
      <c r="O387" s="12">
        <v>60.29</v>
      </c>
      <c r="P387" s="14">
        <f>F387*O387</f>
        <v>72606826.1758</v>
      </c>
      <c r="Q387" s="15">
        <f>IF($P$1279=0,0,P387/$P$1279*100)</f>
      </c>
      <c r="R387" s="10" t="str">
        <f>IF(O387=C387,"TETAP",IF(C387=0,"BARU",IF(O387=0,"HAPUS",IF(O387&gt;C387,"TAMBAH","KURANG"))))</f>
        <v>TETAP</v>
      </c>
    </row>
    <row r="388" spans="1:18" x14ac:dyDescent="0.25">
      <c r="A388" s="10" t="s">
        <v>255</v>
      </c>
      <c r="B388" s="18" t="s">
        <v>439</v>
      </c>
      <c r="C388" s="12">
        <v>36.437</v>
      </c>
      <c r="D388" s="12">
        <v>0</v>
      </c>
      <c r="E388" s="10" t="s">
        <v>159</v>
      </c>
      <c r="F388" s="14">
        <v>58275.09</v>
      </c>
      <c r="G388" s="14">
        <f>F388*C388</f>
        <v>2123369.4543299996</v>
      </c>
      <c r="H388" s="15">
        <f>IF($G$1279=0,0,G388/$G$1279*100)</f>
      </c>
      <c r="I388" s="12" t="str">
        <f>IF(O388-C388&gt;0,O388-C388,"")</f>
        <v/>
      </c>
      <c r="J388" s="14" t="str">
        <f>IF(I388="","",F388*I388)</f>
        <v/>
      </c>
      <c r="K388" s="15">
        <f>IF(OR(J388="",$G$1279=0),"",J388/$G$1279*100)</f>
      </c>
      <c r="L388" s="12" t="str">
        <f>IF(C388-O388&gt;0,C388-O388,"")</f>
        <v/>
      </c>
      <c r="M388" s="14" t="str">
        <f>IF(L388="","",F388*L388)</f>
        <v/>
      </c>
      <c r="N388" s="15">
        <f>IF(OR(M388="",$G$1279=0),"",M388/$G$1279*100)</f>
      </c>
      <c r="O388" s="12">
        <v>36.437</v>
      </c>
      <c r="P388" s="14">
        <f>F388*O388</f>
        <v>2123369.4543299996</v>
      </c>
      <c r="Q388" s="15">
        <f>IF($P$1279=0,0,P388/$P$1279*100)</f>
      </c>
      <c r="R388" s="10" t="str">
        <f>IF(O388=C388,"TETAP",IF(C388=0,"BARU",IF(O388=0,"HAPUS",IF(O388&gt;C388,"TAMBAH","KURANG"))))</f>
        <v>TETAP</v>
      </c>
    </row>
    <row r="389" spans="1:18" x14ac:dyDescent="0.25">
      <c r="A389" s="10" t="s">
        <v>256</v>
      </c>
      <c r="B389" s="18" t="s">
        <v>440</v>
      </c>
      <c r="C389" s="12">
        <v>36.437</v>
      </c>
      <c r="D389" s="12">
        <v>0</v>
      </c>
      <c r="E389" s="10" t="s">
        <v>159</v>
      </c>
      <c r="F389" s="14">
        <v>39994.39</v>
      </c>
      <c r="G389" s="14">
        <f>F389*C389</f>
        <v>1457275.5884299998</v>
      </c>
      <c r="H389" s="15">
        <f>IF($G$1279=0,0,G389/$G$1279*100)</f>
      </c>
      <c r="I389" s="12" t="str">
        <f>IF(O389-C389&gt;0,O389-C389,"")</f>
        <v/>
      </c>
      <c r="J389" s="14" t="str">
        <f>IF(I389="","",F389*I389)</f>
        <v/>
      </c>
      <c r="K389" s="15">
        <f>IF(OR(J389="",$G$1279=0),"",J389/$G$1279*100)</f>
      </c>
      <c r="L389" s="12" t="str">
        <f>IF(C389-O389&gt;0,C389-O389,"")</f>
        <v/>
      </c>
      <c r="M389" s="14" t="str">
        <f>IF(L389="","",F389*L389)</f>
        <v/>
      </c>
      <c r="N389" s="15">
        <f>IF(OR(M389="",$G$1279=0),"",M389/$G$1279*100)</f>
      </c>
      <c r="O389" s="12">
        <v>36.437</v>
      </c>
      <c r="P389" s="14">
        <f>F389*O389</f>
        <v>1457275.5884299998</v>
      </c>
      <c r="Q389" s="15">
        <f>IF($P$1279=0,0,P389/$P$1279*100)</f>
      </c>
      <c r="R389" s="10" t="str">
        <f>IF(O389=C389,"TETAP",IF(C389=0,"BARU",IF(O389=0,"HAPUS",IF(O389&gt;C389,"TAMBAH","KURANG"))))</f>
        <v>TETAP</v>
      </c>
    </row>
    <row r="390" spans="1:18" x14ac:dyDescent="0.25">
      <c r="A390" s="10" t="s">
        <v>355</v>
      </c>
      <c r="B390" s="18" t="s">
        <v>402</v>
      </c>
      <c r="C390" s="12">
        <v>32.72</v>
      </c>
      <c r="D390" s="12">
        <v>0</v>
      </c>
      <c r="E390" s="10" t="s">
        <v>26</v>
      </c>
      <c r="F390" s="14">
        <v>60093.87</v>
      </c>
      <c r="G390" s="14">
        <f>F390*C390</f>
        <v>1966271.4264</v>
      </c>
      <c r="H390" s="15">
        <f>IF($G$1279=0,0,G390/$G$1279*100)</f>
      </c>
      <c r="I390" s="12" t="str">
        <f>IF(O390-C390&gt;0,O390-C390,"")</f>
        <v/>
      </c>
      <c r="J390" s="14" t="str">
        <f>IF(I390="","",F390*I390)</f>
        <v/>
      </c>
      <c r="K390" s="15">
        <f>IF(OR(J390="",$G$1279=0),"",J390/$G$1279*100)</f>
      </c>
      <c r="L390" s="12" t="str">
        <f>IF(C390-O390&gt;0,C390-O390,"")</f>
        <v/>
      </c>
      <c r="M390" s="14" t="str">
        <f>IF(L390="","",F390*L390)</f>
        <v/>
      </c>
      <c r="N390" s="15">
        <f>IF(OR(M390="",$G$1279=0),"",M390/$G$1279*100)</f>
      </c>
      <c r="O390" s="12">
        <v>32.72</v>
      </c>
      <c r="P390" s="14">
        <f>F390*O390</f>
        <v>1966271.4264</v>
      </c>
      <c r="Q390" s="15">
        <f>IF($P$1279=0,0,P390/$P$1279*100)</f>
      </c>
      <c r="R390" s="10" t="str">
        <f>IF(O390=C390,"TETAP",IF(C390=0,"BARU",IF(O390=0,"HAPUS",IF(O390&gt;C390,"TAMBAH","KURANG"))))</f>
        <v>TETAP</v>
      </c>
    </row>
    <row r="391" spans="1:18" x14ac:dyDescent="0.25">
      <c r="A391" s="10" t="s">
        <v>441</v>
      </c>
      <c r="B391" s="18" t="s">
        <v>182</v>
      </c>
      <c r="C391" s="12">
        <v>32.72</v>
      </c>
      <c r="D391" s="12">
        <v>0</v>
      </c>
      <c r="E391" s="10" t="s">
        <v>26</v>
      </c>
      <c r="F391" s="14">
        <v>44344.2</v>
      </c>
      <c r="G391" s="14">
        <f>F391*C391</f>
        <v>1450942.224</v>
      </c>
      <c r="H391" s="15">
        <f>IF($G$1279=0,0,G391/$G$1279*100)</f>
      </c>
      <c r="I391" s="12" t="str">
        <f>IF(O391-C391&gt;0,O391-C391,"")</f>
        <v/>
      </c>
      <c r="J391" s="14" t="str">
        <f>IF(I391="","",F391*I391)</f>
        <v/>
      </c>
      <c r="K391" s="15">
        <f>IF(OR(J391="",$G$1279=0),"",J391/$G$1279*100)</f>
      </c>
      <c r="L391" s="12" t="str">
        <f>IF(C391-O391&gt;0,C391-O391,"")</f>
        <v/>
      </c>
      <c r="M391" s="14" t="str">
        <f>IF(L391="","",F391*L391)</f>
        <v/>
      </c>
      <c r="N391" s="15">
        <f>IF(OR(M391="",$G$1279=0),"",M391/$G$1279*100)</f>
      </c>
      <c r="O391" s="12">
        <v>32.72</v>
      </c>
      <c r="P391" s="14">
        <f>F391*O391</f>
        <v>1450942.224</v>
      </c>
      <c r="Q391" s="15">
        <f>IF($P$1279=0,0,P391/$P$1279*100)</f>
      </c>
      <c r="R391" s="10" t="str">
        <f>IF(O391=C391,"TETAP",IF(C391=0,"BARU",IF(O391=0,"HAPUS",IF(O391&gt;C391,"TAMBAH","KURANG"))))</f>
        <v>TETAP</v>
      </c>
    </row>
    <row r="392" spans="1:18" x14ac:dyDescent="0.25">
      <c r="A392" s="5" t="s">
        <v>30</v>
      </c>
      <c r="B392" s="17" t="s">
        <v>442</v>
      </c>
      <c r="C392" s="7"/>
      <c r="D392" s="7"/>
      <c r="E392" s="5"/>
      <c r="F392" s="8"/>
      <c r="G392" s="8"/>
      <c r="H392" s="9"/>
      <c r="I392" s="7"/>
      <c r="J392" s="8"/>
      <c r="K392" s="9"/>
      <c r="L392" s="7"/>
      <c r="M392" s="8"/>
      <c r="N392" s="9"/>
      <c r="O392" s="7"/>
      <c r="P392" s="8"/>
      <c r="Q392" s="9"/>
      <c r="R392" s="5"/>
    </row>
    <row r="393" spans="1:18" x14ac:dyDescent="0.25">
      <c r="A393" s="10" t="s">
        <v>175</v>
      </c>
      <c r="B393" s="18" t="s">
        <v>443</v>
      </c>
      <c r="C393" s="12">
        <v>2.96</v>
      </c>
      <c r="D393" s="12">
        <v>0</v>
      </c>
      <c r="E393" s="10" t="s">
        <v>159</v>
      </c>
      <c r="F393" s="14">
        <v>48730.7</v>
      </c>
      <c r="G393" s="14">
        <f>F393*C393</f>
        <v>144242.872</v>
      </c>
      <c r="H393" s="15">
        <f>IF($G$1279=0,0,G393/$G$1279*100)</f>
      </c>
      <c r="I393" s="12" t="str">
        <f>IF(O393-C393&gt;0,O393-C393,"")</f>
        <v/>
      </c>
      <c r="J393" s="14" t="str">
        <f>IF(I393="","",F393*I393)</f>
        <v/>
      </c>
      <c r="K393" s="15">
        <f>IF(OR(J393="",$G$1279=0),"",J393/$G$1279*100)</f>
      </c>
      <c r="L393" s="12" t="str">
        <f>IF(C393-O393&gt;0,C393-O393,"")</f>
        <v/>
      </c>
      <c r="M393" s="14" t="str">
        <f>IF(L393="","",F393*L393)</f>
        <v/>
      </c>
      <c r="N393" s="15">
        <f>IF(OR(M393="",$G$1279=0),"",M393/$G$1279*100)</f>
      </c>
      <c r="O393" s="12">
        <v>2.96</v>
      </c>
      <c r="P393" s="14">
        <f>F393*O393</f>
        <v>144242.872</v>
      </c>
      <c r="Q393" s="15">
        <f>IF($P$1279=0,0,P393/$P$1279*100)</f>
      </c>
      <c r="R393" s="10" t="str">
        <f>IF(O393=C393,"TETAP",IF(C393=0,"BARU",IF(O393=0,"HAPUS",IF(O393&gt;C393,"TAMBAH","KURANG"))))</f>
        <v>TETAP</v>
      </c>
    </row>
    <row r="394" spans="1:18" x14ac:dyDescent="0.25">
      <c r="A394" s="10" t="s">
        <v>176</v>
      </c>
      <c r="B394" s="18" t="s">
        <v>358</v>
      </c>
      <c r="C394" s="12">
        <v>264</v>
      </c>
      <c r="D394" s="12">
        <v>0</v>
      </c>
      <c r="E394" s="10" t="s">
        <v>37</v>
      </c>
      <c r="F394" s="14">
        <v>28117.52</v>
      </c>
      <c r="G394" s="14">
        <f>F394*C394</f>
        <v>7423025.28</v>
      </c>
      <c r="H394" s="15">
        <f>IF($G$1279=0,0,G394/$G$1279*100)</f>
      </c>
      <c r="I394" s="12" t="str">
        <f>IF(O394-C394&gt;0,O394-C394,"")</f>
        <v/>
      </c>
      <c r="J394" s="14" t="str">
        <f>IF(I394="","",F394*I394)</f>
        <v/>
      </c>
      <c r="K394" s="15">
        <f>IF(OR(J394="",$G$1279=0),"",J394/$G$1279*100)</f>
      </c>
      <c r="L394" s="12" t="str">
        <f>IF(C394-O394&gt;0,C394-O394,"")</f>
        <v/>
      </c>
      <c r="M394" s="14" t="str">
        <f>IF(L394="","",F394*L394)</f>
        <v/>
      </c>
      <c r="N394" s="15">
        <f>IF(OR(M394="",$G$1279=0),"",M394/$G$1279*100)</f>
      </c>
      <c r="O394" s="12">
        <v>264</v>
      </c>
      <c r="P394" s="14">
        <f>F394*O394</f>
        <v>7423025.28</v>
      </c>
      <c r="Q394" s="15">
        <f>IF($P$1279=0,0,P394/$P$1279*100)</f>
      </c>
      <c r="R394" s="10" t="str">
        <f>IF(O394=C394,"TETAP",IF(C394=0,"BARU",IF(O394=0,"HAPUS",IF(O394&gt;C394,"TAMBAH","KURANG"))))</f>
        <v>TETAP</v>
      </c>
    </row>
    <row r="395" spans="1:18" x14ac:dyDescent="0.25">
      <c r="A395" s="10" t="s">
        <v>178</v>
      </c>
      <c r="B395" s="18" t="s">
        <v>360</v>
      </c>
      <c r="C395" s="12">
        <v>6.66</v>
      </c>
      <c r="D395" s="12">
        <v>0</v>
      </c>
      <c r="E395" s="10" t="s">
        <v>159</v>
      </c>
      <c r="F395" s="14">
        <v>1204293.02</v>
      </c>
      <c r="G395" s="14">
        <f>F395*C395</f>
        <v>8020591.5132</v>
      </c>
      <c r="H395" s="15">
        <f>IF($G$1279=0,0,G395/$G$1279*100)</f>
      </c>
      <c r="I395" s="12" t="str">
        <f>IF(O395-C395&gt;0,O395-C395,"")</f>
        <v/>
      </c>
      <c r="J395" s="14" t="str">
        <f>IF(I395="","",F395*I395)</f>
        <v/>
      </c>
      <c r="K395" s="15">
        <f>IF(OR(J395="",$G$1279=0),"",J395/$G$1279*100)</f>
      </c>
      <c r="L395" s="12" t="str">
        <f>IF(C395-O395&gt;0,C395-O395,"")</f>
        <v/>
      </c>
      <c r="M395" s="14" t="str">
        <f>IF(L395="","",F395*L395)</f>
        <v/>
      </c>
      <c r="N395" s="15">
        <f>IF(OR(M395="",$G$1279=0),"",M395/$G$1279*100)</f>
      </c>
      <c r="O395" s="12">
        <v>6.66</v>
      </c>
      <c r="P395" s="14">
        <f>F395*O395</f>
        <v>8020591.5132</v>
      </c>
      <c r="Q395" s="15">
        <f>IF($P$1279=0,0,P395/$P$1279*100)</f>
      </c>
      <c r="R395" s="10" t="str">
        <f>IF(O395=C395,"TETAP",IF(C395=0,"BARU",IF(O395=0,"HAPUS",IF(O395&gt;C395,"TAMBAH","KURANG"))))</f>
        <v>TETAP</v>
      </c>
    </row>
    <row r="396" spans="1:18" x14ac:dyDescent="0.25">
      <c r="A396" s="10" t="s">
        <v>180</v>
      </c>
      <c r="B396" s="18" t="s">
        <v>439</v>
      </c>
      <c r="C396" s="12">
        <v>0.987</v>
      </c>
      <c r="D396" s="12">
        <v>0</v>
      </c>
      <c r="E396" s="10" t="s">
        <v>159</v>
      </c>
      <c r="F396" s="14">
        <v>58275.09</v>
      </c>
      <c r="G396" s="14">
        <f>F396*C396</f>
        <v>57517.513829999996</v>
      </c>
      <c r="H396" s="15">
        <f>IF($G$1279=0,0,G396/$G$1279*100)</f>
      </c>
      <c r="I396" s="12" t="str">
        <f>IF(O396-C396&gt;0,O396-C396,"")</f>
        <v/>
      </c>
      <c r="J396" s="14" t="str">
        <f>IF(I396="","",F396*I396)</f>
        <v/>
      </c>
      <c r="K396" s="15">
        <f>IF(OR(J396="",$G$1279=0),"",J396/$G$1279*100)</f>
      </c>
      <c r="L396" s="12" t="str">
        <f>IF(C396-O396&gt;0,C396-O396,"")</f>
        <v/>
      </c>
      <c r="M396" s="14" t="str">
        <f>IF(L396="","",F396*L396)</f>
        <v/>
      </c>
      <c r="N396" s="15">
        <f>IF(OR(M396="",$G$1279=0),"",M396/$G$1279*100)</f>
      </c>
      <c r="O396" s="12">
        <v>0.987</v>
      </c>
      <c r="P396" s="14">
        <f>F396*O396</f>
        <v>57517.513829999996</v>
      </c>
      <c r="Q396" s="15">
        <f>IF($P$1279=0,0,P396/$P$1279*100)</f>
      </c>
      <c r="R396" s="10" t="str">
        <f>IF(O396=C396,"TETAP",IF(C396=0,"BARU",IF(O396=0,"HAPUS",IF(O396&gt;C396,"TAMBAH","KURANG"))))</f>
        <v>TETAP</v>
      </c>
    </row>
    <row r="397" spans="1:18" x14ac:dyDescent="0.25">
      <c r="A397" s="10" t="s">
        <v>181</v>
      </c>
      <c r="B397" s="18" t="s">
        <v>440</v>
      </c>
      <c r="C397" s="12">
        <v>0.987</v>
      </c>
      <c r="D397" s="12">
        <v>0</v>
      </c>
      <c r="E397" s="10" t="s">
        <v>159</v>
      </c>
      <c r="F397" s="14">
        <v>39994.39</v>
      </c>
      <c r="G397" s="14">
        <f>F397*C397</f>
        <v>39474.46293</v>
      </c>
      <c r="H397" s="15">
        <f>IF($G$1279=0,0,G397/$G$1279*100)</f>
      </c>
      <c r="I397" s="12" t="str">
        <f>IF(O397-C397&gt;0,O397-C397,"")</f>
        <v/>
      </c>
      <c r="J397" s="14" t="str">
        <f>IF(I397="","",F397*I397)</f>
        <v/>
      </c>
      <c r="K397" s="15">
        <f>IF(OR(J397="",$G$1279=0),"",J397/$G$1279*100)</f>
      </c>
      <c r="L397" s="12" t="str">
        <f>IF(C397-O397&gt;0,C397-O397,"")</f>
        <v/>
      </c>
      <c r="M397" s="14" t="str">
        <f>IF(L397="","",F397*L397)</f>
        <v/>
      </c>
      <c r="N397" s="15">
        <f>IF(OR(M397="",$G$1279=0),"",M397/$G$1279*100)</f>
      </c>
      <c r="O397" s="12">
        <v>0.987</v>
      </c>
      <c r="P397" s="14">
        <f>F397*O397</f>
        <v>39474.46293</v>
      </c>
      <c r="Q397" s="15">
        <f>IF($P$1279=0,0,P397/$P$1279*100)</f>
      </c>
      <c r="R397" s="10" t="str">
        <f>IF(O397=C397,"TETAP",IF(C397=0,"BARU",IF(O397=0,"HAPUS",IF(O397&gt;C397,"TAMBAH","KURANG"))))</f>
        <v>TETAP</v>
      </c>
    </row>
    <row r="398" spans="1:18" x14ac:dyDescent="0.25">
      <c r="A398" s="10" t="s">
        <v>33</v>
      </c>
      <c r="B398" s="20" t="s">
        <v>361</v>
      </c>
      <c r="C398" s="12">
        <v>25.89</v>
      </c>
      <c r="D398" s="12">
        <v>0</v>
      </c>
      <c r="E398" s="10" t="s">
        <v>169</v>
      </c>
      <c r="F398" s="14">
        <v>19252.39</v>
      </c>
      <c r="G398" s="14">
        <f>F398*C398</f>
        <v>498444.3771</v>
      </c>
      <c r="H398" s="15">
        <f>IF($G$1279=0,0,G398/$G$1279*100)</f>
      </c>
      <c r="I398" s="12" t="str">
        <f>IF(O398-C398&gt;0,O398-C398,"")</f>
        <v/>
      </c>
      <c r="J398" s="14" t="str">
        <f>IF(I398="","",F398*I398)</f>
        <v/>
      </c>
      <c r="K398" s="15">
        <f>IF(OR(J398="",$G$1279=0),"",J398/$G$1279*100)</f>
      </c>
      <c r="L398" s="12" t="str">
        <f>IF(C398-O398&gt;0,C398-O398,"")</f>
        <v/>
      </c>
      <c r="M398" s="14" t="str">
        <f>IF(L398="","",F398*L398)</f>
        <v/>
      </c>
      <c r="N398" s="15">
        <f>IF(OR(M398="",$G$1279=0),"",M398/$G$1279*100)</f>
      </c>
      <c r="O398" s="12">
        <v>25.89</v>
      </c>
      <c r="P398" s="14">
        <f>F398*O398</f>
        <v>498444.3771</v>
      </c>
      <c r="Q398" s="15">
        <f>IF($P$1279=0,0,P398/$P$1279*100)</f>
      </c>
      <c r="R398" s="10" t="str">
        <f>IF(O398=C398,"TETAP",IF(C398=0,"BARU",IF(O398=0,"HAPUS",IF(O398&gt;C398,"TAMBAH","KURANG"))))</f>
        <v>TETAP</v>
      </c>
    </row>
    <row r="399" spans="1:18" x14ac:dyDescent="0.25">
      <c r="A399" s="5" t="s">
        <v>35</v>
      </c>
      <c r="B399" s="17" t="s">
        <v>444</v>
      </c>
      <c r="C399" s="7"/>
      <c r="D399" s="7"/>
      <c r="E399" s="5"/>
      <c r="F399" s="8"/>
      <c r="G399" s="8"/>
      <c r="H399" s="9"/>
      <c r="I399" s="7"/>
      <c r="J399" s="8"/>
      <c r="K399" s="9"/>
      <c r="L399" s="7"/>
      <c r="M399" s="8"/>
      <c r="N399" s="9"/>
      <c r="O399" s="7"/>
      <c r="P399" s="8"/>
      <c r="Q399" s="9"/>
      <c r="R399" s="5"/>
    </row>
    <row r="400" spans="1:18" x14ac:dyDescent="0.25">
      <c r="A400" s="10" t="s">
        <v>193</v>
      </c>
      <c r="B400" s="18" t="s">
        <v>187</v>
      </c>
      <c r="C400" s="12">
        <v>39.75</v>
      </c>
      <c r="D400" s="12">
        <v>0</v>
      </c>
      <c r="E400" s="10" t="s">
        <v>26</v>
      </c>
      <c r="F400" s="14">
        <v>218225.13</v>
      </c>
      <c r="G400" s="14">
        <f>F400*C400</f>
        <v>8674448.9175</v>
      </c>
      <c r="H400" s="15">
        <f>IF($G$1279=0,0,G400/$G$1279*100)</f>
      </c>
      <c r="I400" s="12" t="str">
        <f>IF(O400-C400&gt;0,O400-C400,"")</f>
        <v/>
      </c>
      <c r="J400" s="14" t="str">
        <f>IF(I400="","",F400*I400)</f>
        <v/>
      </c>
      <c r="K400" s="15">
        <f>IF(OR(J400="",$G$1279=0),"",J400/$G$1279*100)</f>
      </c>
      <c r="L400" s="12" t="str">
        <f>IF(C400-O400&gt;0,C400-O400,"")</f>
        <v/>
      </c>
      <c r="M400" s="14" t="str">
        <f>IF(L400="","",F400*L400)</f>
        <v/>
      </c>
      <c r="N400" s="15">
        <f>IF(OR(M400="",$G$1279=0),"",M400/$G$1279*100)</f>
      </c>
      <c r="O400" s="12">
        <v>39.75</v>
      </c>
      <c r="P400" s="14">
        <f>F400*O400</f>
        <v>8674448.9175</v>
      </c>
      <c r="Q400" s="15">
        <f>IF($P$1279=0,0,P400/$P$1279*100)</f>
      </c>
      <c r="R400" s="10" t="str">
        <f>IF(O400=C400,"TETAP",IF(C400=0,"BARU",IF(O400=0,"HAPUS",IF(O400&gt;C400,"TAMBAH","KURANG"))))</f>
        <v>TETAP</v>
      </c>
    </row>
    <row r="401" spans="1:18" x14ac:dyDescent="0.25">
      <c r="A401" s="10" t="s">
        <v>195</v>
      </c>
      <c r="B401" s="18" t="s">
        <v>445</v>
      </c>
      <c r="C401" s="12">
        <v>449.27</v>
      </c>
      <c r="D401" s="12">
        <v>0</v>
      </c>
      <c r="E401" s="10" t="s">
        <v>169</v>
      </c>
      <c r="F401" s="14">
        <v>19252.39</v>
      </c>
      <c r="G401" s="14">
        <f>F401*C401</f>
        <v>8649521.2553</v>
      </c>
      <c r="H401" s="15">
        <f>IF($G$1279=0,0,G401/$G$1279*100)</f>
      </c>
      <c r="I401" s="12" t="str">
        <f>IF(O401-C401&gt;0,O401-C401,"")</f>
        <v/>
      </c>
      <c r="J401" s="14" t="str">
        <f>IF(I401="","",F401*I401)</f>
        <v/>
      </c>
      <c r="K401" s="15">
        <f>IF(OR(J401="",$G$1279=0),"",J401/$G$1279*100)</f>
      </c>
      <c r="L401" s="12" t="str">
        <f>IF(C401-O401&gt;0,C401-O401,"")</f>
        <v/>
      </c>
      <c r="M401" s="14" t="str">
        <f>IF(L401="","",F401*L401)</f>
        <v/>
      </c>
      <c r="N401" s="15">
        <f>IF(OR(M401="",$G$1279=0),"",M401/$G$1279*100)</f>
      </c>
      <c r="O401" s="12">
        <v>449.27</v>
      </c>
      <c r="P401" s="14">
        <f>F401*O401</f>
        <v>8649521.2553</v>
      </c>
      <c r="Q401" s="15">
        <f>IF($P$1279=0,0,P401/$P$1279*100)</f>
      </c>
      <c r="R401" s="10" t="str">
        <f>IF(O401=C401,"TETAP",IF(C401=0,"BARU",IF(O401=0,"HAPUS",IF(O401&gt;C401,"TAMBAH","KURANG"))))</f>
        <v>TETAP</v>
      </c>
    </row>
    <row r="402" spans="1:18" x14ac:dyDescent="0.25">
      <c r="A402" s="10" t="s">
        <v>197</v>
      </c>
      <c r="B402" s="18" t="s">
        <v>446</v>
      </c>
      <c r="C402" s="12">
        <v>230.45</v>
      </c>
      <c r="D402" s="12">
        <v>0</v>
      </c>
      <c r="E402" s="10" t="s">
        <v>169</v>
      </c>
      <c r="F402" s="14">
        <v>19252.39</v>
      </c>
      <c r="G402" s="14">
        <f>F402*C402</f>
        <v>4436713.2754999995</v>
      </c>
      <c r="H402" s="15">
        <f>IF($G$1279=0,0,G402/$G$1279*100)</f>
      </c>
      <c r="I402" s="12" t="str">
        <f>IF(O402-C402&gt;0,O402-C402,"")</f>
        <v/>
      </c>
      <c r="J402" s="14" t="str">
        <f>IF(I402="","",F402*I402)</f>
        <v/>
      </c>
      <c r="K402" s="15">
        <f>IF(OR(J402="",$G$1279=0),"",J402/$G$1279*100)</f>
      </c>
      <c r="L402" s="12" t="str">
        <f>IF(C402-O402&gt;0,C402-O402,"")</f>
        <v/>
      </c>
      <c r="M402" s="14" t="str">
        <f>IF(L402="","",F402*L402)</f>
        <v/>
      </c>
      <c r="N402" s="15">
        <f>IF(OR(M402="",$G$1279=0),"",M402/$G$1279*100)</f>
      </c>
      <c r="O402" s="12">
        <v>230.45</v>
      </c>
      <c r="P402" s="14">
        <f>F402*O402</f>
        <v>4436713.2754999995</v>
      </c>
      <c r="Q402" s="15">
        <f>IF($P$1279=0,0,P402/$P$1279*100)</f>
      </c>
      <c r="R402" s="10" t="str">
        <f>IF(O402=C402,"TETAP",IF(C402=0,"BARU",IF(O402=0,"HAPUS",IF(O402&gt;C402,"TAMBAH","KURANG"))))</f>
        <v>TETAP</v>
      </c>
    </row>
    <row r="403" spans="1:18" x14ac:dyDescent="0.25">
      <c r="A403" s="10" t="s">
        <v>264</v>
      </c>
      <c r="B403" s="18" t="s">
        <v>354</v>
      </c>
      <c r="C403" s="12">
        <v>5.96</v>
      </c>
      <c r="D403" s="12">
        <v>0</v>
      </c>
      <c r="E403" s="10" t="s">
        <v>159</v>
      </c>
      <c r="F403" s="14">
        <v>1399567.05</v>
      </c>
      <c r="G403" s="14">
        <f>F403*C403</f>
        <v>8341419.618</v>
      </c>
      <c r="H403" s="15">
        <f>IF($G$1279=0,0,G403/$G$1279*100)</f>
      </c>
      <c r="I403" s="12" t="str">
        <f>IF(O403-C403&gt;0,O403-C403,"")</f>
        <v/>
      </c>
      <c r="J403" s="14" t="str">
        <f>IF(I403="","",F403*I403)</f>
        <v/>
      </c>
      <c r="K403" s="15">
        <f>IF(OR(J403="",$G$1279=0),"",J403/$G$1279*100)</f>
      </c>
      <c r="L403" s="12" t="str">
        <f>IF(C403-O403&gt;0,C403-O403,"")</f>
        <v/>
      </c>
      <c r="M403" s="14" t="str">
        <f>IF(L403="","",F403*L403)</f>
        <v/>
      </c>
      <c r="N403" s="15">
        <f>IF(OR(M403="",$G$1279=0),"",M403/$G$1279*100)</f>
      </c>
      <c r="O403" s="12">
        <v>5.96</v>
      </c>
      <c r="P403" s="14">
        <f>F403*O403</f>
        <v>8341419.618</v>
      </c>
      <c r="Q403" s="15">
        <f>IF($P$1279=0,0,P403/$P$1279*100)</f>
      </c>
      <c r="R403" s="10" t="str">
        <f>IF(O403=C403,"TETAP",IF(C403=0,"BARU",IF(O403=0,"HAPUS",IF(O403&gt;C403,"TAMBAH","KURANG"))))</f>
        <v>TETAP</v>
      </c>
    </row>
    <row r="404" spans="1:18" x14ac:dyDescent="0.25">
      <c r="A404" s="5" t="s">
        <v>38</v>
      </c>
      <c r="B404" s="17" t="s">
        <v>447</v>
      </c>
      <c r="C404" s="7"/>
      <c r="D404" s="7"/>
      <c r="E404" s="5"/>
      <c r="F404" s="8"/>
      <c r="G404" s="8"/>
      <c r="H404" s="9"/>
      <c r="I404" s="7"/>
      <c r="J404" s="8"/>
      <c r="K404" s="9"/>
      <c r="L404" s="7"/>
      <c r="M404" s="8"/>
      <c r="N404" s="9"/>
      <c r="O404" s="7"/>
      <c r="P404" s="8"/>
      <c r="Q404" s="9"/>
      <c r="R404" s="5"/>
    </row>
    <row r="405" spans="1:18" x14ac:dyDescent="0.25">
      <c r="A405" s="10" t="s">
        <v>200</v>
      </c>
      <c r="B405" s="18" t="s">
        <v>187</v>
      </c>
      <c r="C405" s="12">
        <v>6.58</v>
      </c>
      <c r="D405" s="12">
        <v>0</v>
      </c>
      <c r="E405" s="10" t="s">
        <v>26</v>
      </c>
      <c r="F405" s="14">
        <v>218225.13</v>
      </c>
      <c r="G405" s="14">
        <f>F405*C405</f>
        <v>1435921.3554</v>
      </c>
      <c r="H405" s="15">
        <f>IF($G$1279=0,0,G405/$G$1279*100)</f>
      </c>
      <c r="I405" s="12" t="str">
        <f>IF(O405-C405&gt;0,O405-C405,"")</f>
        <v/>
      </c>
      <c r="J405" s="14" t="str">
        <f>IF(I405="","",F405*I405)</f>
        <v/>
      </c>
      <c r="K405" s="15">
        <f>IF(OR(J405="",$G$1279=0),"",J405/$G$1279*100)</f>
      </c>
      <c r="L405" s="12" t="str">
        <f>IF(C405-O405&gt;0,C405-O405,"")</f>
        <v/>
      </c>
      <c r="M405" s="14" t="str">
        <f>IF(L405="","",F405*L405)</f>
        <v/>
      </c>
      <c r="N405" s="15">
        <f>IF(OR(M405="",$G$1279=0),"",M405/$G$1279*100)</f>
      </c>
      <c r="O405" s="12">
        <v>6.58</v>
      </c>
      <c r="P405" s="14">
        <f>F405*O405</f>
        <v>1435921.3554</v>
      </c>
      <c r="Q405" s="15">
        <f>IF($P$1279=0,0,P405/$P$1279*100)</f>
      </c>
      <c r="R405" s="10" t="str">
        <f>IF(O405=C405,"TETAP",IF(C405=0,"BARU",IF(O405=0,"HAPUS",IF(O405&gt;C405,"TAMBAH","KURANG"))))</f>
        <v>TETAP</v>
      </c>
    </row>
    <row r="406" spans="1:18" x14ac:dyDescent="0.25">
      <c r="A406" s="10" t="s">
        <v>202</v>
      </c>
      <c r="B406" s="18" t="s">
        <v>445</v>
      </c>
      <c r="C406" s="12">
        <v>40.57</v>
      </c>
      <c r="D406" s="12">
        <v>0</v>
      </c>
      <c r="E406" s="10" t="s">
        <v>169</v>
      </c>
      <c r="F406" s="14">
        <v>19252.39</v>
      </c>
      <c r="G406" s="14">
        <f>F406*C406</f>
        <v>781069.4623</v>
      </c>
      <c r="H406" s="15">
        <f>IF($G$1279=0,0,G406/$G$1279*100)</f>
      </c>
      <c r="I406" s="12" t="str">
        <f>IF(O406-C406&gt;0,O406-C406,"")</f>
        <v/>
      </c>
      <c r="J406" s="14" t="str">
        <f>IF(I406="","",F406*I406)</f>
        <v/>
      </c>
      <c r="K406" s="15">
        <f>IF(OR(J406="",$G$1279=0),"",J406/$G$1279*100)</f>
      </c>
      <c r="L406" s="12" t="str">
        <f>IF(C406-O406&gt;0,C406-O406,"")</f>
        <v/>
      </c>
      <c r="M406" s="14" t="str">
        <f>IF(L406="","",F406*L406)</f>
        <v/>
      </c>
      <c r="N406" s="15">
        <f>IF(OR(M406="",$G$1279=0),"",M406/$G$1279*100)</f>
      </c>
      <c r="O406" s="12">
        <v>40.57</v>
      </c>
      <c r="P406" s="14">
        <f>F406*O406</f>
        <v>781069.4623</v>
      </c>
      <c r="Q406" s="15">
        <f>IF($P$1279=0,0,P406/$P$1279*100)</f>
      </c>
      <c r="R406" s="10" t="str">
        <f>IF(O406=C406,"TETAP",IF(C406=0,"BARU",IF(O406=0,"HAPUS",IF(O406&gt;C406,"TAMBAH","KURANG"))))</f>
        <v>TETAP</v>
      </c>
    </row>
    <row r="407" spans="1:18" x14ac:dyDescent="0.25">
      <c r="A407" s="10" t="s">
        <v>203</v>
      </c>
      <c r="B407" s="18" t="s">
        <v>446</v>
      </c>
      <c r="C407" s="12">
        <v>32.2</v>
      </c>
      <c r="D407" s="12">
        <v>0</v>
      </c>
      <c r="E407" s="10" t="s">
        <v>169</v>
      </c>
      <c r="F407" s="14">
        <v>19252.39</v>
      </c>
      <c r="G407" s="14">
        <f>F407*C407</f>
        <v>619926.958</v>
      </c>
      <c r="H407" s="15">
        <f>IF($G$1279=0,0,G407/$G$1279*100)</f>
      </c>
      <c r="I407" s="12" t="str">
        <f>IF(O407-C407&gt;0,O407-C407,"")</f>
        <v/>
      </c>
      <c r="J407" s="14" t="str">
        <f>IF(I407="","",F407*I407)</f>
        <v/>
      </c>
      <c r="K407" s="15">
        <f>IF(OR(J407="",$G$1279=0),"",J407/$G$1279*100)</f>
      </c>
      <c r="L407" s="12" t="str">
        <f>IF(C407-O407&gt;0,C407-O407,"")</f>
        <v/>
      </c>
      <c r="M407" s="14" t="str">
        <f>IF(L407="","",F407*L407)</f>
        <v/>
      </c>
      <c r="N407" s="15">
        <f>IF(OR(M407="",$G$1279=0),"",M407/$G$1279*100)</f>
      </c>
      <c r="O407" s="12">
        <v>32.2</v>
      </c>
      <c r="P407" s="14">
        <f>F407*O407</f>
        <v>619926.958</v>
      </c>
      <c r="Q407" s="15">
        <f>IF($P$1279=0,0,P407/$P$1279*100)</f>
      </c>
      <c r="R407" s="10" t="str">
        <f>IF(O407=C407,"TETAP",IF(C407=0,"BARU",IF(O407=0,"HAPUS",IF(O407&gt;C407,"TAMBAH","KURANG"))))</f>
        <v>TETAP</v>
      </c>
    </row>
    <row r="408" spans="1:18" x14ac:dyDescent="0.25">
      <c r="A408" s="10" t="s">
        <v>206</v>
      </c>
      <c r="B408" s="18" t="s">
        <v>354</v>
      </c>
      <c r="C408" s="12">
        <v>0.49</v>
      </c>
      <c r="D408" s="12">
        <v>0</v>
      </c>
      <c r="E408" s="10" t="s">
        <v>159</v>
      </c>
      <c r="F408" s="14">
        <v>1399567.05</v>
      </c>
      <c r="G408" s="14">
        <f>F408*C408</f>
        <v>685787.8545</v>
      </c>
      <c r="H408" s="15">
        <f>IF($G$1279=0,0,G408/$G$1279*100)</f>
      </c>
      <c r="I408" s="12" t="str">
        <f>IF(O408-C408&gt;0,O408-C408,"")</f>
        <v/>
      </c>
      <c r="J408" s="14" t="str">
        <f>IF(I408="","",F408*I408)</f>
        <v/>
      </c>
      <c r="K408" s="15">
        <f>IF(OR(J408="",$G$1279=0),"",J408/$G$1279*100)</f>
      </c>
      <c r="L408" s="12" t="str">
        <f>IF(C408-O408&gt;0,C408-O408,"")</f>
        <v/>
      </c>
      <c r="M408" s="14" t="str">
        <f>IF(L408="","",F408*L408)</f>
        <v/>
      </c>
      <c r="N408" s="15">
        <f>IF(OR(M408="",$G$1279=0),"",M408/$G$1279*100)</f>
      </c>
      <c r="O408" s="12">
        <v>0.49</v>
      </c>
      <c r="P408" s="14">
        <f>F408*O408</f>
        <v>685787.8545</v>
      </c>
      <c r="Q408" s="15">
        <f>IF($P$1279=0,0,P408/$P$1279*100)</f>
      </c>
      <c r="R408" s="10" t="str">
        <f>IF(O408=C408,"TETAP",IF(C408=0,"BARU",IF(O408=0,"HAPUS",IF(O408&gt;C408,"TAMBAH","KURANG"))))</f>
        <v>TETAP</v>
      </c>
    </row>
    <row r="409" spans="1:18" x14ac:dyDescent="0.25">
      <c r="A409" s="5" t="s">
        <v>108</v>
      </c>
      <c r="B409" s="17" t="s">
        <v>448</v>
      </c>
      <c r="C409" s="7"/>
      <c r="D409" s="7"/>
      <c r="E409" s="5"/>
      <c r="F409" s="8"/>
      <c r="G409" s="8"/>
      <c r="H409" s="9"/>
      <c r="I409" s="7"/>
      <c r="J409" s="8"/>
      <c r="K409" s="9"/>
      <c r="L409" s="7"/>
      <c r="M409" s="8"/>
      <c r="N409" s="9"/>
      <c r="O409" s="7"/>
      <c r="P409" s="8"/>
      <c r="Q409" s="9"/>
      <c r="R409" s="5"/>
    </row>
    <row r="410" spans="1:18" x14ac:dyDescent="0.25">
      <c r="A410" s="10" t="s">
        <v>212</v>
      </c>
      <c r="B410" s="18" t="s">
        <v>439</v>
      </c>
      <c r="C410" s="12">
        <v>40.56</v>
      </c>
      <c r="D410" s="12">
        <v>0</v>
      </c>
      <c r="E410" s="10" t="s">
        <v>159</v>
      </c>
      <c r="F410" s="14">
        <v>58275.09</v>
      </c>
      <c r="G410" s="14">
        <f>F410*C410</f>
        <v>2363637.6504</v>
      </c>
      <c r="H410" s="15">
        <f>IF($G$1279=0,0,G410/$G$1279*100)</f>
      </c>
      <c r="I410" s="12" t="str">
        <f>IF(O410-C410&gt;0,O410-C410,"")</f>
        <v/>
      </c>
      <c r="J410" s="14" t="str">
        <f>IF(I410="","",F410*I410)</f>
        <v/>
      </c>
      <c r="K410" s="15">
        <f>IF(OR(J410="",$G$1279=0),"",J410/$G$1279*100)</f>
      </c>
      <c r="L410" s="12" t="str">
        <f>IF(C410-O410&gt;0,C410-O410,"")</f>
        <v/>
      </c>
      <c r="M410" s="14" t="str">
        <f>IF(L410="","",F410*L410)</f>
        <v/>
      </c>
      <c r="N410" s="15">
        <f>IF(OR(M410="",$G$1279=0),"",M410/$G$1279*100)</f>
      </c>
      <c r="O410" s="12">
        <v>40.56</v>
      </c>
      <c r="P410" s="14">
        <f>F410*O410</f>
        <v>2363637.6504</v>
      </c>
      <c r="Q410" s="15">
        <f>IF($P$1279=0,0,P410/$P$1279*100)</f>
      </c>
      <c r="R410" s="10" t="str">
        <f>IF(O410=C410,"TETAP",IF(C410=0,"BARU",IF(O410=0,"HAPUS",IF(O410&gt;C410,"TAMBAH","KURANG"))))</f>
        <v>TETAP</v>
      </c>
    </row>
    <row r="411" spans="1:18" x14ac:dyDescent="0.25">
      <c r="A411" s="10" t="s">
        <v>214</v>
      </c>
      <c r="B411" s="18" t="s">
        <v>440</v>
      </c>
      <c r="C411" s="12">
        <v>40.56</v>
      </c>
      <c r="D411" s="12">
        <v>0</v>
      </c>
      <c r="E411" s="10" t="s">
        <v>159</v>
      </c>
      <c r="F411" s="14">
        <v>39994.39</v>
      </c>
      <c r="G411" s="14">
        <f>F411*C411</f>
        <v>1622172.4584000001</v>
      </c>
      <c r="H411" s="15">
        <f>IF($G$1279=0,0,G411/$G$1279*100)</f>
      </c>
      <c r="I411" s="12" t="str">
        <f>IF(O411-C411&gt;0,O411-C411,"")</f>
        <v/>
      </c>
      <c r="J411" s="14" t="str">
        <f>IF(I411="","",F411*I411)</f>
        <v/>
      </c>
      <c r="K411" s="15">
        <f>IF(OR(J411="",$G$1279=0),"",J411/$G$1279*100)</f>
      </c>
      <c r="L411" s="12" t="str">
        <f>IF(C411-O411&gt;0,C411-O411,"")</f>
        <v/>
      </c>
      <c r="M411" s="14" t="str">
        <f>IF(L411="","",F411*L411)</f>
        <v/>
      </c>
      <c r="N411" s="15">
        <f>IF(OR(M411="",$G$1279=0),"",M411/$G$1279*100)</f>
      </c>
      <c r="O411" s="12">
        <v>40.56</v>
      </c>
      <c r="P411" s="14">
        <f>F411*O411</f>
        <v>1622172.4584000001</v>
      </c>
      <c r="Q411" s="15">
        <f>IF($P$1279=0,0,P411/$P$1279*100)</f>
      </c>
      <c r="R411" s="10" t="str">
        <f>IF(O411=C411,"TETAP",IF(C411=0,"BARU",IF(O411=0,"HAPUS",IF(O411&gt;C411,"TAMBAH","KURANG"))))</f>
        <v>TETAP</v>
      </c>
    </row>
    <row r="412" spans="1:18" x14ac:dyDescent="0.25">
      <c r="A412" s="10" t="s">
        <v>216</v>
      </c>
      <c r="B412" s="18" t="s">
        <v>449</v>
      </c>
      <c r="C412" s="12">
        <v>10.14</v>
      </c>
      <c r="D412" s="12">
        <v>0</v>
      </c>
      <c r="E412" s="10" t="s">
        <v>159</v>
      </c>
      <c r="F412" s="14">
        <v>342654.98</v>
      </c>
      <c r="G412" s="14">
        <f>F412*C412</f>
        <v>3474521.4972</v>
      </c>
      <c r="H412" s="15">
        <f>IF($G$1279=0,0,G412/$G$1279*100)</f>
      </c>
      <c r="I412" s="12" t="str">
        <f>IF(O412-C412&gt;0,O412-C412,"")</f>
        <v/>
      </c>
      <c r="J412" s="14" t="str">
        <f>IF(I412="","",F412*I412)</f>
        <v/>
      </c>
      <c r="K412" s="15">
        <f>IF(OR(J412="",$G$1279=0),"",J412/$G$1279*100)</f>
      </c>
      <c r="L412" s="12" t="str">
        <f>IF(C412-O412&gt;0,C412-O412,"")</f>
        <v/>
      </c>
      <c r="M412" s="14" t="str">
        <f>IF(L412="","",F412*L412)</f>
        <v/>
      </c>
      <c r="N412" s="15">
        <f>IF(OR(M412="",$G$1279=0),"",M412/$G$1279*100)</f>
      </c>
      <c r="O412" s="12">
        <v>10.14</v>
      </c>
      <c r="P412" s="14">
        <f>F412*O412</f>
        <v>3474521.4972</v>
      </c>
      <c r="Q412" s="15">
        <f>IF($P$1279=0,0,P412/$P$1279*100)</f>
      </c>
      <c r="R412" s="10" t="str">
        <f>IF(O412=C412,"TETAP",IF(C412=0,"BARU",IF(O412=0,"HAPUS",IF(O412&gt;C412,"TAMBAH","KURANG"))))</f>
        <v>TETAP</v>
      </c>
    </row>
    <row r="413" spans="1:18" x14ac:dyDescent="0.25">
      <c r="A413" s="10" t="s">
        <v>218</v>
      </c>
      <c r="B413" s="18" t="s">
        <v>450</v>
      </c>
      <c r="C413" s="12">
        <v>5.07</v>
      </c>
      <c r="D413" s="12">
        <v>0</v>
      </c>
      <c r="E413" s="10" t="s">
        <v>159</v>
      </c>
      <c r="F413" s="14">
        <v>1243301.43</v>
      </c>
      <c r="G413" s="14">
        <f>F413*C413</f>
        <v>6303538.2501</v>
      </c>
      <c r="H413" s="15">
        <f>IF($G$1279=0,0,G413/$G$1279*100)</f>
      </c>
      <c r="I413" s="12" t="str">
        <f>IF(O413-C413&gt;0,O413-C413,"")</f>
        <v/>
      </c>
      <c r="J413" s="14" t="str">
        <f>IF(I413="","",F413*I413)</f>
        <v/>
      </c>
      <c r="K413" s="15">
        <f>IF(OR(J413="",$G$1279=0),"",J413/$G$1279*100)</f>
      </c>
      <c r="L413" s="12" t="str">
        <f>IF(C413-O413&gt;0,C413-O413,"")</f>
        <v/>
      </c>
      <c r="M413" s="14" t="str">
        <f>IF(L413="","",F413*L413)</f>
        <v/>
      </c>
      <c r="N413" s="15">
        <f>IF(OR(M413="",$G$1279=0),"",M413/$G$1279*100)</f>
      </c>
      <c r="O413" s="12">
        <v>5.07</v>
      </c>
      <c r="P413" s="14">
        <f>F413*O413</f>
        <v>6303538.2501</v>
      </c>
      <c r="Q413" s="15">
        <f>IF($P$1279=0,0,P413/$P$1279*100)</f>
      </c>
      <c r="R413" s="10" t="str">
        <f>IF(O413=C413,"TETAP",IF(C413=0,"BARU",IF(O413=0,"HAPUS",IF(O413&gt;C413,"TAMBAH","KURANG"))))</f>
        <v>TETAP</v>
      </c>
    </row>
    <row r="414" spans="1:18" x14ac:dyDescent="0.25">
      <c r="A414" s="10" t="s">
        <v>219</v>
      </c>
      <c r="B414" s="18" t="s">
        <v>187</v>
      </c>
      <c r="C414" s="12">
        <v>6.14</v>
      </c>
      <c r="D414" s="12">
        <v>0</v>
      </c>
      <c r="E414" s="10" t="s">
        <v>26</v>
      </c>
      <c r="F414" s="14">
        <v>218225.13</v>
      </c>
      <c r="G414" s="14">
        <f>F414*C414</f>
        <v>1339902.2981999998</v>
      </c>
      <c r="H414" s="15">
        <f>IF($G$1279=0,0,G414/$G$1279*100)</f>
      </c>
      <c r="I414" s="12" t="str">
        <f>IF(O414-C414&gt;0,O414-C414,"")</f>
        <v/>
      </c>
      <c r="J414" s="14" t="str">
        <f>IF(I414="","",F414*I414)</f>
        <v/>
      </c>
      <c r="K414" s="15">
        <f>IF(OR(J414="",$G$1279=0),"",J414/$G$1279*100)</f>
      </c>
      <c r="L414" s="12" t="str">
        <f>IF(C414-O414&gt;0,C414-O414,"")</f>
        <v/>
      </c>
      <c r="M414" s="14" t="str">
        <f>IF(L414="","",F414*L414)</f>
        <v/>
      </c>
      <c r="N414" s="15">
        <f>IF(OR(M414="",$G$1279=0),"",M414/$G$1279*100)</f>
      </c>
      <c r="O414" s="12">
        <v>6.14</v>
      </c>
      <c r="P414" s="14">
        <f>F414*O414</f>
        <v>1339902.2981999998</v>
      </c>
      <c r="Q414" s="15">
        <f>IF($P$1279=0,0,P414/$P$1279*100)</f>
      </c>
      <c r="R414" s="10" t="str">
        <f>IF(O414=C414,"TETAP",IF(C414=0,"BARU",IF(O414=0,"HAPUS",IF(O414&gt;C414,"TAMBAH","KURANG"))))</f>
        <v>TETAP</v>
      </c>
    </row>
    <row r="415" spans="1:18" x14ac:dyDescent="0.25">
      <c r="A415" s="10" t="s">
        <v>272</v>
      </c>
      <c r="B415" s="18" t="s">
        <v>451</v>
      </c>
      <c r="C415" s="12">
        <v>1651.54</v>
      </c>
      <c r="D415" s="12">
        <v>0</v>
      </c>
      <c r="E415" s="10" t="s">
        <v>169</v>
      </c>
      <c r="F415" s="14">
        <v>19252.39</v>
      </c>
      <c r="G415" s="14">
        <f>F415*C415</f>
        <v>31796092.1806</v>
      </c>
      <c r="H415" s="15">
        <f>IF($G$1279=0,0,G415/$G$1279*100)</f>
      </c>
      <c r="I415" s="12" t="str">
        <f>IF(O415-C415&gt;0,O415-C415,"")</f>
        <v/>
      </c>
      <c r="J415" s="14" t="str">
        <f>IF(I415="","",F415*I415)</f>
        <v/>
      </c>
      <c r="K415" s="15">
        <f>IF(OR(J415="",$G$1279=0),"",J415/$G$1279*100)</f>
      </c>
      <c r="L415" s="12" t="str">
        <f>IF(C415-O415&gt;0,C415-O415,"")</f>
        <v/>
      </c>
      <c r="M415" s="14" t="str">
        <f>IF(L415="","",F415*L415)</f>
        <v/>
      </c>
      <c r="N415" s="15">
        <f>IF(OR(M415="",$G$1279=0),"",M415/$G$1279*100)</f>
      </c>
      <c r="O415" s="12">
        <v>1651.54</v>
      </c>
      <c r="P415" s="14">
        <f>F415*O415</f>
        <v>31796092.1806</v>
      </c>
      <c r="Q415" s="15">
        <f>IF($P$1279=0,0,P415/$P$1279*100)</f>
      </c>
      <c r="R415" s="10" t="str">
        <f>IF(O415=C415,"TETAP",IF(C415=0,"BARU",IF(O415=0,"HAPUS",IF(O415&gt;C415,"TAMBAH","KURANG"))))</f>
        <v>TETAP</v>
      </c>
    </row>
    <row r="416" spans="1:18" x14ac:dyDescent="0.25">
      <c r="A416" s="10" t="s">
        <v>452</v>
      </c>
      <c r="B416" s="18" t="s">
        <v>374</v>
      </c>
      <c r="C416" s="12">
        <v>14.4</v>
      </c>
      <c r="D416" s="12">
        <v>0</v>
      </c>
      <c r="E416" s="10" t="s">
        <v>159</v>
      </c>
      <c r="F416" s="14">
        <v>1399567.05</v>
      </c>
      <c r="G416" s="14">
        <f>F416*C416</f>
        <v>20153765.52</v>
      </c>
      <c r="H416" s="15">
        <f>IF($G$1279=0,0,G416/$G$1279*100)</f>
      </c>
      <c r="I416" s="12" t="str">
        <f>IF(O416-C416&gt;0,O416-C416,"")</f>
        <v/>
      </c>
      <c r="J416" s="14" t="str">
        <f>IF(I416="","",F416*I416)</f>
        <v/>
      </c>
      <c r="K416" s="15">
        <f>IF(OR(J416="",$G$1279=0),"",J416/$G$1279*100)</f>
      </c>
      <c r="L416" s="12" t="str">
        <f>IF(C416-O416&gt;0,C416-O416,"")</f>
        <v/>
      </c>
      <c r="M416" s="14" t="str">
        <f>IF(L416="","",F416*L416)</f>
        <v/>
      </c>
      <c r="N416" s="15">
        <f>IF(OR(M416="",$G$1279=0),"",M416/$G$1279*100)</f>
      </c>
      <c r="O416" s="12">
        <v>14.4</v>
      </c>
      <c r="P416" s="14">
        <f>F416*O416</f>
        <v>20153765.52</v>
      </c>
      <c r="Q416" s="15">
        <f>IF($P$1279=0,0,P416/$P$1279*100)</f>
      </c>
      <c r="R416" s="10" t="str">
        <f>IF(O416=C416,"TETAP",IF(C416=0,"BARU",IF(O416=0,"HAPUS",IF(O416&gt;C416,"TAMBAH","KURANG"))))</f>
        <v>TETAP</v>
      </c>
    </row>
    <row r="417" spans="1:18" x14ac:dyDescent="0.25">
      <c r="A417" s="5" t="s">
        <v>110</v>
      </c>
      <c r="B417" s="17" t="s">
        <v>405</v>
      </c>
      <c r="C417" s="7"/>
      <c r="D417" s="7"/>
      <c r="E417" s="5"/>
      <c r="F417" s="8"/>
      <c r="G417" s="8"/>
      <c r="H417" s="9"/>
      <c r="I417" s="7"/>
      <c r="J417" s="8"/>
      <c r="K417" s="9"/>
      <c r="L417" s="7"/>
      <c r="M417" s="8"/>
      <c r="N417" s="9"/>
      <c r="O417" s="7"/>
      <c r="P417" s="8"/>
      <c r="Q417" s="9"/>
      <c r="R417" s="5"/>
    </row>
    <row r="418" spans="1:18" x14ac:dyDescent="0.25">
      <c r="A418" s="10" t="s">
        <v>275</v>
      </c>
      <c r="B418" s="18" t="s">
        <v>406</v>
      </c>
      <c r="C418" s="12">
        <v>0.42</v>
      </c>
      <c r="D418" s="12">
        <v>0</v>
      </c>
      <c r="E418" s="10" t="s">
        <v>159</v>
      </c>
      <c r="F418" s="14">
        <v>48730.7</v>
      </c>
      <c r="G418" s="14">
        <f>F418*C418</f>
        <v>20466.893999999997</v>
      </c>
      <c r="H418" s="15">
        <f>IF($G$1279=0,0,G418/$G$1279*100)</f>
      </c>
      <c r="I418" s="12" t="str">
        <f>IF(O418-C418&gt;0,O418-C418,"")</f>
        <v/>
      </c>
      <c r="J418" s="14" t="str">
        <f>IF(I418="","",F418*I418)</f>
        <v/>
      </c>
      <c r="K418" s="15">
        <f>IF(OR(J418="",$G$1279=0),"",J418/$G$1279*100)</f>
      </c>
      <c r="L418" s="12" t="str">
        <f>IF(C418-O418&gt;0,C418-O418,"")</f>
        <v/>
      </c>
      <c r="M418" s="14" t="str">
        <f>IF(L418="","",F418*L418)</f>
        <v/>
      </c>
      <c r="N418" s="15">
        <f>IF(OR(M418="",$G$1279=0),"",M418/$G$1279*100)</f>
      </c>
      <c r="O418" s="12">
        <v>0.42</v>
      </c>
      <c r="P418" s="14">
        <f>F418*O418</f>
        <v>20466.893999999997</v>
      </c>
      <c r="Q418" s="15">
        <f>IF($P$1279=0,0,P418/$P$1279*100)</f>
      </c>
      <c r="R418" s="10" t="str">
        <f>IF(O418=C418,"TETAP",IF(C418=0,"BARU",IF(O418=0,"HAPUS",IF(O418&gt;C418,"TAMBAH","KURANG"))))</f>
        <v>TETAP</v>
      </c>
    </row>
    <row r="419" spans="1:18" x14ac:dyDescent="0.25">
      <c r="A419" s="10" t="s">
        <v>276</v>
      </c>
      <c r="B419" s="18" t="s">
        <v>407</v>
      </c>
      <c r="C419" s="12">
        <v>10.62</v>
      </c>
      <c r="D419" s="12">
        <v>0</v>
      </c>
      <c r="E419" s="10" t="s">
        <v>26</v>
      </c>
      <c r="F419" s="14">
        <v>164501.03</v>
      </c>
      <c r="G419" s="14">
        <f>F419*C419</f>
        <v>1747000.9385999998</v>
      </c>
      <c r="H419" s="15">
        <f>IF($G$1279=0,0,G419/$G$1279*100)</f>
      </c>
      <c r="I419" s="12" t="str">
        <f>IF(O419-C419&gt;0,O419-C419,"")</f>
        <v/>
      </c>
      <c r="J419" s="14" t="str">
        <f>IF(I419="","",F419*I419)</f>
        <v/>
      </c>
      <c r="K419" s="15">
        <f>IF(OR(J419="",$G$1279=0),"",J419/$G$1279*100)</f>
      </c>
      <c r="L419" s="12" t="str">
        <f>IF(C419-O419&gt;0,C419-O419,"")</f>
        <v/>
      </c>
      <c r="M419" s="14" t="str">
        <f>IF(L419="","",F419*L419)</f>
        <v/>
      </c>
      <c r="N419" s="15">
        <f>IF(OR(M419="",$G$1279=0),"",M419/$G$1279*100)</f>
      </c>
      <c r="O419" s="12">
        <v>10.62</v>
      </c>
      <c r="P419" s="14">
        <f>F419*O419</f>
        <v>1747000.9385999998</v>
      </c>
      <c r="Q419" s="15">
        <f>IF($P$1279=0,0,P419/$P$1279*100)</f>
      </c>
      <c r="R419" s="10" t="str">
        <f>IF(O419=C419,"TETAP",IF(C419=0,"BARU",IF(O419=0,"HAPUS",IF(O419&gt;C419,"TAMBAH","KURANG"))))</f>
        <v>TETAP</v>
      </c>
    </row>
    <row r="420" spans="1:18" x14ac:dyDescent="0.25">
      <c r="A420" s="10" t="s">
        <v>278</v>
      </c>
      <c r="B420" s="18" t="s">
        <v>408</v>
      </c>
      <c r="C420" s="12">
        <v>1.27</v>
      </c>
      <c r="D420" s="12">
        <v>0</v>
      </c>
      <c r="E420" s="10" t="s">
        <v>159</v>
      </c>
      <c r="F420" s="14">
        <v>211003.3</v>
      </c>
      <c r="G420" s="14">
        <f>F420*C420</f>
        <v>267974.191</v>
      </c>
      <c r="H420" s="15">
        <f>IF($G$1279=0,0,G420/$G$1279*100)</f>
      </c>
      <c r="I420" s="12" t="str">
        <f>IF(O420-C420&gt;0,O420-C420,"")</f>
        <v/>
      </c>
      <c r="J420" s="14" t="str">
        <f>IF(I420="","",F420*I420)</f>
        <v/>
      </c>
      <c r="K420" s="15">
        <f>IF(OR(J420="",$G$1279=0),"",J420/$G$1279*100)</f>
      </c>
      <c r="L420" s="12" t="str">
        <f>IF(C420-O420&gt;0,C420-O420,"")</f>
        <v/>
      </c>
      <c r="M420" s="14" t="str">
        <f>IF(L420="","",F420*L420)</f>
        <v/>
      </c>
      <c r="N420" s="15">
        <f>IF(OR(M420="",$G$1279=0),"",M420/$G$1279*100)</f>
      </c>
      <c r="O420" s="12">
        <v>1.27</v>
      </c>
      <c r="P420" s="14">
        <f>F420*O420</f>
        <v>267974.191</v>
      </c>
      <c r="Q420" s="15">
        <f>IF($P$1279=0,0,P420/$P$1279*100)</f>
      </c>
      <c r="R420" s="10" t="str">
        <f>IF(O420=C420,"TETAP",IF(C420=0,"BARU",IF(O420=0,"HAPUS",IF(O420&gt;C420,"TAMBAH","KURANG"))))</f>
        <v>TETAP</v>
      </c>
    </row>
    <row r="421" spans="1:18" x14ac:dyDescent="0.25">
      <c r="A421" s="10" t="s">
        <v>279</v>
      </c>
      <c r="B421" s="18" t="s">
        <v>409</v>
      </c>
      <c r="C421" s="12">
        <v>0.13</v>
      </c>
      <c r="D421" s="12">
        <v>0</v>
      </c>
      <c r="E421" s="10" t="s">
        <v>159</v>
      </c>
      <c r="F421" s="14">
        <v>342654.98</v>
      </c>
      <c r="G421" s="14">
        <f>F421*C421</f>
        <v>44545.1474</v>
      </c>
      <c r="H421" s="15">
        <f>IF($G$1279=0,0,G421/$G$1279*100)</f>
      </c>
      <c r="I421" s="12" t="str">
        <f>IF(O421-C421&gt;0,O421-C421,"")</f>
        <v/>
      </c>
      <c r="J421" s="14" t="str">
        <f>IF(I421="","",F421*I421)</f>
        <v/>
      </c>
      <c r="K421" s="15">
        <f>IF(OR(J421="",$G$1279=0),"",J421/$G$1279*100)</f>
      </c>
      <c r="L421" s="12" t="str">
        <f>IF(C421-O421&gt;0,C421-O421,"")</f>
        <v/>
      </c>
      <c r="M421" s="14" t="str">
        <f>IF(L421="","",F421*L421)</f>
        <v/>
      </c>
      <c r="N421" s="15">
        <f>IF(OR(M421="",$G$1279=0),"",M421/$G$1279*100)</f>
      </c>
      <c r="O421" s="12">
        <v>0.13</v>
      </c>
      <c r="P421" s="14">
        <f>F421*O421</f>
        <v>44545.1474</v>
      </c>
      <c r="Q421" s="15">
        <f>IF($P$1279=0,0,P421/$P$1279*100)</f>
      </c>
      <c r="R421" s="10" t="str">
        <f>IF(O421=C421,"TETAP",IF(C421=0,"BARU",IF(O421=0,"HAPUS",IF(O421&gt;C421,"TAMBAH","KURANG"))))</f>
        <v>TETAP</v>
      </c>
    </row>
    <row r="422" spans="1:18" x14ac:dyDescent="0.25">
      <c r="A422" s="10" t="s">
        <v>281</v>
      </c>
      <c r="B422" s="18" t="s">
        <v>369</v>
      </c>
      <c r="C422" s="12">
        <v>0.3</v>
      </c>
      <c r="D422" s="12">
        <v>0</v>
      </c>
      <c r="E422" s="10" t="s">
        <v>159</v>
      </c>
      <c r="F422" s="14">
        <v>1243301.43</v>
      </c>
      <c r="G422" s="14">
        <f>F422*C422</f>
        <v>372990.42899999995</v>
      </c>
      <c r="H422" s="15">
        <f>IF($G$1279=0,0,G422/$G$1279*100)</f>
      </c>
      <c r="I422" s="12" t="str">
        <f>IF(O422-C422&gt;0,O422-C422,"")</f>
        <v/>
      </c>
      <c r="J422" s="14" t="str">
        <f>IF(I422="","",F422*I422)</f>
        <v/>
      </c>
      <c r="K422" s="15">
        <f>IF(OR(J422="",$G$1279=0),"",J422/$G$1279*100)</f>
      </c>
      <c r="L422" s="12" t="str">
        <f>IF(C422-O422&gt;0,C422-O422,"")</f>
        <v/>
      </c>
      <c r="M422" s="14" t="str">
        <f>IF(L422="","",F422*L422)</f>
        <v/>
      </c>
      <c r="N422" s="15">
        <f>IF(OR(M422="",$G$1279=0),"",M422/$G$1279*100)</f>
      </c>
      <c r="O422" s="12">
        <v>0.3</v>
      </c>
      <c r="P422" s="14">
        <f>F422*O422</f>
        <v>372990.42899999995</v>
      </c>
      <c r="Q422" s="15">
        <f>IF($P$1279=0,0,P422/$P$1279*100)</f>
      </c>
      <c r="R422" s="10" t="str">
        <f>IF(O422=C422,"TETAP",IF(C422=0,"BARU",IF(O422=0,"HAPUS",IF(O422&gt;C422,"TAMBAH","KURANG"))))</f>
        <v>TETAP</v>
      </c>
    </row>
    <row r="423" spans="1:18" x14ac:dyDescent="0.25">
      <c r="A423" s="10" t="s">
        <v>282</v>
      </c>
      <c r="B423" s="18" t="s">
        <v>410</v>
      </c>
      <c r="C423" s="12">
        <v>4.26</v>
      </c>
      <c r="D423" s="12">
        <v>0</v>
      </c>
      <c r="E423" s="10" t="s">
        <v>26</v>
      </c>
      <c r="F423" s="14">
        <v>60093.87</v>
      </c>
      <c r="G423" s="14">
        <f>F423*C423</f>
        <v>255999.8862</v>
      </c>
      <c r="H423" s="15">
        <f>IF($G$1279=0,0,G423/$G$1279*100)</f>
      </c>
      <c r="I423" s="12" t="str">
        <f>IF(O423-C423&gt;0,O423-C423,"")</f>
        <v/>
      </c>
      <c r="J423" s="14" t="str">
        <f>IF(I423="","",F423*I423)</f>
        <v/>
      </c>
      <c r="K423" s="15">
        <f>IF(OR(J423="",$G$1279=0),"",J423/$G$1279*100)</f>
      </c>
      <c r="L423" s="12" t="str">
        <f>IF(C423-O423&gt;0,C423-O423,"")</f>
        <v/>
      </c>
      <c r="M423" s="14" t="str">
        <f>IF(L423="","",F423*L423)</f>
        <v/>
      </c>
      <c r="N423" s="15">
        <f>IF(OR(M423="",$G$1279=0),"",M423/$G$1279*100)</f>
      </c>
      <c r="O423" s="12">
        <v>4.26</v>
      </c>
      <c r="P423" s="14">
        <f>F423*O423</f>
        <v>255999.8862</v>
      </c>
      <c r="Q423" s="15">
        <f>IF($P$1279=0,0,P423/$P$1279*100)</f>
      </c>
      <c r="R423" s="10" t="str">
        <f>IF(O423=C423,"TETAP",IF(C423=0,"BARU",IF(O423=0,"HAPUS",IF(O423&gt;C423,"TAMBAH","KURANG"))))</f>
        <v>TETAP</v>
      </c>
    </row>
    <row r="424" spans="1:18" x14ac:dyDescent="0.25">
      <c r="A424" s="10" t="s">
        <v>283</v>
      </c>
      <c r="B424" s="18" t="s">
        <v>182</v>
      </c>
      <c r="C424" s="12">
        <v>8.49</v>
      </c>
      <c r="D424" s="12">
        <v>0</v>
      </c>
      <c r="E424" s="10" t="s">
        <v>26</v>
      </c>
      <c r="F424" s="14">
        <v>44344.2</v>
      </c>
      <c r="G424" s="14">
        <f>F424*C424</f>
        <v>376482.258</v>
      </c>
      <c r="H424" s="15">
        <f>IF($G$1279=0,0,G424/$G$1279*100)</f>
      </c>
      <c r="I424" s="12" t="str">
        <f>IF(O424-C424&gt;0,O424-C424,"")</f>
        <v/>
      </c>
      <c r="J424" s="14" t="str">
        <f>IF(I424="","",F424*I424)</f>
        <v/>
      </c>
      <c r="K424" s="15">
        <f>IF(OR(J424="",$G$1279=0),"",J424/$G$1279*100)</f>
      </c>
      <c r="L424" s="12" t="str">
        <f>IF(C424-O424&gt;0,C424-O424,"")</f>
        <v/>
      </c>
      <c r="M424" s="14" t="str">
        <f>IF(L424="","",F424*L424)</f>
        <v/>
      </c>
      <c r="N424" s="15">
        <f>IF(OR(M424="",$G$1279=0),"",M424/$G$1279*100)</f>
      </c>
      <c r="O424" s="12">
        <v>8.49</v>
      </c>
      <c r="P424" s="14">
        <f>F424*O424</f>
        <v>376482.258</v>
      </c>
      <c r="Q424" s="15">
        <f>IF($P$1279=0,0,P424/$P$1279*100)</f>
      </c>
      <c r="R424" s="10" t="str">
        <f>IF(O424=C424,"TETAP",IF(C424=0,"BARU",IF(O424=0,"HAPUS",IF(O424&gt;C424,"TAMBAH","KURANG"))))</f>
        <v>TETAP</v>
      </c>
    </row>
    <row r="425" spans="1:18" x14ac:dyDescent="0.25">
      <c r="A425" s="5" t="s">
        <v>112</v>
      </c>
      <c r="B425" s="17" t="s">
        <v>453</v>
      </c>
      <c r="C425" s="7"/>
      <c r="D425" s="7"/>
      <c r="E425" s="5"/>
      <c r="F425" s="8"/>
      <c r="G425" s="8"/>
      <c r="H425" s="9"/>
      <c r="I425" s="7"/>
      <c r="J425" s="8"/>
      <c r="K425" s="9"/>
      <c r="L425" s="7"/>
      <c r="M425" s="8"/>
      <c r="N425" s="9"/>
      <c r="O425" s="7"/>
      <c r="P425" s="8"/>
      <c r="Q425" s="9"/>
      <c r="R425" s="5"/>
    </row>
    <row r="426" spans="1:18" x14ac:dyDescent="0.25">
      <c r="A426" s="10" t="s">
        <v>287</v>
      </c>
      <c r="B426" s="18" t="s">
        <v>454</v>
      </c>
      <c r="C426" s="12">
        <v>4.1</v>
      </c>
      <c r="D426" s="12">
        <v>0</v>
      </c>
      <c r="E426" s="10" t="s">
        <v>26</v>
      </c>
      <c r="F426" s="14">
        <v>164501.03</v>
      </c>
      <c r="G426" s="14">
        <f>F426*C426</f>
        <v>674454.2229999999</v>
      </c>
      <c r="H426" s="15">
        <f>IF($G$1279=0,0,G426/$G$1279*100)</f>
      </c>
      <c r="I426" s="12" t="str">
        <f>IF(O426-C426&gt;0,O426-C426,"")</f>
        <v/>
      </c>
      <c r="J426" s="14" t="str">
        <f>IF(I426="","",F426*I426)</f>
        <v/>
      </c>
      <c r="K426" s="15">
        <f>IF(OR(J426="",$G$1279=0),"",J426/$G$1279*100)</f>
      </c>
      <c r="L426" s="12" t="str">
        <f>IF(C426-O426&gt;0,C426-O426,"")</f>
        <v/>
      </c>
      <c r="M426" s="14" t="str">
        <f>IF(L426="","",F426*L426)</f>
        <v/>
      </c>
      <c r="N426" s="15">
        <f>IF(OR(M426="",$G$1279=0),"",M426/$G$1279*100)</f>
      </c>
      <c r="O426" s="12">
        <v>4.1</v>
      </c>
      <c r="P426" s="14">
        <f>F426*O426</f>
        <v>674454.2229999999</v>
      </c>
      <c r="Q426" s="15">
        <f>IF($P$1279=0,0,P426/$P$1279*100)</f>
      </c>
      <c r="R426" s="10" t="str">
        <f>IF(O426=C426,"TETAP",IF(C426=0,"BARU",IF(O426=0,"HAPUS",IF(O426&gt;C426,"TAMBAH","KURANG"))))</f>
        <v>TETAP</v>
      </c>
    </row>
    <row r="427" spans="1:18" x14ac:dyDescent="0.25">
      <c r="A427" s="10" t="s">
        <v>288</v>
      </c>
      <c r="B427" s="18" t="s">
        <v>402</v>
      </c>
      <c r="C427" s="12">
        <v>4.1</v>
      </c>
      <c r="D427" s="12">
        <v>0</v>
      </c>
      <c r="E427" s="10" t="s">
        <v>26</v>
      </c>
      <c r="F427" s="14">
        <v>60093.87</v>
      </c>
      <c r="G427" s="14">
        <f>F427*C427</f>
        <v>246384.867</v>
      </c>
      <c r="H427" s="15">
        <f>IF($G$1279=0,0,G427/$G$1279*100)</f>
      </c>
      <c r="I427" s="12" t="str">
        <f>IF(O427-C427&gt;0,O427-C427,"")</f>
        <v/>
      </c>
      <c r="J427" s="14" t="str">
        <f>IF(I427="","",F427*I427)</f>
        <v/>
      </c>
      <c r="K427" s="15">
        <f>IF(OR(J427="",$G$1279=0),"",J427/$G$1279*100)</f>
      </c>
      <c r="L427" s="12" t="str">
        <f>IF(C427-O427&gt;0,C427-O427,"")</f>
        <v/>
      </c>
      <c r="M427" s="14" t="str">
        <f>IF(L427="","",F427*L427)</f>
        <v/>
      </c>
      <c r="N427" s="15">
        <f>IF(OR(M427="",$G$1279=0),"",M427/$G$1279*100)</f>
      </c>
      <c r="O427" s="12">
        <v>4.1</v>
      </c>
      <c r="P427" s="14">
        <f>F427*O427</f>
        <v>246384.867</v>
      </c>
      <c r="Q427" s="15">
        <f>IF($P$1279=0,0,P427/$P$1279*100)</f>
      </c>
      <c r="R427" s="10" t="str">
        <f>IF(O427=C427,"TETAP",IF(C427=0,"BARU",IF(O427=0,"HAPUS",IF(O427&gt;C427,"TAMBAH","KURANG"))))</f>
        <v>TETAP</v>
      </c>
    </row>
    <row r="428" spans="1:18" x14ac:dyDescent="0.25">
      <c r="A428" s="10" t="s">
        <v>289</v>
      </c>
      <c r="B428" s="18" t="s">
        <v>182</v>
      </c>
      <c r="C428" s="12">
        <v>4.1</v>
      </c>
      <c r="D428" s="12">
        <v>0</v>
      </c>
      <c r="E428" s="10" t="s">
        <v>26</v>
      </c>
      <c r="F428" s="14">
        <v>44344.2</v>
      </c>
      <c r="G428" s="14">
        <f>F428*C428</f>
        <v>181811.21999999997</v>
      </c>
      <c r="H428" s="15">
        <f>IF($G$1279=0,0,G428/$G$1279*100)</f>
      </c>
      <c r="I428" s="12" t="str">
        <f>IF(O428-C428&gt;0,O428-C428,"")</f>
        <v/>
      </c>
      <c r="J428" s="14" t="str">
        <f>IF(I428="","",F428*I428)</f>
        <v/>
      </c>
      <c r="K428" s="15">
        <f>IF(OR(J428="",$G$1279=0),"",J428/$G$1279*100)</f>
      </c>
      <c r="L428" s="12" t="str">
        <f>IF(C428-O428&gt;0,C428-O428,"")</f>
        <v/>
      </c>
      <c r="M428" s="14" t="str">
        <f>IF(L428="","",F428*L428)</f>
        <v/>
      </c>
      <c r="N428" s="15">
        <f>IF(OR(M428="",$G$1279=0),"",M428/$G$1279*100)</f>
      </c>
      <c r="O428" s="12">
        <v>4.1</v>
      </c>
      <c r="P428" s="14">
        <f>F428*O428</f>
        <v>181811.21999999997</v>
      </c>
      <c r="Q428" s="15">
        <f>IF($P$1279=0,0,P428/$P$1279*100)</f>
      </c>
      <c r="R428" s="10" t="str">
        <f>IF(O428=C428,"TETAP",IF(C428=0,"BARU",IF(O428=0,"HAPUS",IF(O428&gt;C428,"TAMBAH","KURANG"))))</f>
        <v>TETAP</v>
      </c>
    </row>
    <row r="429" spans="1:18" x14ac:dyDescent="0.25">
      <c r="A429" s="10" t="s">
        <v>115</v>
      </c>
      <c r="B429" s="20" t="s">
        <v>455</v>
      </c>
      <c r="C429" s="12">
        <v>102</v>
      </c>
      <c r="D429" s="12">
        <v>0</v>
      </c>
      <c r="E429" s="10" t="s">
        <v>26</v>
      </c>
      <c r="F429" s="14">
        <v>60093.87</v>
      </c>
      <c r="G429" s="14">
        <f>F429*C429</f>
        <v>6129574.74</v>
      </c>
      <c r="H429" s="15">
        <f>IF($G$1279=0,0,G429/$G$1279*100)</f>
      </c>
      <c r="I429" s="12" t="str">
        <f>IF(O429-C429&gt;0,O429-C429,"")</f>
        <v/>
      </c>
      <c r="J429" s="14" t="str">
        <f>IF(I429="","",F429*I429)</f>
        <v/>
      </c>
      <c r="K429" s="15">
        <f>IF(OR(J429="",$G$1279=0),"",J429/$G$1279*100)</f>
      </c>
      <c r="L429" s="12" t="str">
        <f>IF(C429-O429&gt;0,C429-O429,"")</f>
        <v/>
      </c>
      <c r="M429" s="14" t="str">
        <f>IF(L429="","",F429*L429)</f>
        <v/>
      </c>
      <c r="N429" s="15">
        <f>IF(OR(M429="",$G$1279=0),"",M429/$G$1279*100)</f>
      </c>
      <c r="O429" s="12">
        <v>102</v>
      </c>
      <c r="P429" s="14">
        <f>F429*O429</f>
        <v>6129574.74</v>
      </c>
      <c r="Q429" s="15">
        <f>IF($P$1279=0,0,P429/$P$1279*100)</f>
      </c>
      <c r="R429" s="10" t="str">
        <f>IF(O429=C429,"TETAP",IF(C429=0,"BARU",IF(O429=0,"HAPUS",IF(O429&gt;C429,"TAMBAH","KURANG"))))</f>
        <v>TETAP</v>
      </c>
    </row>
    <row r="430" spans="1:18" x14ac:dyDescent="0.25">
      <c r="A430" s="5" t="s">
        <v>456</v>
      </c>
      <c r="B430" s="6" t="s">
        <v>457</v>
      </c>
      <c r="C430" s="7"/>
      <c r="D430" s="7"/>
      <c r="E430" s="5"/>
      <c r="F430" s="8"/>
      <c r="G430" s="8"/>
      <c r="H430" s="9"/>
      <c r="I430" s="7"/>
      <c r="J430" s="8"/>
      <c r="K430" s="9"/>
      <c r="L430" s="7"/>
      <c r="M430" s="8"/>
      <c r="N430" s="9"/>
      <c r="O430" s="7"/>
      <c r="P430" s="8"/>
      <c r="Q430" s="9"/>
      <c r="R430" s="5"/>
    </row>
    <row r="431" spans="1:18" x14ac:dyDescent="0.25">
      <c r="A431" s="5" t="s">
        <v>458</v>
      </c>
      <c r="B431" s="16" t="s">
        <v>435</v>
      </c>
      <c r="C431" s="7"/>
      <c r="D431" s="7"/>
      <c r="E431" s="5"/>
      <c r="F431" s="8"/>
      <c r="G431" s="8"/>
      <c r="H431" s="9"/>
      <c r="I431" s="7"/>
      <c r="J431" s="8"/>
      <c r="K431" s="9"/>
      <c r="L431" s="7"/>
      <c r="M431" s="8"/>
      <c r="N431" s="9"/>
      <c r="O431" s="7"/>
      <c r="P431" s="8"/>
      <c r="Q431" s="9"/>
      <c r="R431" s="5"/>
    </row>
    <row r="432" spans="1:18" x14ac:dyDescent="0.25">
      <c r="A432" s="10" t="s">
        <v>24</v>
      </c>
      <c r="B432" s="20" t="s">
        <v>348</v>
      </c>
      <c r="C432" s="12">
        <v>40</v>
      </c>
      <c r="D432" s="12">
        <v>0</v>
      </c>
      <c r="E432" s="10" t="s">
        <v>37</v>
      </c>
      <c r="F432" s="14">
        <v>161600.06</v>
      </c>
      <c r="G432" s="14">
        <f>F432*C432</f>
        <v>6464002.4</v>
      </c>
      <c r="H432" s="15">
        <f>IF($G$1279=0,0,G432/$G$1279*100)</f>
      </c>
      <c r="I432" s="12" t="str">
        <f>IF(O432-C432&gt;0,O432-C432,"")</f>
        <v/>
      </c>
      <c r="J432" s="14" t="str">
        <f>IF(I432="","",F432*I432)</f>
        <v/>
      </c>
      <c r="K432" s="15">
        <f>IF(OR(J432="",$G$1279=0),"",J432/$G$1279*100)</f>
      </c>
      <c r="L432" s="12" t="str">
        <f>IF(C432-O432&gt;0,C432-O432,"")</f>
        <v/>
      </c>
      <c r="M432" s="14" t="str">
        <f>IF(L432="","",F432*L432)</f>
        <v/>
      </c>
      <c r="N432" s="15">
        <f>IF(OR(M432="",$G$1279=0),"",M432/$G$1279*100)</f>
      </c>
      <c r="O432" s="12">
        <v>40</v>
      </c>
      <c r="P432" s="14">
        <f>F432*O432</f>
        <v>6464002.4</v>
      </c>
      <c r="Q432" s="15">
        <f>IF($P$1279=0,0,P432/$P$1279*100)</f>
      </c>
      <c r="R432" s="10" t="str">
        <f>IF(O432=C432,"TETAP",IF(C432=0,"BARU",IF(O432=0,"HAPUS",IF(O432&gt;C432,"TAMBAH","KURANG"))))</f>
        <v>TETAP</v>
      </c>
    </row>
    <row r="433" spans="1:18" x14ac:dyDescent="0.25">
      <c r="A433" s="5" t="s">
        <v>27</v>
      </c>
      <c r="B433" s="17" t="s">
        <v>356</v>
      </c>
      <c r="C433" s="7"/>
      <c r="D433" s="7"/>
      <c r="E433" s="5"/>
      <c r="F433" s="8"/>
      <c r="G433" s="8"/>
      <c r="H433" s="9"/>
      <c r="I433" s="7"/>
      <c r="J433" s="8"/>
      <c r="K433" s="9"/>
      <c r="L433" s="7"/>
      <c r="M433" s="8"/>
      <c r="N433" s="9"/>
      <c r="O433" s="7"/>
      <c r="P433" s="8"/>
      <c r="Q433" s="9"/>
      <c r="R433" s="5"/>
    </row>
    <row r="434" spans="1:18" x14ac:dyDescent="0.25">
      <c r="A434" s="10" t="s">
        <v>165</v>
      </c>
      <c r="B434" s="18" t="s">
        <v>459</v>
      </c>
      <c r="C434" s="12">
        <v>57.09</v>
      </c>
      <c r="D434" s="12">
        <v>0</v>
      </c>
      <c r="E434" s="10" t="s">
        <v>159</v>
      </c>
      <c r="F434" s="14">
        <v>48730.7</v>
      </c>
      <c r="G434" s="14">
        <f>F434*C434</f>
        <v>2782035.663</v>
      </c>
      <c r="H434" s="15">
        <f>IF($G$1279=0,0,G434/$G$1279*100)</f>
      </c>
      <c r="I434" s="12" t="str">
        <f>IF(O434-C434&gt;0,O434-C434,"")</f>
        <v/>
      </c>
      <c r="J434" s="14" t="str">
        <f>IF(I434="","",F434*I434)</f>
        <v/>
      </c>
      <c r="K434" s="15">
        <f>IF(OR(J434="",$G$1279=0),"",J434/$G$1279*100)</f>
      </c>
      <c r="L434" s="12" t="str">
        <f>IF(C434-O434&gt;0,C434-O434,"")</f>
        <v/>
      </c>
      <c r="M434" s="14" t="str">
        <f>IF(L434="","",F434*L434)</f>
        <v/>
      </c>
      <c r="N434" s="15">
        <f>IF(OR(M434="",$G$1279=0),"",M434/$G$1279*100)</f>
      </c>
      <c r="O434" s="12">
        <v>57.09</v>
      </c>
      <c r="P434" s="14">
        <f>F434*O434</f>
        <v>2782035.663</v>
      </c>
      <c r="Q434" s="15">
        <f>IF($P$1279=0,0,P434/$P$1279*100)</f>
      </c>
      <c r="R434" s="10" t="str">
        <f>IF(O434=C434,"TETAP",IF(C434=0,"BARU",IF(O434=0,"HAPUS",IF(O434&gt;C434,"TAMBAH","KURANG"))))</f>
        <v>TETAP</v>
      </c>
    </row>
    <row r="435" spans="1:18" x14ac:dyDescent="0.25">
      <c r="A435" s="10" t="s">
        <v>167</v>
      </c>
      <c r="B435" s="18" t="s">
        <v>358</v>
      </c>
      <c r="C435" s="12">
        <v>1248</v>
      </c>
      <c r="D435" s="12">
        <v>0</v>
      </c>
      <c r="E435" s="10" t="s">
        <v>37</v>
      </c>
      <c r="F435" s="14">
        <v>28117.52</v>
      </c>
      <c r="G435" s="14">
        <f>F435*C435</f>
        <v>35090664.96</v>
      </c>
      <c r="H435" s="15">
        <f>IF($G$1279=0,0,G435/$G$1279*100)</f>
      </c>
      <c r="I435" s="12" t="str">
        <f>IF(O435-C435&gt;0,O435-C435,"")</f>
        <v/>
      </c>
      <c r="J435" s="14" t="str">
        <f>IF(I435="","",F435*I435)</f>
        <v/>
      </c>
      <c r="K435" s="15">
        <f>IF(OR(J435="",$G$1279=0),"",J435/$G$1279*100)</f>
      </c>
      <c r="L435" s="12" t="str">
        <f>IF(C435-O435&gt;0,C435-O435,"")</f>
        <v/>
      </c>
      <c r="M435" s="14" t="str">
        <f>IF(L435="","",F435*L435)</f>
        <v/>
      </c>
      <c r="N435" s="15">
        <f>IF(OR(M435="",$G$1279=0),"",M435/$G$1279*100)</f>
      </c>
      <c r="O435" s="12">
        <v>1248</v>
      </c>
      <c r="P435" s="14">
        <f>F435*O435</f>
        <v>35090664.96</v>
      </c>
      <c r="Q435" s="15">
        <f>IF($P$1279=0,0,P435/$P$1279*100)</f>
      </c>
      <c r="R435" s="10" t="str">
        <f>IF(O435=C435,"TETAP",IF(C435=0,"BARU",IF(O435=0,"HAPUS",IF(O435&gt;C435,"TAMBAH","KURANG"))))</f>
        <v>TETAP</v>
      </c>
    </row>
    <row r="436" spans="1:18" x14ac:dyDescent="0.25">
      <c r="A436" s="10" t="s">
        <v>170</v>
      </c>
      <c r="B436" s="18" t="s">
        <v>438</v>
      </c>
      <c r="C436" s="12">
        <v>11.42</v>
      </c>
      <c r="D436" s="12">
        <v>0</v>
      </c>
      <c r="E436" s="10" t="s">
        <v>159</v>
      </c>
      <c r="F436" s="14">
        <v>840738.64</v>
      </c>
      <c r="G436" s="14">
        <f>F436*C436</f>
        <v>9601235.2688</v>
      </c>
      <c r="H436" s="15">
        <f>IF($G$1279=0,0,G436/$G$1279*100)</f>
      </c>
      <c r="I436" s="12" t="str">
        <f>IF(O436-C436&gt;0,O436-C436,"")</f>
        <v/>
      </c>
      <c r="J436" s="14" t="str">
        <f>IF(I436="","",F436*I436)</f>
        <v/>
      </c>
      <c r="K436" s="15">
        <f>IF(OR(J436="",$G$1279=0),"",J436/$G$1279*100)</f>
      </c>
      <c r="L436" s="12" t="str">
        <f>IF(C436-O436&gt;0,C436-O436,"")</f>
        <v/>
      </c>
      <c r="M436" s="14" t="str">
        <f>IF(L436="","",F436*L436)</f>
        <v/>
      </c>
      <c r="N436" s="15">
        <f>IF(OR(M436="",$G$1279=0),"",M436/$G$1279*100)</f>
      </c>
      <c r="O436" s="12">
        <v>11.42</v>
      </c>
      <c r="P436" s="14">
        <f>F436*O436</f>
        <v>9601235.2688</v>
      </c>
      <c r="Q436" s="15">
        <f>IF($P$1279=0,0,P436/$P$1279*100)</f>
      </c>
      <c r="R436" s="10" t="str">
        <f>IF(O436=C436,"TETAP",IF(C436=0,"BARU",IF(O436=0,"HAPUS",IF(O436&gt;C436,"TAMBAH","KURANG"))))</f>
        <v>TETAP</v>
      </c>
    </row>
    <row r="437" spans="1:18" x14ac:dyDescent="0.25">
      <c r="A437" s="10" t="s">
        <v>172</v>
      </c>
      <c r="B437" s="18" t="s">
        <v>360</v>
      </c>
      <c r="C437" s="12">
        <v>16.38</v>
      </c>
      <c r="D437" s="12">
        <v>0</v>
      </c>
      <c r="E437" s="10" t="s">
        <v>159</v>
      </c>
      <c r="F437" s="14">
        <v>1204293.02</v>
      </c>
      <c r="G437" s="14">
        <f>F437*C437</f>
        <v>19726319.6676</v>
      </c>
      <c r="H437" s="15">
        <f>IF($G$1279=0,0,G437/$G$1279*100)</f>
      </c>
      <c r="I437" s="12" t="str">
        <f>IF(O437-C437&gt;0,O437-C437,"")</f>
        <v/>
      </c>
      <c r="J437" s="14" t="str">
        <f>IF(I437="","",F437*I437)</f>
        <v/>
      </c>
      <c r="K437" s="15">
        <f>IF(OR(J437="",$G$1279=0),"",J437/$G$1279*100)</f>
      </c>
      <c r="L437" s="12" t="str">
        <f>IF(C437-O437&gt;0,C437-O437,"")</f>
        <v/>
      </c>
      <c r="M437" s="14" t="str">
        <f>IF(L437="","",F437*L437)</f>
        <v/>
      </c>
      <c r="N437" s="15">
        <f>IF(OR(M437="",$G$1279=0),"",M437/$G$1279*100)</f>
      </c>
      <c r="O437" s="12">
        <v>16.38</v>
      </c>
      <c r="P437" s="14">
        <f>F437*O437</f>
        <v>19726319.6676</v>
      </c>
      <c r="Q437" s="15">
        <f>IF($P$1279=0,0,P437/$P$1279*100)</f>
      </c>
      <c r="R437" s="10" t="str">
        <f>IF(O437=C437,"TETAP",IF(C437=0,"BARU",IF(O437=0,"HAPUS",IF(O437&gt;C437,"TAMBAH","KURANG"))))</f>
        <v>TETAP</v>
      </c>
    </row>
    <row r="438" spans="1:18" x14ac:dyDescent="0.25">
      <c r="A438" s="10" t="s">
        <v>255</v>
      </c>
      <c r="B438" s="18" t="s">
        <v>439</v>
      </c>
      <c r="C438" s="12">
        <v>19.03</v>
      </c>
      <c r="D438" s="12">
        <v>0</v>
      </c>
      <c r="E438" s="10" t="s">
        <v>159</v>
      </c>
      <c r="F438" s="14">
        <v>58275.09</v>
      </c>
      <c r="G438" s="14">
        <f>F438*C438</f>
        <v>1108974.9627</v>
      </c>
      <c r="H438" s="15">
        <f>IF($G$1279=0,0,G438/$G$1279*100)</f>
      </c>
      <c r="I438" s="12" t="str">
        <f>IF(O438-C438&gt;0,O438-C438,"")</f>
        <v/>
      </c>
      <c r="J438" s="14" t="str">
        <f>IF(I438="","",F438*I438)</f>
        <v/>
      </c>
      <c r="K438" s="15">
        <f>IF(OR(J438="",$G$1279=0),"",J438/$G$1279*100)</f>
      </c>
      <c r="L438" s="12" t="str">
        <f>IF(C438-O438&gt;0,C438-O438,"")</f>
        <v/>
      </c>
      <c r="M438" s="14" t="str">
        <f>IF(L438="","",F438*L438)</f>
        <v/>
      </c>
      <c r="N438" s="15">
        <f>IF(OR(M438="",$G$1279=0),"",M438/$G$1279*100)</f>
      </c>
      <c r="O438" s="12">
        <v>19.03</v>
      </c>
      <c r="P438" s="14">
        <f>F438*O438</f>
        <v>1108974.9627</v>
      </c>
      <c r="Q438" s="15">
        <f>IF($P$1279=0,0,P438/$P$1279*100)</f>
      </c>
      <c r="R438" s="10" t="str">
        <f>IF(O438=C438,"TETAP",IF(C438=0,"BARU",IF(O438=0,"HAPUS",IF(O438&gt;C438,"TAMBAH","KURANG"))))</f>
        <v>TETAP</v>
      </c>
    </row>
    <row r="439" spans="1:18" x14ac:dyDescent="0.25">
      <c r="A439" s="10" t="s">
        <v>256</v>
      </c>
      <c r="B439" s="18" t="s">
        <v>440</v>
      </c>
      <c r="C439" s="12">
        <v>19.03</v>
      </c>
      <c r="D439" s="12">
        <v>0</v>
      </c>
      <c r="E439" s="10" t="s">
        <v>159</v>
      </c>
      <c r="F439" s="14">
        <v>39994.39</v>
      </c>
      <c r="G439" s="14">
        <f>F439*C439</f>
        <v>761093.2417</v>
      </c>
      <c r="H439" s="15">
        <f>IF($G$1279=0,0,G439/$G$1279*100)</f>
      </c>
      <c r="I439" s="12" t="str">
        <f>IF(O439-C439&gt;0,O439-C439,"")</f>
        <v/>
      </c>
      <c r="J439" s="14" t="str">
        <f>IF(I439="","",F439*I439)</f>
        <v/>
      </c>
      <c r="K439" s="15">
        <f>IF(OR(J439="",$G$1279=0),"",J439/$G$1279*100)</f>
      </c>
      <c r="L439" s="12" t="str">
        <f>IF(C439-O439&gt;0,C439-O439,"")</f>
        <v/>
      </c>
      <c r="M439" s="14" t="str">
        <f>IF(L439="","",F439*L439)</f>
        <v/>
      </c>
      <c r="N439" s="15">
        <f>IF(OR(M439="",$G$1279=0),"",M439/$G$1279*100)</f>
      </c>
      <c r="O439" s="12">
        <v>19.03</v>
      </c>
      <c r="P439" s="14">
        <f>F439*O439</f>
        <v>761093.2417</v>
      </c>
      <c r="Q439" s="15">
        <f>IF($P$1279=0,0,P439/$P$1279*100)</f>
      </c>
      <c r="R439" s="10" t="str">
        <f>IF(O439=C439,"TETAP",IF(C439=0,"BARU",IF(O439=0,"HAPUS",IF(O439&gt;C439,"TAMBAH","KURANG"))))</f>
        <v>TETAP</v>
      </c>
    </row>
    <row r="440" spans="1:18" x14ac:dyDescent="0.25">
      <c r="A440" s="10" t="s">
        <v>355</v>
      </c>
      <c r="B440" s="18" t="s">
        <v>402</v>
      </c>
      <c r="C440" s="12">
        <v>17.4</v>
      </c>
      <c r="D440" s="12">
        <v>0</v>
      </c>
      <c r="E440" s="10" t="s">
        <v>26</v>
      </c>
      <c r="F440" s="14">
        <v>60093.87</v>
      </c>
      <c r="G440" s="14">
        <f>F440*C440</f>
        <v>1045633.338</v>
      </c>
      <c r="H440" s="15">
        <f>IF($G$1279=0,0,G440/$G$1279*100)</f>
      </c>
      <c r="I440" s="12" t="str">
        <f>IF(O440-C440&gt;0,O440-C440,"")</f>
        <v/>
      </c>
      <c r="J440" s="14" t="str">
        <f>IF(I440="","",F440*I440)</f>
        <v/>
      </c>
      <c r="K440" s="15">
        <f>IF(OR(J440="",$G$1279=0),"",J440/$G$1279*100)</f>
      </c>
      <c r="L440" s="12" t="str">
        <f>IF(C440-O440&gt;0,C440-O440,"")</f>
        <v/>
      </c>
      <c r="M440" s="14" t="str">
        <f>IF(L440="","",F440*L440)</f>
        <v/>
      </c>
      <c r="N440" s="15">
        <f>IF(OR(M440="",$G$1279=0),"",M440/$G$1279*100)</f>
      </c>
      <c r="O440" s="12">
        <v>17.4</v>
      </c>
      <c r="P440" s="14">
        <f>F440*O440</f>
        <v>1045633.338</v>
      </c>
      <c r="Q440" s="15">
        <f>IF($P$1279=0,0,P440/$P$1279*100)</f>
      </c>
      <c r="R440" s="10" t="str">
        <f>IF(O440=C440,"TETAP",IF(C440=0,"BARU",IF(O440=0,"HAPUS",IF(O440&gt;C440,"TAMBAH","KURANG"))))</f>
        <v>TETAP</v>
      </c>
    </row>
    <row r="441" spans="1:18" x14ac:dyDescent="0.25">
      <c r="A441" s="10" t="s">
        <v>441</v>
      </c>
      <c r="B441" s="18" t="s">
        <v>182</v>
      </c>
      <c r="C441" s="12">
        <v>17.4</v>
      </c>
      <c r="D441" s="12">
        <v>0</v>
      </c>
      <c r="E441" s="10" t="s">
        <v>26</v>
      </c>
      <c r="F441" s="14">
        <v>44344.2</v>
      </c>
      <c r="G441" s="14">
        <f>F441*C441</f>
        <v>771589.0799999998</v>
      </c>
      <c r="H441" s="15">
        <f>IF($G$1279=0,0,G441/$G$1279*100)</f>
      </c>
      <c r="I441" s="12" t="str">
        <f>IF(O441-C441&gt;0,O441-C441,"")</f>
        <v/>
      </c>
      <c r="J441" s="14" t="str">
        <f>IF(I441="","",F441*I441)</f>
        <v/>
      </c>
      <c r="K441" s="15">
        <f>IF(OR(J441="",$G$1279=0),"",J441/$G$1279*100)</f>
      </c>
      <c r="L441" s="12" t="str">
        <f>IF(C441-O441&gt;0,C441-O441,"")</f>
        <v/>
      </c>
      <c r="M441" s="14" t="str">
        <f>IF(L441="","",F441*L441)</f>
        <v/>
      </c>
      <c r="N441" s="15">
        <f>IF(OR(M441="",$G$1279=0),"",M441/$G$1279*100)</f>
      </c>
      <c r="O441" s="12">
        <v>17.4</v>
      </c>
      <c r="P441" s="14">
        <f>F441*O441</f>
        <v>771589.0799999998</v>
      </c>
      <c r="Q441" s="15">
        <f>IF($P$1279=0,0,P441/$P$1279*100)</f>
      </c>
      <c r="R441" s="10" t="str">
        <f>IF(O441=C441,"TETAP",IF(C441=0,"BARU",IF(O441=0,"HAPUS",IF(O441&gt;C441,"TAMBAH","KURANG"))))</f>
        <v>TETAP</v>
      </c>
    </row>
    <row r="442" spans="1:18" x14ac:dyDescent="0.25">
      <c r="A442" s="10" t="s">
        <v>30</v>
      </c>
      <c r="B442" s="20" t="s">
        <v>361</v>
      </c>
      <c r="C442" s="12">
        <v>16.34</v>
      </c>
      <c r="D442" s="12">
        <v>0</v>
      </c>
      <c r="E442" s="10" t="s">
        <v>169</v>
      </c>
      <c r="F442" s="14">
        <v>19252.39</v>
      </c>
      <c r="G442" s="14">
        <f>F442*C442</f>
        <v>314584.0526</v>
      </c>
      <c r="H442" s="15">
        <f>IF($G$1279=0,0,G442/$G$1279*100)</f>
      </c>
      <c r="I442" s="12" t="str">
        <f>IF(O442-C442&gt;0,O442-C442,"")</f>
        <v/>
      </c>
      <c r="J442" s="14" t="str">
        <f>IF(I442="","",F442*I442)</f>
        <v/>
      </c>
      <c r="K442" s="15">
        <f>IF(OR(J442="",$G$1279=0),"",J442/$G$1279*100)</f>
      </c>
      <c r="L442" s="12" t="str">
        <f>IF(C442-O442&gt;0,C442-O442,"")</f>
        <v/>
      </c>
      <c r="M442" s="14" t="str">
        <f>IF(L442="","",F442*L442)</f>
        <v/>
      </c>
      <c r="N442" s="15">
        <f>IF(OR(M442="",$G$1279=0),"",M442/$G$1279*100)</f>
      </c>
      <c r="O442" s="12">
        <v>16.34</v>
      </c>
      <c r="P442" s="14">
        <f>F442*O442</f>
        <v>314584.0526</v>
      </c>
      <c r="Q442" s="15">
        <f>IF($P$1279=0,0,P442/$P$1279*100)</f>
      </c>
      <c r="R442" s="10" t="str">
        <f>IF(O442=C442,"TETAP",IF(C442=0,"BARU",IF(O442=0,"HAPUS",IF(O442&gt;C442,"TAMBAH","KURANG"))))</f>
        <v>TETAP</v>
      </c>
    </row>
    <row r="443" spans="1:18" x14ac:dyDescent="0.25">
      <c r="A443" s="5" t="s">
        <v>33</v>
      </c>
      <c r="B443" s="17" t="s">
        <v>444</v>
      </c>
      <c r="C443" s="7"/>
      <c r="D443" s="7"/>
      <c r="E443" s="5"/>
      <c r="F443" s="8"/>
      <c r="G443" s="8"/>
      <c r="H443" s="9"/>
      <c r="I443" s="7"/>
      <c r="J443" s="8"/>
      <c r="K443" s="9"/>
      <c r="L443" s="7"/>
      <c r="M443" s="8"/>
      <c r="N443" s="9"/>
      <c r="O443" s="7"/>
      <c r="P443" s="8"/>
      <c r="Q443" s="9"/>
      <c r="R443" s="5"/>
    </row>
    <row r="444" spans="1:18" x14ac:dyDescent="0.25">
      <c r="A444" s="10" t="s">
        <v>186</v>
      </c>
      <c r="B444" s="18" t="s">
        <v>187</v>
      </c>
      <c r="C444" s="12">
        <v>31.14</v>
      </c>
      <c r="D444" s="12">
        <v>0</v>
      </c>
      <c r="E444" s="10" t="s">
        <v>26</v>
      </c>
      <c r="F444" s="14">
        <v>218225.13</v>
      </c>
      <c r="G444" s="14">
        <f>F444*C444</f>
        <v>6795530.5482</v>
      </c>
      <c r="H444" s="15">
        <f>IF($G$1279=0,0,G444/$G$1279*100)</f>
      </c>
      <c r="I444" s="12" t="str">
        <f>IF(O444-C444&gt;0,O444-C444,"")</f>
        <v/>
      </c>
      <c r="J444" s="14" t="str">
        <f>IF(I444="","",F444*I444)</f>
        <v/>
      </c>
      <c r="K444" s="15">
        <f>IF(OR(J444="",$G$1279=0),"",J444/$G$1279*100)</f>
      </c>
      <c r="L444" s="12" t="str">
        <f>IF(C444-O444&gt;0,C444-O444,"")</f>
        <v/>
      </c>
      <c r="M444" s="14" t="str">
        <f>IF(L444="","",F444*L444)</f>
        <v/>
      </c>
      <c r="N444" s="15">
        <f>IF(OR(M444="",$G$1279=0),"",M444/$G$1279*100)</f>
      </c>
      <c r="O444" s="12">
        <v>31.14</v>
      </c>
      <c r="P444" s="14">
        <f>F444*O444</f>
        <v>6795530.5482</v>
      </c>
      <c r="Q444" s="15">
        <f>IF($P$1279=0,0,P444/$P$1279*100)</f>
      </c>
      <c r="R444" s="10" t="str">
        <f>IF(O444=C444,"TETAP",IF(C444=0,"BARU",IF(O444=0,"HAPUS",IF(O444&gt;C444,"TAMBAH","KURANG"))))</f>
        <v>TETAP</v>
      </c>
    </row>
    <row r="445" spans="1:18" x14ac:dyDescent="0.25">
      <c r="A445" s="10" t="s">
        <v>188</v>
      </c>
      <c r="B445" s="18" t="s">
        <v>445</v>
      </c>
      <c r="C445" s="12">
        <v>351.96</v>
      </c>
      <c r="D445" s="12">
        <v>0</v>
      </c>
      <c r="E445" s="10" t="s">
        <v>169</v>
      </c>
      <c r="F445" s="14">
        <v>19252.39</v>
      </c>
      <c r="G445" s="14">
        <f>F445*C445</f>
        <v>6776071.1844</v>
      </c>
      <c r="H445" s="15">
        <f>IF($G$1279=0,0,G445/$G$1279*100)</f>
      </c>
      <c r="I445" s="12" t="str">
        <f>IF(O445-C445&gt;0,O445-C445,"")</f>
        <v/>
      </c>
      <c r="J445" s="14" t="str">
        <f>IF(I445="","",F445*I445)</f>
        <v/>
      </c>
      <c r="K445" s="15">
        <f>IF(OR(J445="",$G$1279=0),"",J445/$G$1279*100)</f>
      </c>
      <c r="L445" s="12" t="str">
        <f>IF(C445-O445&gt;0,C445-O445,"")</f>
        <v/>
      </c>
      <c r="M445" s="14" t="str">
        <f>IF(L445="","",F445*L445)</f>
        <v/>
      </c>
      <c r="N445" s="15">
        <f>IF(OR(M445="",$G$1279=0),"",M445/$G$1279*100)</f>
      </c>
      <c r="O445" s="12">
        <v>351.96</v>
      </c>
      <c r="P445" s="14">
        <f>F445*O445</f>
        <v>6776071.1844</v>
      </c>
      <c r="Q445" s="15">
        <f>IF($P$1279=0,0,P445/$P$1279*100)</f>
      </c>
      <c r="R445" s="10" t="str">
        <f>IF(O445=C445,"TETAP",IF(C445=0,"BARU",IF(O445=0,"HAPUS",IF(O445&gt;C445,"TAMBAH","KURANG"))))</f>
        <v>TETAP</v>
      </c>
    </row>
    <row r="446" spans="1:18" x14ac:dyDescent="0.25">
      <c r="A446" s="10" t="s">
        <v>189</v>
      </c>
      <c r="B446" s="18" t="s">
        <v>446</v>
      </c>
      <c r="C446" s="12">
        <v>87.83</v>
      </c>
      <c r="D446" s="12">
        <v>0</v>
      </c>
      <c r="E446" s="10" t="s">
        <v>169</v>
      </c>
      <c r="F446" s="14">
        <v>19252.39</v>
      </c>
      <c r="G446" s="14">
        <f>F446*C446</f>
        <v>1690937.4137</v>
      </c>
      <c r="H446" s="15">
        <f>IF($G$1279=0,0,G446/$G$1279*100)</f>
      </c>
      <c r="I446" s="12" t="str">
        <f>IF(O446-C446&gt;0,O446-C446,"")</f>
        <v/>
      </c>
      <c r="J446" s="14" t="str">
        <f>IF(I446="","",F446*I446)</f>
        <v/>
      </c>
      <c r="K446" s="15">
        <f>IF(OR(J446="",$G$1279=0),"",J446/$G$1279*100)</f>
      </c>
      <c r="L446" s="12" t="str">
        <f>IF(C446-O446&gt;0,C446-O446,"")</f>
        <v/>
      </c>
      <c r="M446" s="14" t="str">
        <f>IF(L446="","",F446*L446)</f>
        <v/>
      </c>
      <c r="N446" s="15">
        <f>IF(OR(M446="",$G$1279=0),"",M446/$G$1279*100)</f>
      </c>
      <c r="O446" s="12">
        <v>87.83</v>
      </c>
      <c r="P446" s="14">
        <f>F446*O446</f>
        <v>1690937.4137</v>
      </c>
      <c r="Q446" s="15">
        <f>IF($P$1279=0,0,P446/$P$1279*100)</f>
      </c>
      <c r="R446" s="10" t="str">
        <f>IF(O446=C446,"TETAP",IF(C446=0,"BARU",IF(O446=0,"HAPUS",IF(O446&gt;C446,"TAMBAH","KURANG"))))</f>
        <v>TETAP</v>
      </c>
    </row>
    <row r="447" spans="1:18" x14ac:dyDescent="0.25">
      <c r="A447" s="10" t="s">
        <v>260</v>
      </c>
      <c r="B447" s="18" t="s">
        <v>374</v>
      </c>
      <c r="C447" s="12">
        <v>4.67</v>
      </c>
      <c r="D447" s="12">
        <v>0</v>
      </c>
      <c r="E447" s="10" t="s">
        <v>159</v>
      </c>
      <c r="F447" s="14">
        <v>1399567.05</v>
      </c>
      <c r="G447" s="14">
        <f>F447*C447</f>
        <v>6535978.1235</v>
      </c>
      <c r="H447" s="15">
        <f>IF($G$1279=0,0,G447/$G$1279*100)</f>
      </c>
      <c r="I447" s="12" t="str">
        <f>IF(O447-C447&gt;0,O447-C447,"")</f>
        <v/>
      </c>
      <c r="J447" s="14" t="str">
        <f>IF(I447="","",F447*I447)</f>
        <v/>
      </c>
      <c r="K447" s="15">
        <f>IF(OR(J447="",$G$1279=0),"",J447/$G$1279*100)</f>
      </c>
      <c r="L447" s="12" t="str">
        <f>IF(C447-O447&gt;0,C447-O447,"")</f>
        <v/>
      </c>
      <c r="M447" s="14" t="str">
        <f>IF(L447="","",F447*L447)</f>
        <v/>
      </c>
      <c r="N447" s="15">
        <f>IF(OR(M447="",$G$1279=0),"",M447/$G$1279*100)</f>
      </c>
      <c r="O447" s="12">
        <v>4.67</v>
      </c>
      <c r="P447" s="14">
        <f>F447*O447</f>
        <v>6535978.1235</v>
      </c>
      <c r="Q447" s="15">
        <f>IF($P$1279=0,0,P447/$P$1279*100)</f>
      </c>
      <c r="R447" s="10" t="str">
        <f>IF(O447=C447,"TETAP",IF(C447=0,"BARU",IF(O447=0,"HAPUS",IF(O447&gt;C447,"TAMBAH","KURANG"))))</f>
        <v>TETAP</v>
      </c>
    </row>
    <row r="448" spans="1:18" x14ac:dyDescent="0.25">
      <c r="A448" s="5" t="s">
        <v>35</v>
      </c>
      <c r="B448" s="17" t="s">
        <v>448</v>
      </c>
      <c r="C448" s="7"/>
      <c r="D448" s="7"/>
      <c r="E448" s="5"/>
      <c r="F448" s="8"/>
      <c r="G448" s="8"/>
      <c r="H448" s="9"/>
      <c r="I448" s="7"/>
      <c r="J448" s="8"/>
      <c r="K448" s="9"/>
      <c r="L448" s="7"/>
      <c r="M448" s="8"/>
      <c r="N448" s="9"/>
      <c r="O448" s="7"/>
      <c r="P448" s="8"/>
      <c r="Q448" s="9"/>
      <c r="R448" s="5"/>
    </row>
    <row r="449" spans="1:18" x14ac:dyDescent="0.25">
      <c r="A449" s="10" t="s">
        <v>193</v>
      </c>
      <c r="B449" s="18" t="s">
        <v>439</v>
      </c>
      <c r="C449" s="12">
        <v>5.93</v>
      </c>
      <c r="D449" s="12">
        <v>0</v>
      </c>
      <c r="E449" s="10" t="s">
        <v>159</v>
      </c>
      <c r="F449" s="14">
        <v>211003.3</v>
      </c>
      <c r="G449" s="14">
        <f>F449*C449</f>
        <v>1251249.569</v>
      </c>
      <c r="H449" s="15">
        <f>IF($G$1279=0,0,G449/$G$1279*100)</f>
      </c>
      <c r="I449" s="12" t="str">
        <f>IF(O449-C449&gt;0,O449-C449,"")</f>
        <v/>
      </c>
      <c r="J449" s="14" t="str">
        <f>IF(I449="","",F449*I449)</f>
        <v/>
      </c>
      <c r="K449" s="15">
        <f>IF(OR(J449="",$G$1279=0),"",J449/$G$1279*100)</f>
      </c>
      <c r="L449" s="12" t="str">
        <f>IF(C449-O449&gt;0,C449-O449,"")</f>
        <v/>
      </c>
      <c r="M449" s="14" t="str">
        <f>IF(L449="","",F449*L449)</f>
        <v/>
      </c>
      <c r="N449" s="15">
        <f>IF(OR(M449="",$G$1279=0),"",M449/$G$1279*100)</f>
      </c>
      <c r="O449" s="12">
        <v>5.93</v>
      </c>
      <c r="P449" s="14">
        <f>F449*O449</f>
        <v>1251249.569</v>
      </c>
      <c r="Q449" s="15">
        <f>IF($P$1279=0,0,P449/$P$1279*100)</f>
      </c>
      <c r="R449" s="10" t="str">
        <f>IF(O449=C449,"TETAP",IF(C449=0,"BARU",IF(O449=0,"HAPUS",IF(O449&gt;C449,"TAMBAH","KURANG"))))</f>
        <v>TETAP</v>
      </c>
    </row>
    <row r="450" spans="1:18" x14ac:dyDescent="0.25">
      <c r="A450" s="10" t="s">
        <v>195</v>
      </c>
      <c r="B450" s="18" t="s">
        <v>440</v>
      </c>
      <c r="C450" s="12">
        <v>5.93</v>
      </c>
      <c r="D450" s="12">
        <v>0</v>
      </c>
      <c r="E450" s="10" t="s">
        <v>159</v>
      </c>
      <c r="F450" s="14">
        <v>39994.39</v>
      </c>
      <c r="G450" s="14">
        <f>F450*C450</f>
        <v>237166.7327</v>
      </c>
      <c r="H450" s="15">
        <f>IF($G$1279=0,0,G450/$G$1279*100)</f>
      </c>
      <c r="I450" s="12" t="str">
        <f>IF(O450-C450&gt;0,O450-C450,"")</f>
        <v/>
      </c>
      <c r="J450" s="14" t="str">
        <f>IF(I450="","",F450*I450)</f>
        <v/>
      </c>
      <c r="K450" s="15">
        <f>IF(OR(J450="",$G$1279=0),"",J450/$G$1279*100)</f>
      </c>
      <c r="L450" s="12" t="str">
        <f>IF(C450-O450&gt;0,C450-O450,"")</f>
        <v/>
      </c>
      <c r="M450" s="14" t="str">
        <f>IF(L450="","",F450*L450)</f>
        <v/>
      </c>
      <c r="N450" s="15">
        <f>IF(OR(M450="",$G$1279=0),"",M450/$G$1279*100)</f>
      </c>
      <c r="O450" s="12">
        <v>5.93</v>
      </c>
      <c r="P450" s="14">
        <f>F450*O450</f>
        <v>237166.7327</v>
      </c>
      <c r="Q450" s="15">
        <f>IF($P$1279=0,0,P450/$P$1279*100)</f>
      </c>
      <c r="R450" s="10" t="str">
        <f>IF(O450=C450,"TETAP",IF(C450=0,"BARU",IF(O450=0,"HAPUS",IF(O450&gt;C450,"TAMBAH","KURANG"))))</f>
        <v>TETAP</v>
      </c>
    </row>
    <row r="451" spans="1:18" x14ac:dyDescent="0.25">
      <c r="A451" s="10" t="s">
        <v>197</v>
      </c>
      <c r="B451" s="18" t="s">
        <v>449</v>
      </c>
      <c r="C451" s="12">
        <v>6.67</v>
      </c>
      <c r="D451" s="12">
        <v>0</v>
      </c>
      <c r="E451" s="10" t="s">
        <v>159</v>
      </c>
      <c r="F451" s="14">
        <v>342654.98</v>
      </c>
      <c r="G451" s="14">
        <f>F451*C451</f>
        <v>2285508.7166</v>
      </c>
      <c r="H451" s="15">
        <f>IF($G$1279=0,0,G451/$G$1279*100)</f>
      </c>
      <c r="I451" s="12" t="str">
        <f>IF(O451-C451&gt;0,O451-C451,"")</f>
        <v/>
      </c>
      <c r="J451" s="14" t="str">
        <f>IF(I451="","",F451*I451)</f>
        <v/>
      </c>
      <c r="K451" s="15">
        <f>IF(OR(J451="",$G$1279=0),"",J451/$G$1279*100)</f>
      </c>
      <c r="L451" s="12" t="str">
        <f>IF(C451-O451&gt;0,C451-O451,"")</f>
        <v/>
      </c>
      <c r="M451" s="14" t="str">
        <f>IF(L451="","",F451*L451)</f>
        <v/>
      </c>
      <c r="N451" s="15">
        <f>IF(OR(M451="",$G$1279=0),"",M451/$G$1279*100)</f>
      </c>
      <c r="O451" s="12">
        <v>6.67</v>
      </c>
      <c r="P451" s="14">
        <f>F451*O451</f>
        <v>2285508.7166</v>
      </c>
      <c r="Q451" s="15">
        <f>IF($P$1279=0,0,P451/$P$1279*100)</f>
      </c>
      <c r="R451" s="10" t="str">
        <f>IF(O451=C451,"TETAP",IF(C451=0,"BARU",IF(O451=0,"HAPUS",IF(O451&gt;C451,"TAMBAH","KURANG"))))</f>
        <v>TETAP</v>
      </c>
    </row>
    <row r="452" spans="1:18" x14ac:dyDescent="0.25">
      <c r="A452" s="10" t="s">
        <v>198</v>
      </c>
      <c r="B452" s="18" t="s">
        <v>450</v>
      </c>
      <c r="C452" s="12">
        <v>3.33</v>
      </c>
      <c r="D452" s="12">
        <v>0</v>
      </c>
      <c r="E452" s="10" t="s">
        <v>159</v>
      </c>
      <c r="F452" s="14">
        <v>1243301.43</v>
      </c>
      <c r="G452" s="14">
        <f>F452*C452</f>
        <v>4140193.7619</v>
      </c>
      <c r="H452" s="15">
        <f>IF($G$1279=0,0,G452/$G$1279*100)</f>
      </c>
      <c r="I452" s="12" t="str">
        <f>IF(O452-C452&gt;0,O452-C452,"")</f>
        <v/>
      </c>
      <c r="J452" s="14" t="str">
        <f>IF(I452="","",F452*I452)</f>
        <v/>
      </c>
      <c r="K452" s="15">
        <f>IF(OR(J452="",$G$1279=0),"",J452/$G$1279*100)</f>
      </c>
      <c r="L452" s="12" t="str">
        <f>IF(C452-O452&gt;0,C452-O452,"")</f>
        <v/>
      </c>
      <c r="M452" s="14" t="str">
        <f>IF(L452="","",F452*L452)</f>
        <v/>
      </c>
      <c r="N452" s="15">
        <f>IF(OR(M452="",$G$1279=0),"",M452/$G$1279*100)</f>
      </c>
      <c r="O452" s="12">
        <v>3.33</v>
      </c>
      <c r="P452" s="14">
        <f>F452*O452</f>
        <v>4140193.7619</v>
      </c>
      <c r="Q452" s="15">
        <f>IF($P$1279=0,0,P452/$P$1279*100)</f>
      </c>
      <c r="R452" s="10" t="str">
        <f>IF(O452=C452,"TETAP",IF(C452=0,"BARU",IF(O452=0,"HAPUS",IF(O452&gt;C452,"TAMBAH","KURANG"))))</f>
        <v>TETAP</v>
      </c>
    </row>
    <row r="453" spans="1:18" x14ac:dyDescent="0.25">
      <c r="A453" s="10" t="s">
        <v>264</v>
      </c>
      <c r="B453" s="18" t="s">
        <v>187</v>
      </c>
      <c r="C453" s="12">
        <v>5.22</v>
      </c>
      <c r="D453" s="12">
        <v>0</v>
      </c>
      <c r="E453" s="10" t="s">
        <v>26</v>
      </c>
      <c r="F453" s="14">
        <v>218225.13</v>
      </c>
      <c r="G453" s="14">
        <f>F453*C453</f>
        <v>1139135.1786</v>
      </c>
      <c r="H453" s="15">
        <f>IF($G$1279=0,0,G453/$G$1279*100)</f>
      </c>
      <c r="I453" s="12" t="str">
        <f>IF(O453-C453&gt;0,O453-C453,"")</f>
        <v/>
      </c>
      <c r="J453" s="14" t="str">
        <f>IF(I453="","",F453*I453)</f>
        <v/>
      </c>
      <c r="K453" s="15">
        <f>IF(OR(J453="",$G$1279=0),"",J453/$G$1279*100)</f>
      </c>
      <c r="L453" s="12" t="str">
        <f>IF(C453-O453&gt;0,C453-O453,"")</f>
        <v/>
      </c>
      <c r="M453" s="14" t="str">
        <f>IF(L453="","",F453*L453)</f>
        <v/>
      </c>
      <c r="N453" s="15">
        <f>IF(OR(M453="",$G$1279=0),"",M453/$G$1279*100)</f>
      </c>
      <c r="O453" s="12">
        <v>5.22</v>
      </c>
      <c r="P453" s="14">
        <f>F453*O453</f>
        <v>1139135.1786</v>
      </c>
      <c r="Q453" s="15">
        <f>IF($P$1279=0,0,P453/$P$1279*100)</f>
      </c>
      <c r="R453" s="10" t="str">
        <f>IF(O453=C453,"TETAP",IF(C453=0,"BARU",IF(O453=0,"HAPUS",IF(O453&gt;C453,"TAMBAH","KURANG"))))</f>
        <v>TETAP</v>
      </c>
    </row>
    <row r="454" spans="1:18" x14ac:dyDescent="0.25">
      <c r="A454" s="10" t="s">
        <v>265</v>
      </c>
      <c r="B454" s="18" t="s">
        <v>460</v>
      </c>
      <c r="C454" s="12">
        <v>816.74</v>
      </c>
      <c r="D454" s="12">
        <v>0</v>
      </c>
      <c r="E454" s="10" t="s">
        <v>169</v>
      </c>
      <c r="F454" s="14">
        <v>19252.39</v>
      </c>
      <c r="G454" s="14">
        <f>F454*C454</f>
        <v>15724197.0086</v>
      </c>
      <c r="H454" s="15">
        <f>IF($G$1279=0,0,G454/$G$1279*100)</f>
      </c>
      <c r="I454" s="12" t="str">
        <f>IF(O454-C454&gt;0,O454-C454,"")</f>
        <v/>
      </c>
      <c r="J454" s="14" t="str">
        <f>IF(I454="","",F454*I454)</f>
        <v/>
      </c>
      <c r="K454" s="15">
        <f>IF(OR(J454="",$G$1279=0),"",J454/$G$1279*100)</f>
      </c>
      <c r="L454" s="12" t="str">
        <f>IF(C454-O454&gt;0,C454-O454,"")</f>
        <v/>
      </c>
      <c r="M454" s="14" t="str">
        <f>IF(L454="","",F454*L454)</f>
        <v/>
      </c>
      <c r="N454" s="15">
        <f>IF(OR(M454="",$G$1279=0),"",M454/$G$1279*100)</f>
      </c>
      <c r="O454" s="12">
        <v>816.74</v>
      </c>
      <c r="P454" s="14">
        <f>F454*O454</f>
        <v>15724197.0086</v>
      </c>
      <c r="Q454" s="15">
        <f>IF($P$1279=0,0,P454/$P$1279*100)</f>
      </c>
      <c r="R454" s="10" t="str">
        <f>IF(O454=C454,"TETAP",IF(C454=0,"BARU",IF(O454=0,"HAPUS",IF(O454&gt;C454,"TAMBAH","KURANG"))))</f>
        <v>TETAP</v>
      </c>
    </row>
    <row r="455" spans="1:18" x14ac:dyDescent="0.25">
      <c r="A455" s="10" t="s">
        <v>461</v>
      </c>
      <c r="B455" s="18" t="s">
        <v>374</v>
      </c>
      <c r="C455" s="12">
        <v>10</v>
      </c>
      <c r="D455" s="12">
        <v>0</v>
      </c>
      <c r="E455" s="10" t="s">
        <v>159</v>
      </c>
      <c r="F455" s="14">
        <v>1399567.05</v>
      </c>
      <c r="G455" s="14">
        <f>F455*C455</f>
        <v>13995670.5</v>
      </c>
      <c r="H455" s="15">
        <f>IF($G$1279=0,0,G455/$G$1279*100)</f>
      </c>
      <c r="I455" s="12" t="str">
        <f>IF(O455-C455&gt;0,O455-C455,"")</f>
        <v/>
      </c>
      <c r="J455" s="14" t="str">
        <f>IF(I455="","",F455*I455)</f>
        <v/>
      </c>
      <c r="K455" s="15">
        <f>IF(OR(J455="",$G$1279=0),"",J455/$G$1279*100)</f>
      </c>
      <c r="L455" s="12" t="str">
        <f>IF(C455-O455&gt;0,C455-O455,"")</f>
        <v/>
      </c>
      <c r="M455" s="14" t="str">
        <f>IF(L455="","",F455*L455)</f>
        <v/>
      </c>
      <c r="N455" s="15">
        <f>IF(OR(M455="",$G$1279=0),"",M455/$G$1279*100)</f>
      </c>
      <c r="O455" s="12">
        <v>10</v>
      </c>
      <c r="P455" s="14">
        <f>F455*O455</f>
        <v>13995670.5</v>
      </c>
      <c r="Q455" s="15">
        <f>IF($P$1279=0,0,P455/$P$1279*100)</f>
      </c>
      <c r="R455" s="10" t="str">
        <f>IF(O455=C455,"TETAP",IF(C455=0,"BARU",IF(O455=0,"HAPUS",IF(O455&gt;C455,"TAMBAH","KURANG"))))</f>
        <v>TETAP</v>
      </c>
    </row>
    <row r="456" spans="1:18" x14ac:dyDescent="0.25">
      <c r="A456" s="5" t="s">
        <v>38</v>
      </c>
      <c r="B456" s="17" t="s">
        <v>405</v>
      </c>
      <c r="C456" s="7"/>
      <c r="D456" s="7"/>
      <c r="E456" s="5"/>
      <c r="F456" s="8"/>
      <c r="G456" s="8"/>
      <c r="H456" s="9"/>
      <c r="I456" s="7"/>
      <c r="J456" s="8"/>
      <c r="K456" s="9"/>
      <c r="L456" s="7"/>
      <c r="M456" s="8"/>
      <c r="N456" s="9"/>
      <c r="O456" s="7"/>
      <c r="P456" s="8"/>
      <c r="Q456" s="9"/>
      <c r="R456" s="5"/>
    </row>
    <row r="457" spans="1:18" x14ac:dyDescent="0.25">
      <c r="A457" s="10" t="s">
        <v>200</v>
      </c>
      <c r="B457" s="18" t="s">
        <v>406</v>
      </c>
      <c r="C457" s="12">
        <v>0.12</v>
      </c>
      <c r="D457" s="12">
        <v>0</v>
      </c>
      <c r="E457" s="10" t="s">
        <v>159</v>
      </c>
      <c r="F457" s="14">
        <v>48730.7</v>
      </c>
      <c r="G457" s="14">
        <f>F457*C457</f>
        <v>5847.683999999999</v>
      </c>
      <c r="H457" s="15">
        <f>IF($G$1279=0,0,G457/$G$1279*100)</f>
      </c>
      <c r="I457" s="12" t="str">
        <f>IF(O457-C457&gt;0,O457-C457,"")</f>
        <v/>
      </c>
      <c r="J457" s="14" t="str">
        <f>IF(I457="","",F457*I457)</f>
        <v/>
      </c>
      <c r="K457" s="15">
        <f>IF(OR(J457="",$G$1279=0),"",J457/$G$1279*100)</f>
      </c>
      <c r="L457" s="12" t="str">
        <f>IF(C457-O457&gt;0,C457-O457,"")</f>
        <v/>
      </c>
      <c r="M457" s="14" t="str">
        <f>IF(L457="","",F457*L457)</f>
        <v/>
      </c>
      <c r="N457" s="15">
        <f>IF(OR(M457="",$G$1279=0),"",M457/$G$1279*100)</f>
      </c>
      <c r="O457" s="12">
        <v>0.12</v>
      </c>
      <c r="P457" s="14">
        <f>F457*O457</f>
        <v>5847.683999999999</v>
      </c>
      <c r="Q457" s="15">
        <f>IF($P$1279=0,0,P457/$P$1279*100)</f>
      </c>
      <c r="R457" s="10" t="str">
        <f>IF(O457=C457,"TETAP",IF(C457=0,"BARU",IF(O457=0,"HAPUS",IF(O457&gt;C457,"TAMBAH","KURANG"))))</f>
        <v>TETAP</v>
      </c>
    </row>
    <row r="458" spans="1:18" x14ac:dyDescent="0.25">
      <c r="A458" s="10" t="s">
        <v>202</v>
      </c>
      <c r="B458" s="18" t="s">
        <v>407</v>
      </c>
      <c r="C458" s="12">
        <v>2.33</v>
      </c>
      <c r="D458" s="12">
        <v>0</v>
      </c>
      <c r="E458" s="10" t="s">
        <v>26</v>
      </c>
      <c r="F458" s="14">
        <v>164501.03</v>
      </c>
      <c r="G458" s="14">
        <f>F458*C458</f>
        <v>383287.3999</v>
      </c>
      <c r="H458" s="15">
        <f>IF($G$1279=0,0,G458/$G$1279*100)</f>
      </c>
      <c r="I458" s="12" t="str">
        <f>IF(O458-C458&gt;0,O458-C458,"")</f>
        <v/>
      </c>
      <c r="J458" s="14" t="str">
        <f>IF(I458="","",F458*I458)</f>
        <v/>
      </c>
      <c r="K458" s="15">
        <f>IF(OR(J458="",$G$1279=0),"",J458/$G$1279*100)</f>
      </c>
      <c r="L458" s="12" t="str">
        <f>IF(C458-O458&gt;0,C458-O458,"")</f>
        <v/>
      </c>
      <c r="M458" s="14" t="str">
        <f>IF(L458="","",F458*L458)</f>
        <v/>
      </c>
      <c r="N458" s="15">
        <f>IF(OR(M458="",$G$1279=0),"",M458/$G$1279*100)</f>
      </c>
      <c r="O458" s="12">
        <v>2.33</v>
      </c>
      <c r="P458" s="14">
        <f>F458*O458</f>
        <v>383287.3999</v>
      </c>
      <c r="Q458" s="15">
        <f>IF($P$1279=0,0,P458/$P$1279*100)</f>
      </c>
      <c r="R458" s="10" t="str">
        <f>IF(O458=C458,"TETAP",IF(C458=0,"BARU",IF(O458=0,"HAPUS",IF(O458&gt;C458,"TAMBAH","KURANG"))))</f>
        <v>TETAP</v>
      </c>
    </row>
    <row r="459" spans="1:18" x14ac:dyDescent="0.25">
      <c r="A459" s="10" t="s">
        <v>203</v>
      </c>
      <c r="B459" s="18" t="s">
        <v>408</v>
      </c>
      <c r="C459" s="12">
        <v>0.18</v>
      </c>
      <c r="D459" s="12">
        <v>0</v>
      </c>
      <c r="E459" s="10" t="s">
        <v>159</v>
      </c>
      <c r="F459" s="14">
        <v>211003.3</v>
      </c>
      <c r="G459" s="14">
        <f>F459*C459</f>
        <v>37980.594</v>
      </c>
      <c r="H459" s="15">
        <f>IF($G$1279=0,0,G459/$G$1279*100)</f>
      </c>
      <c r="I459" s="12" t="str">
        <f>IF(O459-C459&gt;0,O459-C459,"")</f>
        <v/>
      </c>
      <c r="J459" s="14" t="str">
        <f>IF(I459="","",F459*I459)</f>
        <v/>
      </c>
      <c r="K459" s="15">
        <f>IF(OR(J459="",$G$1279=0),"",J459/$G$1279*100)</f>
      </c>
      <c r="L459" s="12" t="str">
        <f>IF(C459-O459&gt;0,C459-O459,"")</f>
        <v/>
      </c>
      <c r="M459" s="14" t="str">
        <f>IF(L459="","",F459*L459)</f>
        <v/>
      </c>
      <c r="N459" s="15">
        <f>IF(OR(M459="",$G$1279=0),"",M459/$G$1279*100)</f>
      </c>
      <c r="O459" s="12">
        <v>0.18</v>
      </c>
      <c r="P459" s="14">
        <f>F459*O459</f>
        <v>37980.594</v>
      </c>
      <c r="Q459" s="15">
        <f>IF($P$1279=0,0,P459/$P$1279*100)</f>
      </c>
      <c r="R459" s="10" t="str">
        <f>IF(O459=C459,"TETAP",IF(C459=0,"BARU",IF(O459=0,"HAPUS",IF(O459&gt;C459,"TAMBAH","KURANG"))))</f>
        <v>TETAP</v>
      </c>
    </row>
    <row r="460" spans="1:18" x14ac:dyDescent="0.25">
      <c r="A460" s="10" t="s">
        <v>204</v>
      </c>
      <c r="B460" s="18" t="s">
        <v>409</v>
      </c>
      <c r="C460" s="12">
        <v>0.04</v>
      </c>
      <c r="D460" s="12">
        <v>0</v>
      </c>
      <c r="E460" s="10" t="s">
        <v>159</v>
      </c>
      <c r="F460" s="14">
        <v>342654.98</v>
      </c>
      <c r="G460" s="14">
        <f>F460*C460</f>
        <v>13706.1992</v>
      </c>
      <c r="H460" s="15">
        <f>IF($G$1279=0,0,G460/$G$1279*100)</f>
      </c>
      <c r="I460" s="12" t="str">
        <f>IF(O460-C460&gt;0,O460-C460,"")</f>
        <v/>
      </c>
      <c r="J460" s="14" t="str">
        <f>IF(I460="","",F460*I460)</f>
        <v/>
      </c>
      <c r="K460" s="15">
        <f>IF(OR(J460="",$G$1279=0),"",J460/$G$1279*100)</f>
      </c>
      <c r="L460" s="12" t="str">
        <f>IF(C460-O460&gt;0,C460-O460,"")</f>
        <v/>
      </c>
      <c r="M460" s="14" t="str">
        <f>IF(L460="","",F460*L460)</f>
        <v/>
      </c>
      <c r="N460" s="15">
        <f>IF(OR(M460="",$G$1279=0),"",M460/$G$1279*100)</f>
      </c>
      <c r="O460" s="12">
        <v>0.04</v>
      </c>
      <c r="P460" s="14">
        <f>F460*O460</f>
        <v>13706.1992</v>
      </c>
      <c r="Q460" s="15">
        <f>IF($P$1279=0,0,P460/$P$1279*100)</f>
      </c>
      <c r="R460" s="10" t="str">
        <f>IF(O460=C460,"TETAP",IF(C460=0,"BARU",IF(O460=0,"HAPUS",IF(O460&gt;C460,"TAMBAH","KURANG"))))</f>
        <v>TETAP</v>
      </c>
    </row>
    <row r="461" spans="1:18" x14ac:dyDescent="0.25">
      <c r="A461" s="10" t="s">
        <v>206</v>
      </c>
      <c r="B461" s="18" t="s">
        <v>369</v>
      </c>
      <c r="C461" s="12">
        <v>0.08</v>
      </c>
      <c r="D461" s="12">
        <v>0</v>
      </c>
      <c r="E461" s="10" t="s">
        <v>159</v>
      </c>
      <c r="F461" s="14">
        <v>1243301.43</v>
      </c>
      <c r="G461" s="14">
        <f>F461*C461</f>
        <v>99464.11439999999</v>
      </c>
      <c r="H461" s="15">
        <f>IF($G$1279=0,0,G461/$G$1279*100)</f>
      </c>
      <c r="I461" s="12" t="str">
        <f>IF(O461-C461&gt;0,O461-C461,"")</f>
        <v/>
      </c>
      <c r="J461" s="14" t="str">
        <f>IF(I461="","",F461*I461)</f>
        <v/>
      </c>
      <c r="K461" s="15">
        <f>IF(OR(J461="",$G$1279=0),"",J461/$G$1279*100)</f>
      </c>
      <c r="L461" s="12" t="str">
        <f>IF(C461-O461&gt;0,C461-O461,"")</f>
        <v/>
      </c>
      <c r="M461" s="14" t="str">
        <f>IF(L461="","",F461*L461)</f>
        <v/>
      </c>
      <c r="N461" s="15">
        <f>IF(OR(M461="",$G$1279=0),"",M461/$G$1279*100)</f>
      </c>
      <c r="O461" s="12">
        <v>0.08</v>
      </c>
      <c r="P461" s="14">
        <f>F461*O461</f>
        <v>99464.11439999999</v>
      </c>
      <c r="Q461" s="15">
        <f>IF($P$1279=0,0,P461/$P$1279*100)</f>
      </c>
      <c r="R461" s="10" t="str">
        <f>IF(O461=C461,"TETAP",IF(C461=0,"BARU",IF(O461=0,"HAPUS",IF(O461&gt;C461,"TAMBAH","KURANG"))))</f>
        <v>TETAP</v>
      </c>
    </row>
    <row r="462" spans="1:18" x14ac:dyDescent="0.25">
      <c r="A462" s="10" t="s">
        <v>208</v>
      </c>
      <c r="B462" s="18" t="s">
        <v>410</v>
      </c>
      <c r="C462" s="12">
        <v>0.96</v>
      </c>
      <c r="D462" s="12">
        <v>0</v>
      </c>
      <c r="E462" s="10" t="s">
        <v>26</v>
      </c>
      <c r="F462" s="14">
        <v>60093.87</v>
      </c>
      <c r="G462" s="14">
        <f>F462*C462</f>
        <v>57690.1152</v>
      </c>
      <c r="H462" s="15">
        <f>IF($G$1279=0,0,G462/$G$1279*100)</f>
      </c>
      <c r="I462" s="12" t="str">
        <f>IF(O462-C462&gt;0,O462-C462,"")</f>
        <v/>
      </c>
      <c r="J462" s="14" t="str">
        <f>IF(I462="","",F462*I462)</f>
        <v/>
      </c>
      <c r="K462" s="15">
        <f>IF(OR(J462="",$G$1279=0),"",J462/$G$1279*100)</f>
      </c>
      <c r="L462" s="12" t="str">
        <f>IF(C462-O462&gt;0,C462-O462,"")</f>
        <v/>
      </c>
      <c r="M462" s="14" t="str">
        <f>IF(L462="","",F462*L462)</f>
        <v/>
      </c>
      <c r="N462" s="15">
        <f>IF(OR(M462="",$G$1279=0),"",M462/$G$1279*100)</f>
      </c>
      <c r="O462" s="12">
        <v>0.96</v>
      </c>
      <c r="P462" s="14">
        <f>F462*O462</f>
        <v>57690.1152</v>
      </c>
      <c r="Q462" s="15">
        <f>IF($P$1279=0,0,P462/$P$1279*100)</f>
      </c>
      <c r="R462" s="10" t="str">
        <f>IF(O462=C462,"TETAP",IF(C462=0,"BARU",IF(O462=0,"HAPUS",IF(O462&gt;C462,"TAMBAH","KURANG"))))</f>
        <v>TETAP</v>
      </c>
    </row>
    <row r="463" spans="1:18" x14ac:dyDescent="0.25">
      <c r="A463" s="10" t="s">
        <v>209</v>
      </c>
      <c r="B463" s="18" t="s">
        <v>182</v>
      </c>
      <c r="C463" s="12">
        <v>2.16</v>
      </c>
      <c r="D463" s="12">
        <v>0</v>
      </c>
      <c r="E463" s="10" t="s">
        <v>26</v>
      </c>
      <c r="F463" s="14">
        <v>44344.2</v>
      </c>
      <c r="G463" s="14">
        <f>F463*C463</f>
        <v>95783.472</v>
      </c>
      <c r="H463" s="15">
        <f>IF($G$1279=0,0,G463/$G$1279*100)</f>
      </c>
      <c r="I463" s="12" t="str">
        <f>IF(O463-C463&gt;0,O463-C463,"")</f>
        <v/>
      </c>
      <c r="J463" s="14" t="str">
        <f>IF(I463="","",F463*I463)</f>
        <v/>
      </c>
      <c r="K463" s="15">
        <f>IF(OR(J463="",$G$1279=0),"",J463/$G$1279*100)</f>
      </c>
      <c r="L463" s="12" t="str">
        <f>IF(C463-O463&gt;0,C463-O463,"")</f>
        <v/>
      </c>
      <c r="M463" s="14" t="str">
        <f>IF(L463="","",F463*L463)</f>
        <v/>
      </c>
      <c r="N463" s="15">
        <f>IF(OR(M463="",$G$1279=0),"",M463/$G$1279*100)</f>
      </c>
      <c r="O463" s="12">
        <v>2.16</v>
      </c>
      <c r="P463" s="14">
        <f>F463*O463</f>
        <v>95783.472</v>
      </c>
      <c r="Q463" s="15">
        <f>IF($P$1279=0,0,P463/$P$1279*100)</f>
      </c>
      <c r="R463" s="10" t="str">
        <f>IF(O463=C463,"TETAP",IF(C463=0,"BARU",IF(O463=0,"HAPUS",IF(O463&gt;C463,"TAMBAH","KURANG"))))</f>
        <v>TETAP</v>
      </c>
    </row>
    <row r="464" spans="1:18" x14ac:dyDescent="0.25">
      <c r="A464" s="5" t="s">
        <v>108</v>
      </c>
      <c r="B464" s="17" t="s">
        <v>453</v>
      </c>
      <c r="C464" s="7"/>
      <c r="D464" s="7"/>
      <c r="E464" s="5"/>
      <c r="F464" s="8"/>
      <c r="G464" s="8"/>
      <c r="H464" s="9"/>
      <c r="I464" s="7"/>
      <c r="J464" s="8"/>
      <c r="K464" s="9"/>
      <c r="L464" s="7"/>
      <c r="M464" s="8"/>
      <c r="N464" s="9"/>
      <c r="O464" s="7"/>
      <c r="P464" s="8"/>
      <c r="Q464" s="9"/>
      <c r="R464" s="5"/>
    </row>
    <row r="465" spans="1:18" x14ac:dyDescent="0.25">
      <c r="A465" s="10" t="s">
        <v>212</v>
      </c>
      <c r="B465" s="18" t="s">
        <v>454</v>
      </c>
      <c r="C465" s="12">
        <v>3</v>
      </c>
      <c r="D465" s="12">
        <v>0</v>
      </c>
      <c r="E465" s="10" t="s">
        <v>26</v>
      </c>
      <c r="F465" s="14">
        <v>164501.03</v>
      </c>
      <c r="G465" s="14">
        <f>F465*C465</f>
        <v>493503.08999999997</v>
      </c>
      <c r="H465" s="15">
        <f>IF($G$1279=0,0,G465/$G$1279*100)</f>
      </c>
      <c r="I465" s="12" t="str">
        <f>IF(O465-C465&gt;0,O465-C465,"")</f>
        <v/>
      </c>
      <c r="J465" s="14" t="str">
        <f>IF(I465="","",F465*I465)</f>
        <v/>
      </c>
      <c r="K465" s="15">
        <f>IF(OR(J465="",$G$1279=0),"",J465/$G$1279*100)</f>
      </c>
      <c r="L465" s="12" t="str">
        <f>IF(C465-O465&gt;0,C465-O465,"")</f>
        <v/>
      </c>
      <c r="M465" s="14" t="str">
        <f>IF(L465="","",F465*L465)</f>
        <v/>
      </c>
      <c r="N465" s="15">
        <f>IF(OR(M465="",$G$1279=0),"",M465/$G$1279*100)</f>
      </c>
      <c r="O465" s="12">
        <v>3</v>
      </c>
      <c r="P465" s="14">
        <f>F465*O465</f>
        <v>493503.08999999997</v>
      </c>
      <c r="Q465" s="15">
        <f>IF($P$1279=0,0,P465/$P$1279*100)</f>
      </c>
      <c r="R465" s="10" t="str">
        <f>IF(O465=C465,"TETAP",IF(C465=0,"BARU",IF(O465=0,"HAPUS",IF(O465&gt;C465,"TAMBAH","KURANG"))))</f>
        <v>TETAP</v>
      </c>
    </row>
    <row r="466" spans="1:18" x14ac:dyDescent="0.25">
      <c r="A466" s="10" t="s">
        <v>214</v>
      </c>
      <c r="B466" s="18" t="s">
        <v>402</v>
      </c>
      <c r="C466" s="12">
        <v>3</v>
      </c>
      <c r="D466" s="12">
        <v>0</v>
      </c>
      <c r="E466" s="10" t="s">
        <v>26</v>
      </c>
      <c r="F466" s="14">
        <v>60093.87</v>
      </c>
      <c r="G466" s="14">
        <f>F466*C466</f>
        <v>180281.61000000002</v>
      </c>
      <c r="H466" s="15">
        <f>IF($G$1279=0,0,G466/$G$1279*100)</f>
      </c>
      <c r="I466" s="12" t="str">
        <f>IF(O466-C466&gt;0,O466-C466,"")</f>
        <v/>
      </c>
      <c r="J466" s="14" t="str">
        <f>IF(I466="","",F466*I466)</f>
        <v/>
      </c>
      <c r="K466" s="15">
        <f>IF(OR(J466="",$G$1279=0),"",J466/$G$1279*100)</f>
      </c>
      <c r="L466" s="12" t="str">
        <f>IF(C466-O466&gt;0,C466-O466,"")</f>
        <v/>
      </c>
      <c r="M466" s="14" t="str">
        <f>IF(L466="","",F466*L466)</f>
        <v/>
      </c>
      <c r="N466" s="15">
        <f>IF(OR(M466="",$G$1279=0),"",M466/$G$1279*100)</f>
      </c>
      <c r="O466" s="12">
        <v>3</v>
      </c>
      <c r="P466" s="14">
        <f>F466*O466</f>
        <v>180281.61000000002</v>
      </c>
      <c r="Q466" s="15">
        <f>IF($P$1279=0,0,P466/$P$1279*100)</f>
      </c>
      <c r="R466" s="10" t="str">
        <f>IF(O466=C466,"TETAP",IF(C466=0,"BARU",IF(O466=0,"HAPUS",IF(O466&gt;C466,"TAMBAH","KURANG"))))</f>
        <v>TETAP</v>
      </c>
    </row>
    <row r="467" spans="1:18" x14ac:dyDescent="0.25">
      <c r="A467" s="10" t="s">
        <v>216</v>
      </c>
      <c r="B467" s="18" t="s">
        <v>182</v>
      </c>
      <c r="C467" s="12">
        <v>3</v>
      </c>
      <c r="D467" s="12">
        <v>0</v>
      </c>
      <c r="E467" s="10" t="s">
        <v>26</v>
      </c>
      <c r="F467" s="14">
        <v>44344.2</v>
      </c>
      <c r="G467" s="14">
        <f>F467*C467</f>
        <v>133032.59999999998</v>
      </c>
      <c r="H467" s="15">
        <f>IF($G$1279=0,0,G467/$G$1279*100)</f>
      </c>
      <c r="I467" s="12" t="str">
        <f>IF(O467-C467&gt;0,O467-C467,"")</f>
        <v/>
      </c>
      <c r="J467" s="14" t="str">
        <f>IF(I467="","",F467*I467)</f>
        <v/>
      </c>
      <c r="K467" s="15">
        <f>IF(OR(J467="",$G$1279=0),"",J467/$G$1279*100)</f>
      </c>
      <c r="L467" s="12" t="str">
        <f>IF(C467-O467&gt;0,C467-O467,"")</f>
        <v/>
      </c>
      <c r="M467" s="14" t="str">
        <f>IF(L467="","",F467*L467)</f>
        <v/>
      </c>
      <c r="N467" s="15">
        <f>IF(OR(M467="",$G$1279=0),"",M467/$G$1279*100)</f>
      </c>
      <c r="O467" s="12">
        <v>3</v>
      </c>
      <c r="P467" s="14">
        <f>F467*O467</f>
        <v>133032.59999999998</v>
      </c>
      <c r="Q467" s="15">
        <f>IF($P$1279=0,0,P467/$P$1279*100)</f>
      </c>
      <c r="R467" s="10" t="str">
        <f>IF(O467=C467,"TETAP",IF(C467=0,"BARU",IF(O467=0,"HAPUS",IF(O467&gt;C467,"TAMBAH","KURANG"))))</f>
        <v>TETAP</v>
      </c>
    </row>
    <row r="468" spans="1:18" x14ac:dyDescent="0.25">
      <c r="A468" s="10" t="s">
        <v>110</v>
      </c>
      <c r="B468" s="20" t="s">
        <v>455</v>
      </c>
      <c r="C468" s="12">
        <v>50</v>
      </c>
      <c r="D468" s="12">
        <v>0</v>
      </c>
      <c r="E468" s="10" t="s">
        <v>26</v>
      </c>
      <c r="F468" s="14">
        <v>60093.87</v>
      </c>
      <c r="G468" s="14">
        <f>F468*C468</f>
        <v>3004693.5</v>
      </c>
      <c r="H468" s="15">
        <f>IF($G$1279=0,0,G468/$G$1279*100)</f>
      </c>
      <c r="I468" s="12" t="str">
        <f>IF(O468-C468&gt;0,O468-C468,"")</f>
        <v/>
      </c>
      <c r="J468" s="14" t="str">
        <f>IF(I468="","",F468*I468)</f>
        <v/>
      </c>
      <c r="K468" s="15">
        <f>IF(OR(J468="",$G$1279=0),"",J468/$G$1279*100)</f>
      </c>
      <c r="L468" s="12" t="str">
        <f>IF(C468-O468&gt;0,C468-O468,"")</f>
        <v/>
      </c>
      <c r="M468" s="14" t="str">
        <f>IF(L468="","",F468*L468)</f>
        <v/>
      </c>
      <c r="N468" s="15">
        <f>IF(OR(M468="",$G$1279=0),"",M468/$G$1279*100)</f>
      </c>
      <c r="O468" s="12">
        <v>50</v>
      </c>
      <c r="P468" s="14">
        <f>F468*O468</f>
        <v>3004693.5</v>
      </c>
      <c r="Q468" s="15">
        <f>IF($P$1279=0,0,P468/$P$1279*100)</f>
      </c>
      <c r="R468" s="10" t="str">
        <f>IF(O468=C468,"TETAP",IF(C468=0,"BARU",IF(O468=0,"HAPUS",IF(O468&gt;C468,"TAMBAH","KURANG"))))</f>
        <v>TETAP</v>
      </c>
    </row>
    <row r="469" spans="1:18" x14ac:dyDescent="0.25">
      <c r="A469" s="5" t="s">
        <v>462</v>
      </c>
      <c r="B469" s="16" t="s">
        <v>463</v>
      </c>
      <c r="C469" s="7"/>
      <c r="D469" s="7"/>
      <c r="E469" s="5"/>
      <c r="F469" s="8"/>
      <c r="G469" s="8"/>
      <c r="H469" s="9"/>
      <c r="I469" s="7"/>
      <c r="J469" s="8"/>
      <c r="K469" s="9"/>
      <c r="L469" s="7"/>
      <c r="M469" s="8"/>
      <c r="N469" s="9"/>
      <c r="O469" s="7"/>
      <c r="P469" s="8"/>
      <c r="Q469" s="9"/>
      <c r="R469" s="5"/>
    </row>
    <row r="470" spans="1:18" x14ac:dyDescent="0.25">
      <c r="A470" s="10" t="s">
        <v>24</v>
      </c>
      <c r="B470" s="20" t="s">
        <v>348</v>
      </c>
      <c r="C470" s="12">
        <v>12</v>
      </c>
      <c r="D470" s="12">
        <v>0</v>
      </c>
      <c r="E470" s="10" t="s">
        <v>37</v>
      </c>
      <c r="F470" s="14">
        <v>161600.06</v>
      </c>
      <c r="G470" s="14">
        <f>F470*C470</f>
        <v>1939200.72</v>
      </c>
      <c r="H470" s="15">
        <f>IF($G$1279=0,0,G470/$G$1279*100)</f>
      </c>
      <c r="I470" s="12" t="str">
        <f>IF(O470-C470&gt;0,O470-C470,"")</f>
        <v/>
      </c>
      <c r="J470" s="14" t="str">
        <f>IF(I470="","",F470*I470)</f>
        <v/>
      </c>
      <c r="K470" s="15">
        <f>IF(OR(J470="",$G$1279=0),"",J470/$G$1279*100)</f>
      </c>
      <c r="L470" s="12" t="str">
        <f>IF(C470-O470&gt;0,C470-O470,"")</f>
        <v/>
      </c>
      <c r="M470" s="14" t="str">
        <f>IF(L470="","",F470*L470)</f>
        <v/>
      </c>
      <c r="N470" s="15">
        <f>IF(OR(M470="",$G$1279=0),"",M470/$G$1279*100)</f>
      </c>
      <c r="O470" s="12">
        <v>12</v>
      </c>
      <c r="P470" s="14">
        <f>F470*O470</f>
        <v>1939200.72</v>
      </c>
      <c r="Q470" s="15">
        <f>IF($P$1279=0,0,P470/$P$1279*100)</f>
      </c>
      <c r="R470" s="10" t="str">
        <f>IF(O470=C470,"TETAP",IF(C470=0,"BARU",IF(O470=0,"HAPUS",IF(O470&gt;C470,"TAMBAH","KURANG"))))</f>
        <v>TETAP</v>
      </c>
    </row>
    <row r="471" spans="1:18" x14ac:dyDescent="0.25">
      <c r="A471" s="10" t="s">
        <v>27</v>
      </c>
      <c r="B471" s="20" t="s">
        <v>464</v>
      </c>
      <c r="C471" s="12">
        <v>13.42</v>
      </c>
      <c r="D471" s="12">
        <v>0</v>
      </c>
      <c r="E471" s="10" t="s">
        <v>159</v>
      </c>
      <c r="F471" s="14">
        <v>104895.16</v>
      </c>
      <c r="G471" s="14">
        <f>F471*C471</f>
        <v>1407693.0472000001</v>
      </c>
      <c r="H471" s="15">
        <f>IF($G$1279=0,0,G471/$G$1279*100)</f>
      </c>
      <c r="I471" s="12" t="str">
        <f>IF(O471-C471&gt;0,O471-C471,"")</f>
        <v/>
      </c>
      <c r="J471" s="14" t="str">
        <f>IF(I471="","",F471*I471)</f>
        <v/>
      </c>
      <c r="K471" s="15">
        <f>IF(OR(J471="",$G$1279=0),"",J471/$G$1279*100)</f>
      </c>
      <c r="L471" s="12" t="str">
        <f>IF(C471-O471&gt;0,C471-O471,"")</f>
        <v/>
      </c>
      <c r="M471" s="14" t="str">
        <f>IF(L471="","",F471*L471)</f>
        <v/>
      </c>
      <c r="N471" s="15">
        <f>IF(OR(M471="",$G$1279=0),"",M471/$G$1279*100)</f>
      </c>
      <c r="O471" s="12">
        <v>13.42</v>
      </c>
      <c r="P471" s="14">
        <f>F471*O471</f>
        <v>1407693.0472000001</v>
      </c>
      <c r="Q471" s="15">
        <f>IF($P$1279=0,0,P471/$P$1279*100)</f>
      </c>
      <c r="R471" s="10" t="str">
        <f>IF(O471=C471,"TETAP",IF(C471=0,"BARU",IF(O471=0,"HAPUS",IF(O471&gt;C471,"TAMBAH","KURANG"))))</f>
        <v>TETAP</v>
      </c>
    </row>
    <row r="472" spans="1:18" x14ac:dyDescent="0.25">
      <c r="A472" s="10" t="s">
        <v>30</v>
      </c>
      <c r="B472" s="20" t="s">
        <v>368</v>
      </c>
      <c r="C472" s="12">
        <v>0.38</v>
      </c>
      <c r="D472" s="12">
        <v>0</v>
      </c>
      <c r="E472" s="10" t="s">
        <v>159</v>
      </c>
      <c r="F472" s="14">
        <v>342654.98</v>
      </c>
      <c r="G472" s="14">
        <f>F472*C472</f>
        <v>130208.8924</v>
      </c>
      <c r="H472" s="15">
        <f>IF($G$1279=0,0,G472/$G$1279*100)</f>
      </c>
      <c r="I472" s="12" t="str">
        <f>IF(O472-C472&gt;0,O472-C472,"")</f>
        <v/>
      </c>
      <c r="J472" s="14" t="str">
        <f>IF(I472="","",F472*I472)</f>
        <v/>
      </c>
      <c r="K472" s="15">
        <f>IF(OR(J472="",$G$1279=0),"",J472/$G$1279*100)</f>
      </c>
      <c r="L472" s="12" t="str">
        <f>IF(C472-O472&gt;0,C472-O472,"")</f>
        <v/>
      </c>
      <c r="M472" s="14" t="str">
        <f>IF(L472="","",F472*L472)</f>
        <v/>
      </c>
      <c r="N472" s="15">
        <f>IF(OR(M472="",$G$1279=0),"",M472/$G$1279*100)</f>
      </c>
      <c r="O472" s="12">
        <v>0.38</v>
      </c>
      <c r="P472" s="14">
        <f>F472*O472</f>
        <v>130208.8924</v>
      </c>
      <c r="Q472" s="15">
        <f>IF($P$1279=0,0,P472/$P$1279*100)</f>
      </c>
      <c r="R472" s="10" t="str">
        <f>IF(O472=C472,"TETAP",IF(C472=0,"BARU",IF(O472=0,"HAPUS",IF(O472&gt;C472,"TAMBAH","KURANG"))))</f>
        <v>TETAP</v>
      </c>
    </row>
    <row r="473" spans="1:18" x14ac:dyDescent="0.25">
      <c r="A473" s="10" t="s">
        <v>33</v>
      </c>
      <c r="B473" s="20" t="s">
        <v>465</v>
      </c>
      <c r="C473" s="12">
        <v>0.38</v>
      </c>
      <c r="D473" s="12">
        <v>0</v>
      </c>
      <c r="E473" s="10" t="s">
        <v>159</v>
      </c>
      <c r="F473" s="14">
        <v>1243301.43</v>
      </c>
      <c r="G473" s="14">
        <f>F473*C473</f>
        <v>472454.54339999997</v>
      </c>
      <c r="H473" s="15">
        <f>IF($G$1279=0,0,G473/$G$1279*100)</f>
      </c>
      <c r="I473" s="12" t="str">
        <f>IF(O473-C473&gt;0,O473-C473,"")</f>
        <v/>
      </c>
      <c r="J473" s="14" t="str">
        <f>IF(I473="","",F473*I473)</f>
        <v/>
      </c>
      <c r="K473" s="15">
        <f>IF(OR(J473="",$G$1279=0),"",J473/$G$1279*100)</f>
      </c>
      <c r="L473" s="12" t="str">
        <f>IF(C473-O473&gt;0,C473-O473,"")</f>
        <v/>
      </c>
      <c r="M473" s="14" t="str">
        <f>IF(L473="","",F473*L473)</f>
        <v/>
      </c>
      <c r="N473" s="15">
        <f>IF(OR(M473="",$G$1279=0),"",M473/$G$1279*100)</f>
      </c>
      <c r="O473" s="12">
        <v>0.38</v>
      </c>
      <c r="P473" s="14">
        <f>F473*O473</f>
        <v>472454.54339999997</v>
      </c>
      <c r="Q473" s="15">
        <f>IF($P$1279=0,0,P473/$P$1279*100)</f>
      </c>
      <c r="R473" s="10" t="str">
        <f>IF(O473=C473,"TETAP",IF(C473=0,"BARU",IF(O473=0,"HAPUS",IF(O473&gt;C473,"TAMBAH","KURANG"))))</f>
        <v>TETAP</v>
      </c>
    </row>
    <row r="474" spans="1:18" x14ac:dyDescent="0.25">
      <c r="A474" s="10" t="s">
        <v>35</v>
      </c>
      <c r="B474" s="20" t="s">
        <v>439</v>
      </c>
      <c r="C474" s="12">
        <v>5.25</v>
      </c>
      <c r="D474" s="12">
        <v>0</v>
      </c>
      <c r="E474" s="10" t="s">
        <v>159</v>
      </c>
      <c r="F474" s="14">
        <v>58275.09</v>
      </c>
      <c r="G474" s="14">
        <f>F474*C474</f>
        <v>305944.2225</v>
      </c>
      <c r="H474" s="15">
        <f>IF($G$1279=0,0,G474/$G$1279*100)</f>
      </c>
      <c r="I474" s="12" t="str">
        <f>IF(O474-C474&gt;0,O474-C474,"")</f>
        <v/>
      </c>
      <c r="J474" s="14" t="str">
        <f>IF(I474="","",F474*I474)</f>
        <v/>
      </c>
      <c r="K474" s="15">
        <f>IF(OR(J474="",$G$1279=0),"",J474/$G$1279*100)</f>
      </c>
      <c r="L474" s="12" t="str">
        <f>IF(C474-O474&gt;0,C474-O474,"")</f>
        <v/>
      </c>
      <c r="M474" s="14" t="str">
        <f>IF(L474="","",F474*L474)</f>
        <v/>
      </c>
      <c r="N474" s="15">
        <f>IF(OR(M474="",$G$1279=0),"",M474/$G$1279*100)</f>
      </c>
      <c r="O474" s="12">
        <v>5.25</v>
      </c>
      <c r="P474" s="14">
        <f>F474*O474</f>
        <v>305944.2225</v>
      </c>
      <c r="Q474" s="15">
        <f>IF($P$1279=0,0,P474/$P$1279*100)</f>
      </c>
      <c r="R474" s="10" t="str">
        <f>IF(O474=C474,"TETAP",IF(C474=0,"BARU",IF(O474=0,"HAPUS",IF(O474&gt;C474,"TAMBAH","KURANG"))))</f>
        <v>TETAP</v>
      </c>
    </row>
    <row r="475" spans="1:18" x14ac:dyDescent="0.25">
      <c r="A475" s="5" t="s">
        <v>38</v>
      </c>
      <c r="B475" s="17" t="s">
        <v>466</v>
      </c>
      <c r="C475" s="7"/>
      <c r="D475" s="7"/>
      <c r="E475" s="5"/>
      <c r="F475" s="8"/>
      <c r="G475" s="8"/>
      <c r="H475" s="9"/>
      <c r="I475" s="7"/>
      <c r="J475" s="8"/>
      <c r="K475" s="9"/>
      <c r="L475" s="7"/>
      <c r="M475" s="8"/>
      <c r="N475" s="9"/>
      <c r="O475" s="7"/>
      <c r="P475" s="8"/>
      <c r="Q475" s="9"/>
      <c r="R475" s="5"/>
    </row>
    <row r="476" spans="1:18" x14ac:dyDescent="0.25">
      <c r="A476" s="10" t="s">
        <v>200</v>
      </c>
      <c r="B476" s="18" t="s">
        <v>377</v>
      </c>
      <c r="C476" s="12">
        <v>3.2</v>
      </c>
      <c r="D476" s="12">
        <v>0</v>
      </c>
      <c r="E476" s="10" t="s">
        <v>26</v>
      </c>
      <c r="F476" s="14">
        <v>218225.13</v>
      </c>
      <c r="G476" s="14">
        <f>F476*C476</f>
        <v>698320.4160000001</v>
      </c>
      <c r="H476" s="15">
        <f>IF($G$1279=0,0,G476/$G$1279*100)</f>
      </c>
      <c r="I476" s="12" t="str">
        <f>IF(O476-C476&gt;0,O476-C476,"")</f>
        <v/>
      </c>
      <c r="J476" s="14" t="str">
        <f>IF(I476="","",F476*I476)</f>
        <v/>
      </c>
      <c r="K476" s="15">
        <f>IF(OR(J476="",$G$1279=0),"",J476/$G$1279*100)</f>
      </c>
      <c r="L476" s="12" t="str">
        <f>IF(C476-O476&gt;0,C476-O476,"")</f>
        <v/>
      </c>
      <c r="M476" s="14" t="str">
        <f>IF(L476="","",F476*L476)</f>
        <v/>
      </c>
      <c r="N476" s="15">
        <f>IF(OR(M476="",$G$1279=0),"",M476/$G$1279*100)</f>
      </c>
      <c r="O476" s="12">
        <v>3.2</v>
      </c>
      <c r="P476" s="14">
        <f>F476*O476</f>
        <v>698320.4160000001</v>
      </c>
      <c r="Q476" s="15">
        <f>IF($P$1279=0,0,P476/$P$1279*100)</f>
      </c>
      <c r="R476" s="10" t="str">
        <f>IF(O476=C476,"TETAP",IF(C476=0,"BARU",IF(O476=0,"HAPUS",IF(O476&gt;C476,"TAMBAH","KURANG"))))</f>
        <v>TETAP</v>
      </c>
    </row>
    <row r="477" spans="1:18" x14ac:dyDescent="0.25">
      <c r="A477" s="10" t="s">
        <v>202</v>
      </c>
      <c r="B477" s="18" t="s">
        <v>380</v>
      </c>
      <c r="C477" s="12">
        <v>19.73</v>
      </c>
      <c r="D477" s="12">
        <v>0</v>
      </c>
      <c r="E477" s="10" t="s">
        <v>169</v>
      </c>
      <c r="F477" s="14">
        <v>19252.39</v>
      </c>
      <c r="G477" s="14">
        <f>F477*C477</f>
        <v>379849.6547</v>
      </c>
      <c r="H477" s="15">
        <f>IF($G$1279=0,0,G477/$G$1279*100)</f>
      </c>
      <c r="I477" s="12" t="str">
        <f>IF(O477-C477&gt;0,O477-C477,"")</f>
        <v/>
      </c>
      <c r="J477" s="14" t="str">
        <f>IF(I477="","",F477*I477)</f>
        <v/>
      </c>
      <c r="K477" s="15">
        <f>IF(OR(J477="",$G$1279=0),"",J477/$G$1279*100)</f>
      </c>
      <c r="L477" s="12" t="str">
        <f>IF(C477-O477&gt;0,C477-O477,"")</f>
        <v/>
      </c>
      <c r="M477" s="14" t="str">
        <f>IF(L477="","",F477*L477)</f>
        <v/>
      </c>
      <c r="N477" s="15">
        <f>IF(OR(M477="",$G$1279=0),"",M477/$G$1279*100)</f>
      </c>
      <c r="O477" s="12">
        <v>19.73</v>
      </c>
      <c r="P477" s="14">
        <f>F477*O477</f>
        <v>379849.6547</v>
      </c>
      <c r="Q477" s="15">
        <f>IF($P$1279=0,0,P477/$P$1279*100)</f>
      </c>
      <c r="R477" s="10" t="str">
        <f>IF(O477=C477,"TETAP",IF(C477=0,"BARU",IF(O477=0,"HAPUS",IF(O477&gt;C477,"TAMBAH","KURANG"))))</f>
        <v>TETAP</v>
      </c>
    </row>
    <row r="478" spans="1:18" x14ac:dyDescent="0.25">
      <c r="A478" s="10" t="s">
        <v>203</v>
      </c>
      <c r="B478" s="18" t="s">
        <v>467</v>
      </c>
      <c r="C478" s="12">
        <v>5.54</v>
      </c>
      <c r="D478" s="12">
        <v>0</v>
      </c>
      <c r="E478" s="10" t="s">
        <v>169</v>
      </c>
      <c r="F478" s="14">
        <v>19252.39</v>
      </c>
      <c r="G478" s="14">
        <f>F478*C478</f>
        <v>106658.2406</v>
      </c>
      <c r="H478" s="15">
        <f>IF($G$1279=0,0,G478/$G$1279*100)</f>
      </c>
      <c r="I478" s="12" t="str">
        <f>IF(O478-C478&gt;0,O478-C478,"")</f>
        <v/>
      </c>
      <c r="J478" s="14" t="str">
        <f>IF(I478="","",F478*I478)</f>
        <v/>
      </c>
      <c r="K478" s="15">
        <f>IF(OR(J478="",$G$1279=0),"",J478/$G$1279*100)</f>
      </c>
      <c r="L478" s="12" t="str">
        <f>IF(C478-O478&gt;0,C478-O478,"")</f>
        <v/>
      </c>
      <c r="M478" s="14" t="str">
        <f>IF(L478="","",F478*L478)</f>
        <v/>
      </c>
      <c r="N478" s="15">
        <f>IF(OR(M478="",$G$1279=0),"",M478/$G$1279*100)</f>
      </c>
      <c r="O478" s="12">
        <v>5.54</v>
      </c>
      <c r="P478" s="14">
        <f>F478*O478</f>
        <v>106658.2406</v>
      </c>
      <c r="Q478" s="15">
        <f>IF($P$1279=0,0,P478/$P$1279*100)</f>
      </c>
      <c r="R478" s="10" t="str">
        <f>IF(O478=C478,"TETAP",IF(C478=0,"BARU",IF(O478=0,"HAPUS",IF(O478&gt;C478,"TAMBAH","KURANG"))))</f>
        <v>TETAP</v>
      </c>
    </row>
    <row r="479" spans="1:18" x14ac:dyDescent="0.25">
      <c r="A479" s="10" t="s">
        <v>204</v>
      </c>
      <c r="B479" s="18" t="s">
        <v>468</v>
      </c>
      <c r="C479" s="12">
        <v>0.24</v>
      </c>
      <c r="D479" s="12">
        <v>0</v>
      </c>
      <c r="E479" s="10" t="s">
        <v>159</v>
      </c>
      <c r="F479" s="14">
        <v>1504340.14</v>
      </c>
      <c r="G479" s="14">
        <f>F479*C479</f>
        <v>361041.63359999994</v>
      </c>
      <c r="H479" s="15">
        <f>IF($G$1279=0,0,G479/$G$1279*100)</f>
      </c>
      <c r="I479" s="12" t="str">
        <f>IF(O479-C479&gt;0,O479-C479,"")</f>
        <v/>
      </c>
      <c r="J479" s="14" t="str">
        <f>IF(I479="","",F479*I479)</f>
        <v/>
      </c>
      <c r="K479" s="15">
        <f>IF(OR(J479="",$G$1279=0),"",J479/$G$1279*100)</f>
      </c>
      <c r="L479" s="12" t="str">
        <f>IF(C479-O479&gt;0,C479-O479,"")</f>
        <v/>
      </c>
      <c r="M479" s="14" t="str">
        <f>IF(L479="","",F479*L479)</f>
        <v/>
      </c>
      <c r="N479" s="15">
        <f>IF(OR(M479="",$G$1279=0),"",M479/$G$1279*100)</f>
      </c>
      <c r="O479" s="12">
        <v>0.24</v>
      </c>
      <c r="P479" s="14">
        <f>F479*O479</f>
        <v>361041.63359999994</v>
      </c>
      <c r="Q479" s="15">
        <f>IF($P$1279=0,0,P479/$P$1279*100)</f>
      </c>
      <c r="R479" s="10" t="str">
        <f>IF(O479=C479,"TETAP",IF(C479=0,"BARU",IF(O479=0,"HAPUS",IF(O479&gt;C479,"TAMBAH","KURANG"))))</f>
        <v>TETAP</v>
      </c>
    </row>
    <row r="480" spans="1:18" x14ac:dyDescent="0.25">
      <c r="A480" s="5" t="s">
        <v>108</v>
      </c>
      <c r="B480" s="17" t="s">
        <v>469</v>
      </c>
      <c r="C480" s="7"/>
      <c r="D480" s="7"/>
      <c r="E480" s="5"/>
      <c r="F480" s="8"/>
      <c r="G480" s="8"/>
      <c r="H480" s="9"/>
      <c r="I480" s="7"/>
      <c r="J480" s="8"/>
      <c r="K480" s="9"/>
      <c r="L480" s="7"/>
      <c r="M480" s="8"/>
      <c r="N480" s="9"/>
      <c r="O480" s="7"/>
      <c r="P480" s="8"/>
      <c r="Q480" s="9"/>
      <c r="R480" s="5"/>
    </row>
    <row r="481" spans="1:18" x14ac:dyDescent="0.25">
      <c r="A481" s="10" t="s">
        <v>212</v>
      </c>
      <c r="B481" s="18" t="s">
        <v>377</v>
      </c>
      <c r="C481" s="12">
        <v>6</v>
      </c>
      <c r="D481" s="12">
        <v>0</v>
      </c>
      <c r="E481" s="10" t="s">
        <v>26</v>
      </c>
      <c r="F481" s="14">
        <v>218225.13</v>
      </c>
      <c r="G481" s="14">
        <f>F481*C481</f>
        <v>1309350.78</v>
      </c>
      <c r="H481" s="15">
        <f>IF($G$1279=0,0,G481/$G$1279*100)</f>
      </c>
      <c r="I481" s="12" t="str">
        <f>IF(O481-C481&gt;0,O481-C481,"")</f>
        <v/>
      </c>
      <c r="J481" s="14" t="str">
        <f>IF(I481="","",F481*I481)</f>
        <v/>
      </c>
      <c r="K481" s="15">
        <f>IF(OR(J481="",$G$1279=0),"",J481/$G$1279*100)</f>
      </c>
      <c r="L481" s="12" t="str">
        <f>IF(C481-O481&gt;0,C481-O481,"")</f>
        <v/>
      </c>
      <c r="M481" s="14" t="str">
        <f>IF(L481="","",F481*L481)</f>
        <v/>
      </c>
      <c r="N481" s="15">
        <f>IF(OR(M481="",$G$1279=0),"",M481/$G$1279*100)</f>
      </c>
      <c r="O481" s="12">
        <v>6</v>
      </c>
      <c r="P481" s="14">
        <f>F481*O481</f>
        <v>1309350.78</v>
      </c>
      <c r="Q481" s="15">
        <f>IF($P$1279=0,0,P481/$P$1279*100)</f>
      </c>
      <c r="R481" s="10" t="str">
        <f>IF(O481=C481,"TETAP",IF(C481=0,"BARU",IF(O481=0,"HAPUS",IF(O481&gt;C481,"TAMBAH","KURANG"))))</f>
        <v>TETAP</v>
      </c>
    </row>
    <row r="482" spans="1:18" x14ac:dyDescent="0.25">
      <c r="A482" s="10" t="s">
        <v>214</v>
      </c>
      <c r="B482" s="18" t="s">
        <v>380</v>
      </c>
      <c r="C482" s="12">
        <v>36.25</v>
      </c>
      <c r="D482" s="12">
        <v>0</v>
      </c>
      <c r="E482" s="10" t="s">
        <v>169</v>
      </c>
      <c r="F482" s="14">
        <v>19252.39</v>
      </c>
      <c r="G482" s="14">
        <f>F482*C482</f>
        <v>697899.1375</v>
      </c>
      <c r="H482" s="15">
        <f>IF($G$1279=0,0,G482/$G$1279*100)</f>
      </c>
      <c r="I482" s="12" t="str">
        <f>IF(O482-C482&gt;0,O482-C482,"")</f>
        <v/>
      </c>
      <c r="J482" s="14" t="str">
        <f>IF(I482="","",F482*I482)</f>
        <v/>
      </c>
      <c r="K482" s="15">
        <f>IF(OR(J482="",$G$1279=0),"",J482/$G$1279*100)</f>
      </c>
      <c r="L482" s="12" t="str">
        <f>IF(C482-O482&gt;0,C482-O482,"")</f>
        <v/>
      </c>
      <c r="M482" s="14" t="str">
        <f>IF(L482="","",F482*L482)</f>
        <v/>
      </c>
      <c r="N482" s="15">
        <f>IF(OR(M482="",$G$1279=0),"",M482/$G$1279*100)</f>
      </c>
      <c r="O482" s="12">
        <v>36.25</v>
      </c>
      <c r="P482" s="14">
        <f>F482*O482</f>
        <v>697899.1375</v>
      </c>
      <c r="Q482" s="15">
        <f>IF($P$1279=0,0,P482/$P$1279*100)</f>
      </c>
      <c r="R482" s="10" t="str">
        <f>IF(O482=C482,"TETAP",IF(C482=0,"BARU",IF(O482=0,"HAPUS",IF(O482&gt;C482,"TAMBAH","KURANG"))))</f>
        <v>TETAP</v>
      </c>
    </row>
    <row r="483" spans="1:18" x14ac:dyDescent="0.25">
      <c r="A483" s="10" t="s">
        <v>216</v>
      </c>
      <c r="B483" s="18" t="s">
        <v>467</v>
      </c>
      <c r="C483" s="12">
        <v>7.76</v>
      </c>
      <c r="D483" s="12">
        <v>0</v>
      </c>
      <c r="E483" s="10" t="s">
        <v>169</v>
      </c>
      <c r="F483" s="14">
        <v>19252.39</v>
      </c>
      <c r="G483" s="14">
        <f>F483*C483</f>
        <v>149398.5464</v>
      </c>
      <c r="H483" s="15">
        <f>IF($G$1279=0,0,G483/$G$1279*100)</f>
      </c>
      <c r="I483" s="12" t="str">
        <f>IF(O483-C483&gt;0,O483-C483,"")</f>
        <v/>
      </c>
      <c r="J483" s="14" t="str">
        <f>IF(I483="","",F483*I483)</f>
        <v/>
      </c>
      <c r="K483" s="15">
        <f>IF(OR(J483="",$G$1279=0),"",J483/$G$1279*100)</f>
      </c>
      <c r="L483" s="12" t="str">
        <f>IF(C483-O483&gt;0,C483-O483,"")</f>
        <v/>
      </c>
      <c r="M483" s="14" t="str">
        <f>IF(L483="","",F483*L483)</f>
        <v/>
      </c>
      <c r="N483" s="15">
        <f>IF(OR(M483="",$G$1279=0),"",M483/$G$1279*100)</f>
      </c>
      <c r="O483" s="12">
        <v>7.76</v>
      </c>
      <c r="P483" s="14">
        <f>F483*O483</f>
        <v>149398.5464</v>
      </c>
      <c r="Q483" s="15">
        <f>IF($P$1279=0,0,P483/$P$1279*100)</f>
      </c>
      <c r="R483" s="10" t="str">
        <f>IF(O483=C483,"TETAP",IF(C483=0,"BARU",IF(O483=0,"HAPUS",IF(O483&gt;C483,"TAMBAH","KURANG"))))</f>
        <v>TETAP</v>
      </c>
    </row>
    <row r="484" spans="1:18" x14ac:dyDescent="0.25">
      <c r="A484" s="10" t="s">
        <v>218</v>
      </c>
      <c r="B484" s="18" t="s">
        <v>468</v>
      </c>
      <c r="C484" s="12">
        <v>0.32</v>
      </c>
      <c r="D484" s="12">
        <v>0</v>
      </c>
      <c r="E484" s="10" t="s">
        <v>159</v>
      </c>
      <c r="F484" s="14">
        <v>1504340.14</v>
      </c>
      <c r="G484" s="14">
        <f>F484*C484</f>
        <v>481388.84479999996</v>
      </c>
      <c r="H484" s="15">
        <f>IF($G$1279=0,0,G484/$G$1279*100)</f>
      </c>
      <c r="I484" s="12" t="str">
        <f>IF(O484-C484&gt;0,O484-C484,"")</f>
        <v/>
      </c>
      <c r="J484" s="14" t="str">
        <f>IF(I484="","",F484*I484)</f>
        <v/>
      </c>
      <c r="K484" s="15">
        <f>IF(OR(J484="",$G$1279=0),"",J484/$G$1279*100)</f>
      </c>
      <c r="L484" s="12" t="str">
        <f>IF(C484-O484&gt;0,C484-O484,"")</f>
        <v/>
      </c>
      <c r="M484" s="14" t="str">
        <f>IF(L484="","",F484*L484)</f>
        <v/>
      </c>
      <c r="N484" s="15">
        <f>IF(OR(M484="",$G$1279=0),"",M484/$G$1279*100)</f>
      </c>
      <c r="O484" s="12">
        <v>0.32</v>
      </c>
      <c r="P484" s="14">
        <f>F484*O484</f>
        <v>481388.84479999996</v>
      </c>
      <c r="Q484" s="15">
        <f>IF($P$1279=0,0,P484/$P$1279*100)</f>
      </c>
      <c r="R484" s="10" t="str">
        <f>IF(O484=C484,"TETAP",IF(C484=0,"BARU",IF(O484=0,"HAPUS",IF(O484&gt;C484,"TAMBAH","KURANG"))))</f>
        <v>TETAP</v>
      </c>
    </row>
    <row r="485" spans="1:18" x14ac:dyDescent="0.25">
      <c r="A485" s="5" t="s">
        <v>110</v>
      </c>
      <c r="B485" s="17" t="s">
        <v>470</v>
      </c>
      <c r="C485" s="7"/>
      <c r="D485" s="7"/>
      <c r="E485" s="5"/>
      <c r="F485" s="8"/>
      <c r="G485" s="8"/>
      <c r="H485" s="9"/>
      <c r="I485" s="7"/>
      <c r="J485" s="8"/>
      <c r="K485" s="9"/>
      <c r="L485" s="7"/>
      <c r="M485" s="8"/>
      <c r="N485" s="9"/>
      <c r="O485" s="7"/>
      <c r="P485" s="8"/>
      <c r="Q485" s="9"/>
      <c r="R485" s="5"/>
    </row>
    <row r="486" spans="1:18" x14ac:dyDescent="0.25">
      <c r="A486" s="10" t="s">
        <v>275</v>
      </c>
      <c r="B486" s="18" t="s">
        <v>187</v>
      </c>
      <c r="C486" s="12">
        <v>2.2</v>
      </c>
      <c r="D486" s="12">
        <v>0</v>
      </c>
      <c r="E486" s="10" t="s">
        <v>26</v>
      </c>
      <c r="F486" s="14">
        <v>218225.13</v>
      </c>
      <c r="G486" s="14">
        <f>F486*C486</f>
        <v>480095.286</v>
      </c>
      <c r="H486" s="15">
        <f>IF($G$1279=0,0,G486/$G$1279*100)</f>
      </c>
      <c r="I486" s="12" t="str">
        <f>IF(O486-C486&gt;0,O486-C486,"")</f>
        <v/>
      </c>
      <c r="J486" s="14" t="str">
        <f>IF(I486="","",F486*I486)</f>
        <v/>
      </c>
      <c r="K486" s="15">
        <f>IF(OR(J486="",$G$1279=0),"",J486/$G$1279*100)</f>
      </c>
      <c r="L486" s="12" t="str">
        <f>IF(C486-O486&gt;0,C486-O486,"")</f>
        <v/>
      </c>
      <c r="M486" s="14" t="str">
        <f>IF(L486="","",F486*L486)</f>
        <v/>
      </c>
      <c r="N486" s="15">
        <f>IF(OR(M486="",$G$1279=0),"",M486/$G$1279*100)</f>
      </c>
      <c r="O486" s="12">
        <v>2.2</v>
      </c>
      <c r="P486" s="14">
        <f>F486*O486</f>
        <v>480095.286</v>
      </c>
      <c r="Q486" s="15">
        <f>IF($P$1279=0,0,P486/$P$1279*100)</f>
      </c>
      <c r="R486" s="10" t="str">
        <f>IF(O486=C486,"TETAP",IF(C486=0,"BARU",IF(O486=0,"HAPUS",IF(O486&gt;C486,"TAMBAH","KURANG"))))</f>
        <v>TETAP</v>
      </c>
    </row>
    <row r="487" spans="1:18" x14ac:dyDescent="0.25">
      <c r="A487" s="10" t="s">
        <v>276</v>
      </c>
      <c r="B487" s="18" t="s">
        <v>451</v>
      </c>
      <c r="C487" s="12">
        <v>63.7</v>
      </c>
      <c r="D487" s="12">
        <v>0</v>
      </c>
      <c r="E487" s="10" t="s">
        <v>169</v>
      </c>
      <c r="F487" s="14">
        <v>19252.39</v>
      </c>
      <c r="G487" s="14">
        <f>F487*C487</f>
        <v>1226377.243</v>
      </c>
      <c r="H487" s="15">
        <f>IF($G$1279=0,0,G487/$G$1279*100)</f>
      </c>
      <c r="I487" s="12" t="str">
        <f>IF(O487-C487&gt;0,O487-C487,"")</f>
        <v/>
      </c>
      <c r="J487" s="14" t="str">
        <f>IF(I487="","",F487*I487)</f>
        <v/>
      </c>
      <c r="K487" s="15">
        <f>IF(OR(J487="",$G$1279=0),"",J487/$G$1279*100)</f>
      </c>
      <c r="L487" s="12" t="str">
        <f>IF(C487-O487&gt;0,C487-O487,"")</f>
        <v/>
      </c>
      <c r="M487" s="14" t="str">
        <f>IF(L487="","",F487*L487)</f>
        <v/>
      </c>
      <c r="N487" s="15">
        <f>IF(OR(M487="",$G$1279=0),"",M487/$G$1279*100)</f>
      </c>
      <c r="O487" s="12">
        <v>63.7</v>
      </c>
      <c r="P487" s="14">
        <f>F487*O487</f>
        <v>1226377.243</v>
      </c>
      <c r="Q487" s="15">
        <f>IF($P$1279=0,0,P487/$P$1279*100)</f>
      </c>
      <c r="R487" s="10" t="str">
        <f>IF(O487=C487,"TETAP",IF(C487=0,"BARU",IF(O487=0,"HAPUS",IF(O487&gt;C487,"TAMBAH","KURANG"))))</f>
        <v>TETAP</v>
      </c>
    </row>
    <row r="488" spans="1:18" x14ac:dyDescent="0.25">
      <c r="A488" s="10" t="s">
        <v>278</v>
      </c>
      <c r="B488" s="18" t="s">
        <v>468</v>
      </c>
      <c r="C488" s="12">
        <v>1.51</v>
      </c>
      <c r="D488" s="12">
        <v>0</v>
      </c>
      <c r="E488" s="10" t="s">
        <v>159</v>
      </c>
      <c r="F488" s="14">
        <v>1504340.14</v>
      </c>
      <c r="G488" s="14">
        <f>F488*C488</f>
        <v>2271553.6114</v>
      </c>
      <c r="H488" s="15">
        <f>IF($G$1279=0,0,G488/$G$1279*100)</f>
      </c>
      <c r="I488" s="12" t="str">
        <f>IF(O488-C488&gt;0,O488-C488,"")</f>
        <v/>
      </c>
      <c r="J488" s="14" t="str">
        <f>IF(I488="","",F488*I488)</f>
        <v/>
      </c>
      <c r="K488" s="15">
        <f>IF(OR(J488="",$G$1279=0),"",J488/$G$1279*100)</f>
      </c>
      <c r="L488" s="12" t="str">
        <f>IF(C488-O488&gt;0,C488-O488,"")</f>
        <v/>
      </c>
      <c r="M488" s="14" t="str">
        <f>IF(L488="","",F488*L488)</f>
        <v/>
      </c>
      <c r="N488" s="15">
        <f>IF(OR(M488="",$G$1279=0),"",M488/$G$1279*100)</f>
      </c>
      <c r="O488" s="12">
        <v>1.51</v>
      </c>
      <c r="P488" s="14">
        <f>F488*O488</f>
        <v>2271553.6114</v>
      </c>
      <c r="Q488" s="15">
        <f>IF($P$1279=0,0,P488/$P$1279*100)</f>
      </c>
      <c r="R488" s="10" t="str">
        <f>IF(O488=C488,"TETAP",IF(C488=0,"BARU",IF(O488=0,"HAPUS",IF(O488&gt;C488,"TAMBAH","KURANG"))))</f>
        <v>TETAP</v>
      </c>
    </row>
    <row r="489" spans="1:18" x14ac:dyDescent="0.25">
      <c r="A489" s="5" t="s">
        <v>112</v>
      </c>
      <c r="B489" s="17" t="s">
        <v>471</v>
      </c>
      <c r="C489" s="7"/>
      <c r="D489" s="7"/>
      <c r="E489" s="5"/>
      <c r="F489" s="8"/>
      <c r="G489" s="8"/>
      <c r="H489" s="9"/>
      <c r="I489" s="7"/>
      <c r="J489" s="8"/>
      <c r="K489" s="9"/>
      <c r="L489" s="7"/>
      <c r="M489" s="8"/>
      <c r="N489" s="9"/>
      <c r="O489" s="7"/>
      <c r="P489" s="8"/>
      <c r="Q489" s="9"/>
      <c r="R489" s="5"/>
    </row>
    <row r="490" spans="1:18" x14ac:dyDescent="0.25">
      <c r="A490" s="10" t="s">
        <v>287</v>
      </c>
      <c r="B490" s="18" t="s">
        <v>472</v>
      </c>
      <c r="C490" s="12">
        <v>24</v>
      </c>
      <c r="D490" s="12">
        <v>0</v>
      </c>
      <c r="E490" s="10" t="s">
        <v>26</v>
      </c>
      <c r="F490" s="14">
        <v>472402.93</v>
      </c>
      <c r="G490" s="14">
        <f>F490*C490</f>
        <v>11337670.32</v>
      </c>
      <c r="H490" s="15">
        <f>IF($G$1279=0,0,G490/$G$1279*100)</f>
      </c>
      <c r="I490" s="12" t="str">
        <f>IF(O490-C490&gt;0,O490-C490,"")</f>
        <v/>
      </c>
      <c r="J490" s="14" t="str">
        <f>IF(I490="","",F490*I490)</f>
        <v/>
      </c>
      <c r="K490" s="15">
        <f>IF(OR(J490="",$G$1279=0),"",J490/$G$1279*100)</f>
      </c>
      <c r="L490" s="12" t="str">
        <f>IF(C490-O490&gt;0,C490-O490,"")</f>
        <v/>
      </c>
      <c r="M490" s="14" t="str">
        <f>IF(L490="","",F490*L490)</f>
        <v/>
      </c>
      <c r="N490" s="15">
        <f>IF(OR(M490="",$G$1279=0),"",M490/$G$1279*100)</f>
      </c>
      <c r="O490" s="12">
        <v>24</v>
      </c>
      <c r="P490" s="14">
        <f>F490*O490</f>
        <v>11337670.32</v>
      </c>
      <c r="Q490" s="15">
        <f>IF($P$1279=0,0,P490/$P$1279*100)</f>
      </c>
      <c r="R490" s="10" t="str">
        <f>IF(O490=C490,"TETAP",IF(C490=0,"BARU",IF(O490=0,"HAPUS",IF(O490&gt;C490,"TAMBAH","KURANG"))))</f>
        <v>TETAP</v>
      </c>
    </row>
    <row r="491" spans="1:18" x14ac:dyDescent="0.25">
      <c r="A491" s="10" t="s">
        <v>288</v>
      </c>
      <c r="B491" s="18" t="s">
        <v>473</v>
      </c>
      <c r="C491" s="12">
        <v>15.91</v>
      </c>
      <c r="D491" s="12">
        <v>0</v>
      </c>
      <c r="E491" s="10" t="s">
        <v>169</v>
      </c>
      <c r="F491" s="14">
        <v>19252.39</v>
      </c>
      <c r="G491" s="14">
        <f>F491*C491</f>
        <v>306305.5249</v>
      </c>
      <c r="H491" s="15">
        <f>IF($G$1279=0,0,G491/$G$1279*100)</f>
      </c>
      <c r="I491" s="12" t="str">
        <f>IF(O491-C491&gt;0,O491-C491,"")</f>
        <v/>
      </c>
      <c r="J491" s="14" t="str">
        <f>IF(I491="","",F491*I491)</f>
        <v/>
      </c>
      <c r="K491" s="15">
        <f>IF(OR(J491="",$G$1279=0),"",J491/$G$1279*100)</f>
      </c>
      <c r="L491" s="12" t="str">
        <f>IF(C491-O491&gt;0,C491-O491,"")</f>
        <v/>
      </c>
      <c r="M491" s="14" t="str">
        <f>IF(L491="","",F491*L491)</f>
        <v/>
      </c>
      <c r="N491" s="15">
        <f>IF(OR(M491="",$G$1279=0),"",M491/$G$1279*100)</f>
      </c>
      <c r="O491" s="12">
        <v>15.91</v>
      </c>
      <c r="P491" s="14">
        <f>F491*O491</f>
        <v>306305.5249</v>
      </c>
      <c r="Q491" s="15">
        <f>IF($P$1279=0,0,P491/$P$1279*100)</f>
      </c>
      <c r="R491" s="10" t="str">
        <f>IF(O491=C491,"TETAP",IF(C491=0,"BARU",IF(O491=0,"HAPUS",IF(O491&gt;C491,"TAMBAH","KURANG"))))</f>
        <v>TETAP</v>
      </c>
    </row>
    <row r="492" spans="1:18" x14ac:dyDescent="0.25">
      <c r="A492" s="10" t="s">
        <v>289</v>
      </c>
      <c r="B492" s="18" t="s">
        <v>468</v>
      </c>
      <c r="C492" s="12">
        <v>1.8</v>
      </c>
      <c r="D492" s="12">
        <v>0</v>
      </c>
      <c r="E492" s="10" t="s">
        <v>159</v>
      </c>
      <c r="F492" s="14">
        <v>1504340.14</v>
      </c>
      <c r="G492" s="14">
        <f>F492*C492</f>
        <v>2707812.252</v>
      </c>
      <c r="H492" s="15">
        <f>IF($G$1279=0,0,G492/$G$1279*100)</f>
      </c>
      <c r="I492" s="12" t="str">
        <f>IF(O492-C492&gt;0,O492-C492,"")</f>
        <v/>
      </c>
      <c r="J492" s="14" t="str">
        <f>IF(I492="","",F492*I492)</f>
        <v/>
      </c>
      <c r="K492" s="15">
        <f>IF(OR(J492="",$G$1279=0),"",J492/$G$1279*100)</f>
      </c>
      <c r="L492" s="12" t="str">
        <f>IF(C492-O492&gt;0,C492-O492,"")</f>
        <v/>
      </c>
      <c r="M492" s="14" t="str">
        <f>IF(L492="","",F492*L492)</f>
        <v/>
      </c>
      <c r="N492" s="15">
        <f>IF(OR(M492="",$G$1279=0),"",M492/$G$1279*100)</f>
      </c>
      <c r="O492" s="12">
        <v>1.8</v>
      </c>
      <c r="P492" s="14">
        <f>F492*O492</f>
        <v>2707812.252</v>
      </c>
      <c r="Q492" s="15">
        <f>IF($P$1279=0,0,P492/$P$1279*100)</f>
      </c>
      <c r="R492" s="10" t="str">
        <f>IF(O492=C492,"TETAP",IF(C492=0,"BARU",IF(O492=0,"HAPUS",IF(O492&gt;C492,"TAMBAH","KURANG"))))</f>
        <v>TETAP</v>
      </c>
    </row>
    <row r="493" spans="1:18" x14ac:dyDescent="0.25">
      <c r="A493" s="5" t="s">
        <v>115</v>
      </c>
      <c r="B493" s="17" t="s">
        <v>474</v>
      </c>
      <c r="C493" s="7"/>
      <c r="D493" s="7"/>
      <c r="E493" s="5"/>
      <c r="F493" s="8"/>
      <c r="G493" s="8"/>
      <c r="H493" s="9"/>
      <c r="I493" s="7"/>
      <c r="J493" s="8"/>
      <c r="K493" s="9"/>
      <c r="L493" s="7"/>
      <c r="M493" s="8"/>
      <c r="N493" s="9"/>
      <c r="O493" s="7"/>
      <c r="P493" s="8"/>
      <c r="Q493" s="9"/>
      <c r="R493" s="5"/>
    </row>
    <row r="494" spans="1:18" x14ac:dyDescent="0.25">
      <c r="A494" s="10" t="s">
        <v>117</v>
      </c>
      <c r="B494" s="18" t="s">
        <v>267</v>
      </c>
      <c r="C494" s="12">
        <v>4.84</v>
      </c>
      <c r="D494" s="12">
        <v>0</v>
      </c>
      <c r="E494" s="10" t="s">
        <v>26</v>
      </c>
      <c r="F494" s="14">
        <v>243079.61</v>
      </c>
      <c r="G494" s="14">
        <f>F494*C494</f>
        <v>1176505.3124</v>
      </c>
      <c r="H494" s="15">
        <f>IF($G$1279=0,0,G494/$G$1279*100)</f>
      </c>
      <c r="I494" s="12" t="str">
        <f>IF(O494-C494&gt;0,O494-C494,"")</f>
        <v/>
      </c>
      <c r="J494" s="14" t="str">
        <f>IF(I494="","",F494*I494)</f>
        <v/>
      </c>
      <c r="K494" s="15">
        <f>IF(OR(J494="",$G$1279=0),"",J494/$G$1279*100)</f>
      </c>
      <c r="L494" s="12" t="str">
        <f>IF(C494-O494&gt;0,C494-O494,"")</f>
        <v/>
      </c>
      <c r="M494" s="14" t="str">
        <f>IF(L494="","",F494*L494)</f>
        <v/>
      </c>
      <c r="N494" s="15">
        <f>IF(OR(M494="",$G$1279=0),"",M494/$G$1279*100)</f>
      </c>
      <c r="O494" s="12">
        <v>4.84</v>
      </c>
      <c r="P494" s="14">
        <f>F494*O494</f>
        <v>1176505.3124</v>
      </c>
      <c r="Q494" s="15">
        <f>IF($P$1279=0,0,P494/$P$1279*100)</f>
      </c>
      <c r="R494" s="10" t="str">
        <f>IF(O494=C494,"TETAP",IF(C494=0,"BARU",IF(O494=0,"HAPUS",IF(O494&gt;C494,"TAMBAH","KURANG"))))</f>
        <v>TETAP</v>
      </c>
    </row>
    <row r="495" spans="1:18" x14ac:dyDescent="0.25">
      <c r="A495" s="10" t="s">
        <v>120</v>
      </c>
      <c r="B495" s="18" t="s">
        <v>473</v>
      </c>
      <c r="C495" s="12">
        <v>35.14</v>
      </c>
      <c r="D495" s="12">
        <v>0</v>
      </c>
      <c r="E495" s="10" t="s">
        <v>169</v>
      </c>
      <c r="F495" s="14">
        <v>19252.39</v>
      </c>
      <c r="G495" s="14">
        <f>F495*C495</f>
        <v>676528.9846</v>
      </c>
      <c r="H495" s="15">
        <f>IF($G$1279=0,0,G495/$G$1279*100)</f>
      </c>
      <c r="I495" s="12" t="str">
        <f>IF(O495-C495&gt;0,O495-C495,"")</f>
        <v/>
      </c>
      <c r="J495" s="14" t="str">
        <f>IF(I495="","",F495*I495)</f>
        <v/>
      </c>
      <c r="K495" s="15">
        <f>IF(OR(J495="",$G$1279=0),"",J495/$G$1279*100)</f>
      </c>
      <c r="L495" s="12" t="str">
        <f>IF(C495-O495&gt;0,C495-O495,"")</f>
        <v/>
      </c>
      <c r="M495" s="14" t="str">
        <f>IF(L495="","",F495*L495)</f>
        <v/>
      </c>
      <c r="N495" s="15">
        <f>IF(OR(M495="",$G$1279=0),"",M495/$G$1279*100)</f>
      </c>
      <c r="O495" s="12">
        <v>35.14</v>
      </c>
      <c r="P495" s="14">
        <f>F495*O495</f>
        <v>676528.9846</v>
      </c>
      <c r="Q495" s="15">
        <f>IF($P$1279=0,0,P495/$P$1279*100)</f>
      </c>
      <c r="R495" s="10" t="str">
        <f>IF(O495=C495,"TETAP",IF(C495=0,"BARU",IF(O495=0,"HAPUS",IF(O495&gt;C495,"TAMBAH","KURANG"))))</f>
        <v>TETAP</v>
      </c>
    </row>
    <row r="496" spans="1:18" x14ac:dyDescent="0.25">
      <c r="A496" s="10" t="s">
        <v>122</v>
      </c>
      <c r="B496" s="18" t="s">
        <v>374</v>
      </c>
      <c r="C496" s="12">
        <v>0.57</v>
      </c>
      <c r="D496" s="12">
        <v>0</v>
      </c>
      <c r="E496" s="10" t="s">
        <v>159</v>
      </c>
      <c r="F496" s="14">
        <v>1399567.05</v>
      </c>
      <c r="G496" s="14">
        <f>F496*C496</f>
        <v>797753.2185</v>
      </c>
      <c r="H496" s="15">
        <f>IF($G$1279=0,0,G496/$G$1279*100)</f>
      </c>
      <c r="I496" s="12" t="str">
        <f>IF(O496-C496&gt;0,O496-C496,"")</f>
        <v/>
      </c>
      <c r="J496" s="14" t="str">
        <f>IF(I496="","",F496*I496)</f>
        <v/>
      </c>
      <c r="K496" s="15">
        <f>IF(OR(J496="",$G$1279=0),"",J496/$G$1279*100)</f>
      </c>
      <c r="L496" s="12" t="str">
        <f>IF(C496-O496&gt;0,C496-O496,"")</f>
        <v/>
      </c>
      <c r="M496" s="14" t="str">
        <f>IF(L496="","",F496*L496)</f>
        <v/>
      </c>
      <c r="N496" s="15">
        <f>IF(OR(M496="",$G$1279=0),"",M496/$G$1279*100)</f>
      </c>
      <c r="O496" s="12">
        <v>0.57</v>
      </c>
      <c r="P496" s="14">
        <f>F496*O496</f>
        <v>797753.2185</v>
      </c>
      <c r="Q496" s="15">
        <f>IF($P$1279=0,0,P496/$P$1279*100)</f>
      </c>
      <c r="R496" s="10" t="str">
        <f>IF(O496=C496,"TETAP",IF(C496=0,"BARU",IF(O496=0,"HAPUS",IF(O496&gt;C496,"TAMBAH","KURANG"))))</f>
        <v>TETAP</v>
      </c>
    </row>
    <row r="497" spans="1:18" x14ac:dyDescent="0.25">
      <c r="A497" s="5" t="s">
        <v>132</v>
      </c>
      <c r="B497" s="17" t="s">
        <v>475</v>
      </c>
      <c r="C497" s="7"/>
      <c r="D497" s="7"/>
      <c r="E497" s="5"/>
      <c r="F497" s="8"/>
      <c r="G497" s="8"/>
      <c r="H497" s="9"/>
      <c r="I497" s="7"/>
      <c r="J497" s="8"/>
      <c r="K497" s="9"/>
      <c r="L497" s="7"/>
      <c r="M497" s="8"/>
      <c r="N497" s="9"/>
      <c r="O497" s="7"/>
      <c r="P497" s="8"/>
      <c r="Q497" s="9"/>
      <c r="R497" s="5"/>
    </row>
    <row r="498" spans="1:18" x14ac:dyDescent="0.25">
      <c r="A498" s="10" t="s">
        <v>134</v>
      </c>
      <c r="B498" s="18" t="s">
        <v>267</v>
      </c>
      <c r="C498" s="12">
        <v>0.6</v>
      </c>
      <c r="D498" s="12">
        <v>0</v>
      </c>
      <c r="E498" s="10" t="s">
        <v>26</v>
      </c>
      <c r="F498" s="14">
        <v>243079.61</v>
      </c>
      <c r="G498" s="14">
        <f>F498*C498</f>
        <v>145847.76599999997</v>
      </c>
      <c r="H498" s="15">
        <f>IF($G$1279=0,0,G498/$G$1279*100)</f>
      </c>
      <c r="I498" s="12" t="str">
        <f>IF(O498-C498&gt;0,O498-C498,"")</f>
        <v/>
      </c>
      <c r="J498" s="14" t="str">
        <f>IF(I498="","",F498*I498)</f>
        <v/>
      </c>
      <c r="K498" s="15">
        <f>IF(OR(J498="",$G$1279=0),"",J498/$G$1279*100)</f>
      </c>
      <c r="L498" s="12" t="str">
        <f>IF(C498-O498&gt;0,C498-O498,"")</f>
        <v/>
      </c>
      <c r="M498" s="14" t="str">
        <f>IF(L498="","",F498*L498)</f>
        <v/>
      </c>
      <c r="N498" s="15">
        <f>IF(OR(M498="",$G$1279=0),"",M498/$G$1279*100)</f>
      </c>
      <c r="O498" s="12">
        <v>0.6</v>
      </c>
      <c r="P498" s="14">
        <f>F498*O498</f>
        <v>145847.76599999997</v>
      </c>
      <c r="Q498" s="15">
        <f>IF($P$1279=0,0,P498/$P$1279*100)</f>
      </c>
      <c r="R498" s="10" t="str">
        <f>IF(O498=C498,"TETAP",IF(C498=0,"BARU",IF(O498=0,"HAPUS",IF(O498&gt;C498,"TAMBAH","KURANG"))))</f>
        <v>TETAP</v>
      </c>
    </row>
    <row r="499" spans="1:18" x14ac:dyDescent="0.25">
      <c r="A499" s="10" t="s">
        <v>136</v>
      </c>
      <c r="B499" s="18" t="s">
        <v>467</v>
      </c>
      <c r="C499" s="12">
        <v>4.32</v>
      </c>
      <c r="D499" s="12">
        <v>0</v>
      </c>
      <c r="E499" s="10" t="s">
        <v>169</v>
      </c>
      <c r="F499" s="14">
        <v>19252.39</v>
      </c>
      <c r="G499" s="14">
        <f>F499*C499</f>
        <v>83170.3248</v>
      </c>
      <c r="H499" s="15">
        <f>IF($G$1279=0,0,G499/$G$1279*100)</f>
      </c>
      <c r="I499" s="12" t="str">
        <f>IF(O499-C499&gt;0,O499-C499,"")</f>
        <v/>
      </c>
      <c r="J499" s="14" t="str">
        <f>IF(I499="","",F499*I499)</f>
        <v/>
      </c>
      <c r="K499" s="15">
        <f>IF(OR(J499="",$G$1279=0),"",J499/$G$1279*100)</f>
      </c>
      <c r="L499" s="12" t="str">
        <f>IF(C499-O499&gt;0,C499-O499,"")</f>
        <v/>
      </c>
      <c r="M499" s="14" t="str">
        <f>IF(L499="","",F499*L499)</f>
        <v/>
      </c>
      <c r="N499" s="15">
        <f>IF(OR(M499="",$G$1279=0),"",M499/$G$1279*100)</f>
      </c>
      <c r="O499" s="12">
        <v>4.32</v>
      </c>
      <c r="P499" s="14">
        <f>F499*O499</f>
        <v>83170.3248</v>
      </c>
      <c r="Q499" s="15">
        <f>IF($P$1279=0,0,P499/$P$1279*100)</f>
      </c>
      <c r="R499" s="10" t="str">
        <f>IF(O499=C499,"TETAP",IF(C499=0,"BARU",IF(O499=0,"HAPUS",IF(O499&gt;C499,"TAMBAH","KURANG"))))</f>
        <v>TETAP</v>
      </c>
    </row>
    <row r="500" spans="1:18" x14ac:dyDescent="0.25">
      <c r="A500" s="10" t="s">
        <v>381</v>
      </c>
      <c r="B500" s="18" t="s">
        <v>476</v>
      </c>
      <c r="C500" s="12">
        <v>0.24</v>
      </c>
      <c r="D500" s="12">
        <v>0</v>
      </c>
      <c r="E500" s="10" t="s">
        <v>169</v>
      </c>
      <c r="F500" s="14">
        <v>19252.39</v>
      </c>
      <c r="G500" s="14">
        <f>F500*C500</f>
        <v>4620.5736</v>
      </c>
      <c r="H500" s="15">
        <f>IF($G$1279=0,0,G500/$G$1279*100)</f>
      </c>
      <c r="I500" s="12" t="str">
        <f>IF(O500-C500&gt;0,O500-C500,"")</f>
        <v/>
      </c>
      <c r="J500" s="14" t="str">
        <f>IF(I500="","",F500*I500)</f>
        <v/>
      </c>
      <c r="K500" s="15">
        <f>IF(OR(J500="",$G$1279=0),"",J500/$G$1279*100)</f>
      </c>
      <c r="L500" s="12" t="str">
        <f>IF(C500-O500&gt;0,C500-O500,"")</f>
        <v/>
      </c>
      <c r="M500" s="14" t="str">
        <f>IF(L500="","",F500*L500)</f>
        <v/>
      </c>
      <c r="N500" s="15">
        <f>IF(OR(M500="",$G$1279=0),"",M500/$G$1279*100)</f>
      </c>
      <c r="O500" s="12">
        <v>0.24</v>
      </c>
      <c r="P500" s="14">
        <f>F500*O500</f>
        <v>4620.5736</v>
      </c>
      <c r="Q500" s="15">
        <f>IF($P$1279=0,0,P500/$P$1279*100)</f>
      </c>
      <c r="R500" s="10" t="str">
        <f>IF(O500=C500,"TETAP",IF(C500=0,"BARU",IF(O500=0,"HAPUS",IF(O500&gt;C500,"TAMBAH","KURANG"))))</f>
        <v>TETAP</v>
      </c>
    </row>
    <row r="501" spans="1:18" x14ac:dyDescent="0.25">
      <c r="A501" s="10" t="s">
        <v>382</v>
      </c>
      <c r="B501" s="18" t="s">
        <v>374</v>
      </c>
      <c r="C501" s="12">
        <v>0.04</v>
      </c>
      <c r="D501" s="12">
        <v>0</v>
      </c>
      <c r="E501" s="10" t="s">
        <v>159</v>
      </c>
      <c r="F501" s="14">
        <v>1399567.05</v>
      </c>
      <c r="G501" s="14">
        <f>F501*C501</f>
        <v>55982.682</v>
      </c>
      <c r="H501" s="15">
        <f>IF($G$1279=0,0,G501/$G$1279*100)</f>
      </c>
      <c r="I501" s="12" t="str">
        <f>IF(O501-C501&gt;0,O501-C501,"")</f>
        <v/>
      </c>
      <c r="J501" s="14" t="str">
        <f>IF(I501="","",F501*I501)</f>
        <v/>
      </c>
      <c r="K501" s="15">
        <f>IF(OR(J501="",$G$1279=0),"",J501/$G$1279*100)</f>
      </c>
      <c r="L501" s="12" t="str">
        <f>IF(C501-O501&gt;0,C501-O501,"")</f>
        <v/>
      </c>
      <c r="M501" s="14" t="str">
        <f>IF(L501="","",F501*L501)</f>
        <v/>
      </c>
      <c r="N501" s="15">
        <f>IF(OR(M501="",$G$1279=0),"",M501/$G$1279*100)</f>
      </c>
      <c r="O501" s="12">
        <v>0.04</v>
      </c>
      <c r="P501" s="14">
        <f>F501*O501</f>
        <v>55982.682</v>
      </c>
      <c r="Q501" s="15">
        <f>IF($P$1279=0,0,P501/$P$1279*100)</f>
      </c>
      <c r="R501" s="10" t="str">
        <f>IF(O501=C501,"TETAP",IF(C501=0,"BARU",IF(O501=0,"HAPUS",IF(O501&gt;C501,"TAMBAH","KURANG"))))</f>
        <v>TETAP</v>
      </c>
    </row>
    <row r="502" spans="1:18" x14ac:dyDescent="0.25">
      <c r="A502" s="10" t="s">
        <v>138</v>
      </c>
      <c r="B502" s="20" t="s">
        <v>477</v>
      </c>
      <c r="C502" s="12">
        <v>23.56</v>
      </c>
      <c r="D502" s="12">
        <v>0</v>
      </c>
      <c r="E502" s="10" t="s">
        <v>26</v>
      </c>
      <c r="F502" s="14">
        <v>141562.17</v>
      </c>
      <c r="G502" s="14">
        <f>F502*C502</f>
        <v>3335204.7252</v>
      </c>
      <c r="H502" s="15">
        <f>IF($G$1279=0,0,G502/$G$1279*100)</f>
      </c>
      <c r="I502" s="12" t="str">
        <f>IF(O502-C502&gt;0,O502-C502,"")</f>
        <v/>
      </c>
      <c r="J502" s="14" t="str">
        <f>IF(I502="","",F502*I502)</f>
        <v/>
      </c>
      <c r="K502" s="15">
        <f>IF(OR(J502="",$G$1279=0),"",J502/$G$1279*100)</f>
      </c>
      <c r="L502" s="12" t="str">
        <f>IF(C502-O502&gt;0,C502-O502,"")</f>
        <v/>
      </c>
      <c r="M502" s="14" t="str">
        <f>IF(L502="","",F502*L502)</f>
        <v/>
      </c>
      <c r="N502" s="15">
        <f>IF(OR(M502="",$G$1279=0),"",M502/$G$1279*100)</f>
      </c>
      <c r="O502" s="12">
        <v>23.56</v>
      </c>
      <c r="P502" s="14">
        <f>F502*O502</f>
        <v>3335204.7252</v>
      </c>
      <c r="Q502" s="15">
        <f>IF($P$1279=0,0,P502/$P$1279*100)</f>
      </c>
      <c r="R502" s="10" t="str">
        <f>IF(O502=C502,"TETAP",IF(C502=0,"BARU",IF(O502=0,"HAPUS",IF(O502&gt;C502,"TAMBAH","KURANG"))))</f>
        <v>TETAP</v>
      </c>
    </row>
    <row r="503" spans="1:18" x14ac:dyDescent="0.25">
      <c r="A503" s="10" t="s">
        <v>144</v>
      </c>
      <c r="B503" s="20" t="s">
        <v>478</v>
      </c>
      <c r="C503" s="12">
        <v>22</v>
      </c>
      <c r="D503" s="12">
        <v>0</v>
      </c>
      <c r="E503" s="10" t="s">
        <v>37</v>
      </c>
      <c r="F503" s="14">
        <v>114468.91</v>
      </c>
      <c r="G503" s="14">
        <f>F503*C503</f>
        <v>2518316.02</v>
      </c>
      <c r="H503" s="15">
        <f>IF($G$1279=0,0,G503/$G$1279*100)</f>
      </c>
      <c r="I503" s="12" t="str">
        <f>IF(O503-C503&gt;0,O503-C503,"")</f>
        <v/>
      </c>
      <c r="J503" s="14" t="str">
        <f>IF(I503="","",F503*I503)</f>
        <v/>
      </c>
      <c r="K503" s="15">
        <f>IF(OR(J503="",$G$1279=0),"",J503/$G$1279*100)</f>
      </c>
      <c r="L503" s="12" t="str">
        <f>IF(C503-O503&gt;0,C503-O503,"")</f>
        <v/>
      </c>
      <c r="M503" s="14" t="str">
        <f>IF(L503="","",F503*L503)</f>
        <v/>
      </c>
      <c r="N503" s="15">
        <f>IF(OR(M503="",$G$1279=0),"",M503/$G$1279*100)</f>
      </c>
      <c r="O503" s="12">
        <v>22</v>
      </c>
      <c r="P503" s="14">
        <f>F503*O503</f>
        <v>2518316.02</v>
      </c>
      <c r="Q503" s="15">
        <f>IF($P$1279=0,0,P503/$P$1279*100)</f>
      </c>
      <c r="R503" s="10" t="str">
        <f>IF(O503=C503,"TETAP",IF(C503=0,"BARU",IF(O503=0,"HAPUS",IF(O503&gt;C503,"TAMBAH","KURANG"))))</f>
        <v>TETAP</v>
      </c>
    </row>
    <row r="504" spans="1:18" x14ac:dyDescent="0.25">
      <c r="A504" s="10" t="s">
        <v>150</v>
      </c>
      <c r="B504" s="20" t="s">
        <v>479</v>
      </c>
      <c r="C504" s="12">
        <v>1</v>
      </c>
      <c r="D504" s="12">
        <v>0</v>
      </c>
      <c r="E504" s="10" t="s">
        <v>119</v>
      </c>
      <c r="F504" s="14">
        <v>10348232.64</v>
      </c>
      <c r="G504" s="14">
        <f>F504*C504</f>
        <v>10348232.64</v>
      </c>
      <c r="H504" s="15">
        <f>IF($G$1279=0,0,G504/$G$1279*100)</f>
      </c>
      <c r="I504" s="12" t="str">
        <f>IF(O504-C504&gt;0,O504-C504,"")</f>
        <v/>
      </c>
      <c r="J504" s="14" t="str">
        <f>IF(I504="","",F504*I504)</f>
        <v/>
      </c>
      <c r="K504" s="15">
        <f>IF(OR(J504="",$G$1279=0),"",J504/$G$1279*100)</f>
      </c>
      <c r="L504" s="12" t="str">
        <f>IF(C504-O504&gt;0,C504-O504,"")</f>
        <v/>
      </c>
      <c r="M504" s="14" t="str">
        <f>IF(L504="","",F504*L504)</f>
        <v/>
      </c>
      <c r="N504" s="15">
        <f>IF(OR(M504="",$G$1279=0),"",M504/$G$1279*100)</f>
      </c>
      <c r="O504" s="12">
        <v>1</v>
      </c>
      <c r="P504" s="14">
        <f>F504*O504</f>
        <v>10348232.64</v>
      </c>
      <c r="Q504" s="15">
        <f>IF($P$1279=0,0,P504/$P$1279*100)</f>
      </c>
      <c r="R504" s="10" t="str">
        <f>IF(O504=C504,"TETAP",IF(C504=0,"BARU",IF(O504=0,"HAPUS",IF(O504&gt;C504,"TAMBAH","KURANG"))))</f>
        <v>TETAP</v>
      </c>
    </row>
    <row r="505" spans="1:18" x14ac:dyDescent="0.25">
      <c r="A505" s="10" t="s">
        <v>152</v>
      </c>
      <c r="B505" s="20" t="s">
        <v>480</v>
      </c>
      <c r="C505" s="12">
        <v>10</v>
      </c>
      <c r="D505" s="12">
        <v>0</v>
      </c>
      <c r="E505" s="10" t="s">
        <v>37</v>
      </c>
      <c r="F505" s="14">
        <v>159774.02</v>
      </c>
      <c r="G505" s="14">
        <f>F505*C505</f>
        <v>1597740.2</v>
      </c>
      <c r="H505" s="15">
        <f>IF($G$1279=0,0,G505/$G$1279*100)</f>
      </c>
      <c r="I505" s="12" t="str">
        <f>IF(O505-C505&gt;0,O505-C505,"")</f>
        <v/>
      </c>
      <c r="J505" s="14" t="str">
        <f>IF(I505="","",F505*I505)</f>
        <v/>
      </c>
      <c r="K505" s="15">
        <f>IF(OR(J505="",$G$1279=0),"",J505/$G$1279*100)</f>
      </c>
      <c r="L505" s="12" t="str">
        <f>IF(C505-O505&gt;0,C505-O505,"")</f>
        <v/>
      </c>
      <c r="M505" s="14" t="str">
        <f>IF(L505="","",F505*L505)</f>
        <v/>
      </c>
      <c r="N505" s="15">
        <f>IF(OR(M505="",$G$1279=0),"",M505/$G$1279*100)</f>
      </c>
      <c r="O505" s="12">
        <v>10</v>
      </c>
      <c r="P505" s="14">
        <f>F505*O505</f>
        <v>1597740.2</v>
      </c>
      <c r="Q505" s="15">
        <f>IF($P$1279=0,0,P505/$P$1279*100)</f>
      </c>
      <c r="R505" s="10" t="str">
        <f>IF(O505=C505,"TETAP",IF(C505=0,"BARU",IF(O505=0,"HAPUS",IF(O505&gt;C505,"TAMBAH","KURANG"))))</f>
        <v>TETAP</v>
      </c>
    </row>
    <row r="506" spans="1:18" x14ac:dyDescent="0.25">
      <c r="A506" s="5" t="s">
        <v>481</v>
      </c>
      <c r="B506" s="6" t="s">
        <v>482</v>
      </c>
      <c r="C506" s="7"/>
      <c r="D506" s="7"/>
      <c r="E506" s="5"/>
      <c r="F506" s="8"/>
      <c r="G506" s="8"/>
      <c r="H506" s="9"/>
      <c r="I506" s="7"/>
      <c r="J506" s="8"/>
      <c r="K506" s="9"/>
      <c r="L506" s="7"/>
      <c r="M506" s="8"/>
      <c r="N506" s="9"/>
      <c r="O506" s="7"/>
      <c r="P506" s="8"/>
      <c r="Q506" s="9"/>
      <c r="R506" s="5"/>
    </row>
    <row r="507" spans="1:18" x14ac:dyDescent="0.25">
      <c r="A507" s="10" t="s">
        <v>24</v>
      </c>
      <c r="B507" s="11" t="s">
        <v>483</v>
      </c>
      <c r="C507" s="12">
        <v>30</v>
      </c>
      <c r="D507" s="12">
        <v>0</v>
      </c>
      <c r="E507" s="10" t="s">
        <v>159</v>
      </c>
      <c r="F507" s="14">
        <v>417480.9</v>
      </c>
      <c r="G507" s="14">
        <f>F507*C507</f>
        <v>12524427</v>
      </c>
      <c r="H507" s="15">
        <f>IF($G$1279=0,0,G507/$G$1279*100)</f>
      </c>
      <c r="I507" s="12" t="str">
        <f>IF(O507-C507&gt;0,O507-C507,"")</f>
        <v/>
      </c>
      <c r="J507" s="14" t="str">
        <f>IF(I507="","",F507*I507)</f>
        <v/>
      </c>
      <c r="K507" s="15">
        <f>IF(OR(J507="",$G$1279=0),"",J507/$G$1279*100)</f>
      </c>
      <c r="L507" s="12" t="str">
        <f>IF(C507-O507&gt;0,C507-O507,"")</f>
        <v/>
      </c>
      <c r="M507" s="14" t="str">
        <f>IF(L507="","",F507*L507)</f>
        <v/>
      </c>
      <c r="N507" s="15">
        <f>IF(OR(M507="",$G$1279=0),"",M507/$G$1279*100)</f>
      </c>
      <c r="O507" s="12">
        <v>30</v>
      </c>
      <c r="P507" s="14">
        <f>F507*O507</f>
        <v>12524427</v>
      </c>
      <c r="Q507" s="15">
        <f>IF($P$1279=0,0,P507/$P$1279*100)</f>
      </c>
      <c r="R507" s="10" t="str">
        <f>IF(O507=C507,"TETAP",IF(C507=0,"BARU",IF(O507=0,"HAPUS",IF(O507&gt;C507,"TAMBAH","KURANG"))))</f>
        <v>TETAP</v>
      </c>
    </row>
    <row r="508" spans="1:18" x14ac:dyDescent="0.25">
      <c r="A508" s="10" t="s">
        <v>27</v>
      </c>
      <c r="B508" s="11" t="s">
        <v>484</v>
      </c>
      <c r="C508" s="12">
        <v>30</v>
      </c>
      <c r="D508" s="12">
        <v>0</v>
      </c>
      <c r="E508" s="10" t="s">
        <v>159</v>
      </c>
      <c r="F508" s="14">
        <v>39994.39</v>
      </c>
      <c r="G508" s="14">
        <f>F508*C508</f>
        <v>1199831.7</v>
      </c>
      <c r="H508" s="15">
        <f>IF($G$1279=0,0,G508/$G$1279*100)</f>
      </c>
      <c r="I508" s="12" t="str">
        <f>IF(O508-C508&gt;0,O508-C508,"")</f>
        <v/>
      </c>
      <c r="J508" s="14" t="str">
        <f>IF(I508="","",F508*I508)</f>
        <v/>
      </c>
      <c r="K508" s="15">
        <f>IF(OR(J508="",$G$1279=0),"",J508/$G$1279*100)</f>
      </c>
      <c r="L508" s="12" t="str">
        <f>IF(C508-O508&gt;0,C508-O508,"")</f>
        <v/>
      </c>
      <c r="M508" s="14" t="str">
        <f>IF(L508="","",F508*L508)</f>
        <v/>
      </c>
      <c r="N508" s="15">
        <f>IF(OR(M508="",$G$1279=0),"",M508/$G$1279*100)</f>
      </c>
      <c r="O508" s="12">
        <v>30</v>
      </c>
      <c r="P508" s="14">
        <f>F508*O508</f>
        <v>1199831.7</v>
      </c>
      <c r="Q508" s="15">
        <f>IF($P$1279=0,0,P508/$P$1279*100)</f>
      </c>
      <c r="R508" s="10" t="str">
        <f>IF(O508=C508,"TETAP",IF(C508=0,"BARU",IF(O508=0,"HAPUS",IF(O508&gt;C508,"TAMBAH","KURANG"))))</f>
        <v>TETAP</v>
      </c>
    </row>
    <row r="509" spans="1:18" x14ac:dyDescent="0.25">
      <c r="A509" s="10" t="s">
        <v>30</v>
      </c>
      <c r="B509" s="11" t="s">
        <v>485</v>
      </c>
      <c r="C509" s="12">
        <v>15</v>
      </c>
      <c r="D509" s="12">
        <v>0</v>
      </c>
      <c r="E509" s="10" t="s">
        <v>159</v>
      </c>
      <c r="F509" s="14">
        <v>416974.77</v>
      </c>
      <c r="G509" s="14">
        <f>F509*C509</f>
        <v>6254621.550000001</v>
      </c>
      <c r="H509" s="15">
        <f>IF($G$1279=0,0,G509/$G$1279*100)</f>
      </c>
      <c r="I509" s="12" t="str">
        <f>IF(O509-C509&gt;0,O509-C509,"")</f>
        <v/>
      </c>
      <c r="J509" s="14" t="str">
        <f>IF(I509="","",F509*I509)</f>
        <v/>
      </c>
      <c r="K509" s="15">
        <f>IF(OR(J509="",$G$1279=0),"",J509/$G$1279*100)</f>
      </c>
      <c r="L509" s="12" t="str">
        <f>IF(C509-O509&gt;0,C509-O509,"")</f>
        <v/>
      </c>
      <c r="M509" s="14" t="str">
        <f>IF(L509="","",F509*L509)</f>
        <v/>
      </c>
      <c r="N509" s="15">
        <f>IF(OR(M509="",$G$1279=0),"",M509/$G$1279*100)</f>
      </c>
      <c r="O509" s="12">
        <v>15</v>
      </c>
      <c r="P509" s="14">
        <f>F509*O509</f>
        <v>6254621.550000001</v>
      </c>
      <c r="Q509" s="15">
        <f>IF($P$1279=0,0,P509/$P$1279*100)</f>
      </c>
      <c r="R509" s="10" t="str">
        <f>IF(O509=C509,"TETAP",IF(C509=0,"BARU",IF(O509=0,"HAPUS",IF(O509&gt;C509,"TAMBAH","KURANG"))))</f>
        <v>TETAP</v>
      </c>
    </row>
    <row r="510" spans="1:18" x14ac:dyDescent="0.25">
      <c r="A510" s="10" t="s">
        <v>33</v>
      </c>
      <c r="B510" s="11" t="s">
        <v>486</v>
      </c>
      <c r="C510" s="12">
        <v>15</v>
      </c>
      <c r="D510" s="12">
        <v>0</v>
      </c>
      <c r="E510" s="10" t="s">
        <v>159</v>
      </c>
      <c r="F510" s="14">
        <v>39994.39</v>
      </c>
      <c r="G510" s="14">
        <f>F510*C510</f>
        <v>599915.85</v>
      </c>
      <c r="H510" s="15">
        <f>IF($G$1279=0,0,G510/$G$1279*100)</f>
      </c>
      <c r="I510" s="12" t="str">
        <f>IF(O510-C510&gt;0,O510-C510,"")</f>
        <v/>
      </c>
      <c r="J510" s="14" t="str">
        <f>IF(I510="","",F510*I510)</f>
        <v/>
      </c>
      <c r="K510" s="15">
        <f>IF(OR(J510="",$G$1279=0),"",J510/$G$1279*100)</f>
      </c>
      <c r="L510" s="12" t="str">
        <f>IF(C510-O510&gt;0,C510-O510,"")</f>
        <v/>
      </c>
      <c r="M510" s="14" t="str">
        <f>IF(L510="","",F510*L510)</f>
        <v/>
      </c>
      <c r="N510" s="15">
        <f>IF(OR(M510="",$G$1279=0),"",M510/$G$1279*100)</f>
      </c>
      <c r="O510" s="12">
        <v>15</v>
      </c>
      <c r="P510" s="14">
        <f>F510*O510</f>
        <v>599915.85</v>
      </c>
      <c r="Q510" s="15">
        <f>IF($P$1279=0,0,P510/$P$1279*100)</f>
      </c>
      <c r="R510" s="10" t="str">
        <f>IF(O510=C510,"TETAP",IF(C510=0,"BARU",IF(O510=0,"HAPUS",IF(O510&gt;C510,"TAMBAH","KURANG"))))</f>
        <v>TETAP</v>
      </c>
    </row>
    <row r="511" spans="1:18" x14ac:dyDescent="0.25">
      <c r="A511" s="10" t="s">
        <v>35</v>
      </c>
      <c r="B511" s="11" t="s">
        <v>368</v>
      </c>
      <c r="C511" s="12">
        <v>7.5</v>
      </c>
      <c r="D511" s="12">
        <v>0</v>
      </c>
      <c r="E511" s="10" t="s">
        <v>159</v>
      </c>
      <c r="F511" s="14">
        <v>342654.98</v>
      </c>
      <c r="G511" s="14">
        <f>F511*C511</f>
        <v>2569912.3499999996</v>
      </c>
      <c r="H511" s="15">
        <f>IF($G$1279=0,0,G511/$G$1279*100)</f>
      </c>
      <c r="I511" s="12" t="str">
        <f>IF(O511-C511&gt;0,O511-C511,"")</f>
        <v/>
      </c>
      <c r="J511" s="14" t="str">
        <f>IF(I511="","",F511*I511)</f>
        <v/>
      </c>
      <c r="K511" s="15">
        <f>IF(OR(J511="",$G$1279=0),"",J511/$G$1279*100)</f>
      </c>
      <c r="L511" s="12" t="str">
        <f>IF(C511-O511&gt;0,C511-O511,"")</f>
        <v/>
      </c>
      <c r="M511" s="14" t="str">
        <f>IF(L511="","",F511*L511)</f>
        <v/>
      </c>
      <c r="N511" s="15">
        <f>IF(OR(M511="",$G$1279=0),"",M511/$G$1279*100)</f>
      </c>
      <c r="O511" s="12">
        <v>7.5</v>
      </c>
      <c r="P511" s="14">
        <f>F511*O511</f>
        <v>2569912.3499999996</v>
      </c>
      <c r="Q511" s="15">
        <f>IF($P$1279=0,0,P511/$P$1279*100)</f>
      </c>
      <c r="R511" s="10" t="str">
        <f>IF(O511=C511,"TETAP",IF(C511=0,"BARU",IF(O511=0,"HAPUS",IF(O511&gt;C511,"TAMBAH","KURANG"))))</f>
        <v>TETAP</v>
      </c>
    </row>
    <row r="512" spans="1:18" x14ac:dyDescent="0.25">
      <c r="A512" s="10" t="s">
        <v>38</v>
      </c>
      <c r="B512" s="11" t="s">
        <v>487</v>
      </c>
      <c r="C512" s="12">
        <v>150</v>
      </c>
      <c r="D512" s="12">
        <v>0</v>
      </c>
      <c r="E512" s="10" t="s">
        <v>26</v>
      </c>
      <c r="F512" s="14">
        <v>182316.97</v>
      </c>
      <c r="G512" s="14">
        <f>F512*C512</f>
        <v>27347545.5</v>
      </c>
      <c r="H512" s="15">
        <f>IF($G$1279=0,0,G512/$G$1279*100)</f>
      </c>
      <c r="I512" s="12" t="str">
        <f>IF(O512-C512&gt;0,O512-C512,"")</f>
        <v/>
      </c>
      <c r="J512" s="14" t="str">
        <f>IF(I512="","",F512*I512)</f>
        <v/>
      </c>
      <c r="K512" s="15">
        <f>IF(OR(J512="",$G$1279=0),"",J512/$G$1279*100)</f>
      </c>
      <c r="L512" s="12" t="str">
        <f>IF(C512-O512&gt;0,C512-O512,"")</f>
        <v/>
      </c>
      <c r="M512" s="14" t="str">
        <f>IF(L512="","",F512*L512)</f>
        <v/>
      </c>
      <c r="N512" s="15">
        <f>IF(OR(M512="",$G$1279=0),"",M512/$G$1279*100)</f>
      </c>
      <c r="O512" s="12">
        <v>150</v>
      </c>
      <c r="P512" s="14">
        <f>F512*O512</f>
        <v>27347545.5</v>
      </c>
      <c r="Q512" s="15">
        <f>IF($P$1279=0,0,P512/$P$1279*100)</f>
      </c>
      <c r="R512" s="10" t="str">
        <f>IF(O512=C512,"TETAP",IF(C512=0,"BARU",IF(O512=0,"HAPUS",IF(O512&gt;C512,"TAMBAH","KURANG"))))</f>
        <v>TETAP</v>
      </c>
    </row>
    <row r="513" spans="1:18" x14ac:dyDescent="0.25">
      <c r="A513" s="10" t="s">
        <v>108</v>
      </c>
      <c r="B513" s="11" t="s">
        <v>488</v>
      </c>
      <c r="C513" s="12">
        <v>50</v>
      </c>
      <c r="D513" s="12">
        <v>0</v>
      </c>
      <c r="E513" s="10" t="s">
        <v>37</v>
      </c>
      <c r="F513" s="14">
        <v>149559.39</v>
      </c>
      <c r="G513" s="14">
        <f>F513*C513</f>
        <v>7477969.500000001</v>
      </c>
      <c r="H513" s="15">
        <f>IF($G$1279=0,0,G513/$G$1279*100)</f>
      </c>
      <c r="I513" s="12" t="str">
        <f>IF(O513-C513&gt;0,O513-C513,"")</f>
        <v/>
      </c>
      <c r="J513" s="14" t="str">
        <f>IF(I513="","",F513*I513)</f>
        <v/>
      </c>
      <c r="K513" s="15">
        <f>IF(OR(J513="",$G$1279=0),"",J513/$G$1279*100)</f>
      </c>
      <c r="L513" s="12" t="str">
        <f>IF(C513-O513&gt;0,C513-O513,"")</f>
        <v/>
      </c>
      <c r="M513" s="14" t="str">
        <f>IF(L513="","",F513*L513)</f>
        <v/>
      </c>
      <c r="N513" s="15">
        <f>IF(OR(M513="",$G$1279=0),"",M513/$G$1279*100)</f>
      </c>
      <c r="O513" s="12">
        <v>50</v>
      </c>
      <c r="P513" s="14">
        <f>F513*O513</f>
        <v>7477969.500000001</v>
      </c>
      <c r="Q513" s="15">
        <f>IF($P$1279=0,0,P513/$P$1279*100)</f>
      </c>
      <c r="R513" s="10" t="str">
        <f>IF(O513=C513,"TETAP",IF(C513=0,"BARU",IF(O513=0,"HAPUS",IF(O513&gt;C513,"TAMBAH","KURANG"))))</f>
        <v>TETAP</v>
      </c>
    </row>
    <row r="514" spans="1:18" x14ac:dyDescent="0.25">
      <c r="A514" s="5" t="s">
        <v>489</v>
      </c>
      <c r="B514" s="6" t="s">
        <v>490</v>
      </c>
      <c r="C514" s="7"/>
      <c r="D514" s="7"/>
      <c r="E514" s="5"/>
      <c r="F514" s="8"/>
      <c r="G514" s="8"/>
      <c r="H514" s="9"/>
      <c r="I514" s="7"/>
      <c r="J514" s="8"/>
      <c r="K514" s="9"/>
      <c r="L514" s="7"/>
      <c r="M514" s="8"/>
      <c r="N514" s="9"/>
      <c r="O514" s="7"/>
      <c r="P514" s="8"/>
      <c r="Q514" s="9"/>
      <c r="R514" s="5"/>
    </row>
    <row r="515" spans="1:18" x14ac:dyDescent="0.25">
      <c r="A515" s="5" t="s">
        <v>491</v>
      </c>
      <c r="B515" s="16" t="s">
        <v>347</v>
      </c>
      <c r="C515" s="7"/>
      <c r="D515" s="7"/>
      <c r="E515" s="5"/>
      <c r="F515" s="8"/>
      <c r="G515" s="8"/>
      <c r="H515" s="9"/>
      <c r="I515" s="7"/>
      <c r="J515" s="8"/>
      <c r="K515" s="9"/>
      <c r="L515" s="7"/>
      <c r="M515" s="8"/>
      <c r="N515" s="9"/>
      <c r="O515" s="7"/>
      <c r="P515" s="8"/>
      <c r="Q515" s="9"/>
      <c r="R515" s="5"/>
    </row>
    <row r="516" spans="1:18" x14ac:dyDescent="0.25">
      <c r="A516" s="10" t="s">
        <v>24</v>
      </c>
      <c r="B516" s="20" t="s">
        <v>348</v>
      </c>
      <c r="C516" s="12">
        <v>18</v>
      </c>
      <c r="D516" s="12">
        <v>0</v>
      </c>
      <c r="E516" s="10" t="s">
        <v>37</v>
      </c>
      <c r="F516" s="14">
        <v>161600.06</v>
      </c>
      <c r="G516" s="14">
        <f>F516*C516</f>
        <v>2908801.08</v>
      </c>
      <c r="H516" s="15">
        <f>IF($G$1279=0,0,G516/$G$1279*100)</f>
      </c>
      <c r="I516" s="12" t="str">
        <f>IF(O516-C516&gt;0,O516-C516,"")</f>
        <v/>
      </c>
      <c r="J516" s="14" t="str">
        <f>IF(I516="","",F516*I516)</f>
        <v/>
      </c>
      <c r="K516" s="15">
        <f>IF(OR(J516="",$G$1279=0),"",J516/$G$1279*100)</f>
      </c>
      <c r="L516" s="12" t="str">
        <f>IF(C516-O516&gt;0,C516-O516,"")</f>
        <v/>
      </c>
      <c r="M516" s="14" t="str">
        <f>IF(L516="","",F516*L516)</f>
        <v/>
      </c>
      <c r="N516" s="15">
        <f>IF(OR(M516="",$G$1279=0),"",M516/$G$1279*100)</f>
      </c>
      <c r="O516" s="12">
        <v>18</v>
      </c>
      <c r="P516" s="14">
        <f>F516*O516</f>
        <v>2908801.08</v>
      </c>
      <c r="Q516" s="15">
        <f>IF($P$1279=0,0,P516/$P$1279*100)</f>
      </c>
      <c r="R516" s="10" t="str">
        <f>IF(O516=C516,"TETAP",IF(C516=0,"BARU",IF(O516=0,"HAPUS",IF(O516&gt;C516,"TAMBAH","KURANG"))))</f>
        <v>TETAP</v>
      </c>
    </row>
    <row r="517" spans="1:18" x14ac:dyDescent="0.25">
      <c r="A517" s="5" t="s">
        <v>27</v>
      </c>
      <c r="B517" s="17" t="s">
        <v>349</v>
      </c>
      <c r="C517" s="7"/>
      <c r="D517" s="7"/>
      <c r="E517" s="5"/>
      <c r="F517" s="8"/>
      <c r="G517" s="8"/>
      <c r="H517" s="9"/>
      <c r="I517" s="7"/>
      <c r="J517" s="8"/>
      <c r="K517" s="9"/>
      <c r="L517" s="7"/>
      <c r="M517" s="8"/>
      <c r="N517" s="9"/>
      <c r="O517" s="7"/>
      <c r="P517" s="8"/>
      <c r="Q517" s="9"/>
      <c r="R517" s="5"/>
    </row>
    <row r="518" spans="1:18" x14ac:dyDescent="0.25">
      <c r="A518" s="10" t="s">
        <v>165</v>
      </c>
      <c r="B518" s="18" t="s">
        <v>158</v>
      </c>
      <c r="C518" s="12">
        <v>4.8</v>
      </c>
      <c r="D518" s="12">
        <v>0</v>
      </c>
      <c r="E518" s="10" t="s">
        <v>159</v>
      </c>
      <c r="F518" s="14">
        <v>48730.7</v>
      </c>
      <c r="G518" s="14">
        <f>F518*C518</f>
        <v>233907.36</v>
      </c>
      <c r="H518" s="15">
        <f>IF($G$1279=0,0,G518/$G$1279*100)</f>
      </c>
      <c r="I518" s="12" t="str">
        <f>IF(O518-C518&gt;0,O518-C518,"")</f>
        <v/>
      </c>
      <c r="J518" s="14" t="str">
        <f>IF(I518="","",F518*I518)</f>
        <v/>
      </c>
      <c r="K518" s="15">
        <f>IF(OR(J518="",$G$1279=0),"",J518/$G$1279*100)</f>
      </c>
      <c r="L518" s="12" t="str">
        <f>IF(C518-O518&gt;0,C518-O518,"")</f>
        <v/>
      </c>
      <c r="M518" s="14" t="str">
        <f>IF(L518="","",F518*L518)</f>
        <v/>
      </c>
      <c r="N518" s="15">
        <f>IF(OR(M518="",$G$1279=0),"",M518/$G$1279*100)</f>
      </c>
      <c r="O518" s="12">
        <v>4.8</v>
      </c>
      <c r="P518" s="14">
        <f>F518*O518</f>
        <v>233907.36</v>
      </c>
      <c r="Q518" s="15">
        <f>IF($P$1279=0,0,P518/$P$1279*100)</f>
      </c>
      <c r="R518" s="10" t="str">
        <f>IF(O518=C518,"TETAP",IF(C518=0,"BARU",IF(O518=0,"HAPUS",IF(O518&gt;C518,"TAMBAH","KURANG"))))</f>
        <v>TETAP</v>
      </c>
    </row>
    <row r="519" spans="1:18" x14ac:dyDescent="0.25">
      <c r="A519" s="10" t="s">
        <v>167</v>
      </c>
      <c r="B519" s="18" t="s">
        <v>350</v>
      </c>
      <c r="C519" s="12">
        <v>0.28</v>
      </c>
      <c r="D519" s="12">
        <v>0</v>
      </c>
      <c r="E519" s="10" t="s">
        <v>159</v>
      </c>
      <c r="F519" s="14">
        <v>342654.98</v>
      </c>
      <c r="G519" s="14">
        <f>F519*C519</f>
        <v>95943.3944</v>
      </c>
      <c r="H519" s="15">
        <f>IF($G$1279=0,0,G519/$G$1279*100)</f>
      </c>
      <c r="I519" s="12" t="str">
        <f>IF(O519-C519&gt;0,O519-C519,"")</f>
        <v/>
      </c>
      <c r="J519" s="14" t="str">
        <f>IF(I519="","",F519*I519)</f>
        <v/>
      </c>
      <c r="K519" s="15">
        <f>IF(OR(J519="",$G$1279=0),"",J519/$G$1279*100)</f>
      </c>
      <c r="L519" s="12" t="str">
        <f>IF(C519-O519&gt;0,C519-O519,"")</f>
        <v/>
      </c>
      <c r="M519" s="14" t="str">
        <f>IF(L519="","",F519*L519)</f>
        <v/>
      </c>
      <c r="N519" s="15">
        <f>IF(OR(M519="",$G$1279=0),"",M519/$G$1279*100)</f>
      </c>
      <c r="O519" s="12">
        <v>0.28</v>
      </c>
      <c r="P519" s="14">
        <f>F519*O519</f>
        <v>95943.3944</v>
      </c>
      <c r="Q519" s="15">
        <f>IF($P$1279=0,0,P519/$P$1279*100)</f>
      </c>
      <c r="R519" s="10" t="str">
        <f>IF(O519=C519,"TETAP",IF(C519=0,"BARU",IF(O519=0,"HAPUS",IF(O519&gt;C519,"TAMBAH","KURANG"))))</f>
        <v>TETAP</v>
      </c>
    </row>
    <row r="520" spans="1:18" x14ac:dyDescent="0.25">
      <c r="A520" s="10" t="s">
        <v>170</v>
      </c>
      <c r="B520" s="18" t="s">
        <v>351</v>
      </c>
      <c r="C520" s="12">
        <v>0.12</v>
      </c>
      <c r="D520" s="12">
        <v>0</v>
      </c>
      <c r="E520" s="10" t="s">
        <v>159</v>
      </c>
      <c r="F520" s="14">
        <v>1243301.43</v>
      </c>
      <c r="G520" s="14">
        <f>F520*C520</f>
        <v>149196.17159999997</v>
      </c>
      <c r="H520" s="15">
        <f>IF($G$1279=0,0,G520/$G$1279*100)</f>
      </c>
      <c r="I520" s="12" t="str">
        <f>IF(O520-C520&gt;0,O520-C520,"")</f>
        <v/>
      </c>
      <c r="J520" s="14" t="str">
        <f>IF(I520="","",F520*I520)</f>
        <v/>
      </c>
      <c r="K520" s="15">
        <f>IF(OR(J520="",$G$1279=0),"",J520/$G$1279*100)</f>
      </c>
      <c r="L520" s="12" t="str">
        <f>IF(C520-O520&gt;0,C520-O520,"")</f>
        <v/>
      </c>
      <c r="M520" s="14" t="str">
        <f>IF(L520="","",F520*L520)</f>
        <v/>
      </c>
      <c r="N520" s="15">
        <f>IF(OR(M520="",$G$1279=0),"",M520/$G$1279*100)</f>
      </c>
      <c r="O520" s="12">
        <v>0.12</v>
      </c>
      <c r="P520" s="14">
        <f>F520*O520</f>
        <v>149196.17159999997</v>
      </c>
      <c r="Q520" s="15">
        <f>IF($P$1279=0,0,P520/$P$1279*100)</f>
      </c>
      <c r="R520" s="10" t="str">
        <f>IF(O520=C520,"TETAP",IF(C520=0,"BARU",IF(O520=0,"HAPUS",IF(O520&gt;C520,"TAMBAH","KURANG"))))</f>
        <v>TETAP</v>
      </c>
    </row>
    <row r="521" spans="1:18" x14ac:dyDescent="0.25">
      <c r="A521" s="10" t="s">
        <v>172</v>
      </c>
      <c r="B521" s="18" t="s">
        <v>352</v>
      </c>
      <c r="C521" s="12">
        <v>4.8</v>
      </c>
      <c r="D521" s="12">
        <v>0</v>
      </c>
      <c r="E521" s="10" t="s">
        <v>159</v>
      </c>
      <c r="F521" s="14">
        <v>184387.03</v>
      </c>
      <c r="G521" s="14">
        <f>F521*C521</f>
        <v>885057.744</v>
      </c>
      <c r="H521" s="15">
        <f>IF($G$1279=0,0,G521/$G$1279*100)</f>
      </c>
      <c r="I521" s="12" t="str">
        <f>IF(O521-C521&gt;0,O521-C521,"")</f>
        <v/>
      </c>
      <c r="J521" s="14" t="str">
        <f>IF(I521="","",F521*I521)</f>
        <v/>
      </c>
      <c r="K521" s="15">
        <f>IF(OR(J521="",$G$1279=0),"",J521/$G$1279*100)</f>
      </c>
      <c r="L521" s="12" t="str">
        <f>IF(C521-O521&gt;0,C521-O521,"")</f>
        <v/>
      </c>
      <c r="M521" s="14" t="str">
        <f>IF(L521="","",F521*L521)</f>
        <v/>
      </c>
      <c r="N521" s="15">
        <f>IF(OR(M521="",$G$1279=0),"",M521/$G$1279*100)</f>
      </c>
      <c r="O521" s="12">
        <v>4.8</v>
      </c>
      <c r="P521" s="14">
        <f>F521*O521</f>
        <v>885057.744</v>
      </c>
      <c r="Q521" s="15">
        <f>IF($P$1279=0,0,P521/$P$1279*100)</f>
      </c>
      <c r="R521" s="10" t="str">
        <f>IF(O521=C521,"TETAP",IF(C521=0,"BARU",IF(O521=0,"HAPUS",IF(O521&gt;C521,"TAMBAH","KURANG"))))</f>
        <v>TETAP</v>
      </c>
    </row>
    <row r="522" spans="1:18" x14ac:dyDescent="0.25">
      <c r="A522" s="10" t="s">
        <v>255</v>
      </c>
      <c r="B522" s="18" t="s">
        <v>207</v>
      </c>
      <c r="C522" s="12">
        <v>22.194</v>
      </c>
      <c r="D522" s="12">
        <v>0</v>
      </c>
      <c r="E522" s="10" t="s">
        <v>169</v>
      </c>
      <c r="F522" s="14">
        <v>19252.39</v>
      </c>
      <c r="G522" s="14">
        <f>F522*C522</f>
        <v>427287.54365999997</v>
      </c>
      <c r="H522" s="15">
        <f>IF($G$1279=0,0,G522/$G$1279*100)</f>
      </c>
      <c r="I522" s="12" t="str">
        <f>IF(O522-C522&gt;0,O522-C522,"")</f>
        <v/>
      </c>
      <c r="J522" s="14" t="str">
        <f>IF(I522="","",F522*I522)</f>
        <v/>
      </c>
      <c r="K522" s="15">
        <f>IF(OR(J522="",$G$1279=0),"",J522/$G$1279*100)</f>
      </c>
      <c r="L522" s="12" t="str">
        <f>IF(C522-O522&gt;0,C522-O522,"")</f>
        <v/>
      </c>
      <c r="M522" s="14" t="str">
        <f>IF(L522="","",F522*L522)</f>
        <v/>
      </c>
      <c r="N522" s="15">
        <f>IF(OR(M522="",$G$1279=0),"",M522/$G$1279*100)</f>
      </c>
      <c r="O522" s="12">
        <v>22.194</v>
      </c>
      <c r="P522" s="14">
        <f>F522*O522</f>
        <v>427287.54365999997</v>
      </c>
      <c r="Q522" s="15">
        <f>IF($P$1279=0,0,P522/$P$1279*100)</f>
      </c>
      <c r="R522" s="10" t="str">
        <f>IF(O522=C522,"TETAP",IF(C522=0,"BARU",IF(O522=0,"HAPUS",IF(O522&gt;C522,"TAMBAH","KURANG"))))</f>
        <v>TETAP</v>
      </c>
    </row>
    <row r="523" spans="1:18" x14ac:dyDescent="0.25">
      <c r="A523" s="10" t="s">
        <v>256</v>
      </c>
      <c r="B523" s="18" t="s">
        <v>354</v>
      </c>
      <c r="C523" s="12">
        <v>0.768</v>
      </c>
      <c r="D523" s="12">
        <v>0</v>
      </c>
      <c r="E523" s="10" t="s">
        <v>159</v>
      </c>
      <c r="F523" s="14">
        <v>1399567.05</v>
      </c>
      <c r="G523" s="14">
        <f>F523*C523</f>
        <v>1074867.4944</v>
      </c>
      <c r="H523" s="15">
        <f>IF($G$1279=0,0,G523/$G$1279*100)</f>
      </c>
      <c r="I523" s="12" t="str">
        <f>IF(O523-C523&gt;0,O523-C523,"")</f>
        <v/>
      </c>
      <c r="J523" s="14" t="str">
        <f>IF(I523="","",F523*I523)</f>
        <v/>
      </c>
      <c r="K523" s="15">
        <f>IF(OR(J523="",$G$1279=0),"",J523/$G$1279*100)</f>
      </c>
      <c r="L523" s="12" t="str">
        <f>IF(C523-O523&gt;0,C523-O523,"")</f>
        <v/>
      </c>
      <c r="M523" s="14" t="str">
        <f>IF(L523="","",F523*L523)</f>
        <v/>
      </c>
      <c r="N523" s="15">
        <f>IF(OR(M523="",$G$1279=0),"",M523/$G$1279*100)</f>
      </c>
      <c r="O523" s="12">
        <v>0.768</v>
      </c>
      <c r="P523" s="14">
        <f>F523*O523</f>
        <v>1074867.4944</v>
      </c>
      <c r="Q523" s="15">
        <f>IF($P$1279=0,0,P523/$P$1279*100)</f>
      </c>
      <c r="R523" s="10" t="str">
        <f>IF(O523=C523,"TETAP",IF(C523=0,"BARU",IF(O523=0,"HAPUS",IF(O523&gt;C523,"TAMBAH","KURANG"))))</f>
        <v>TETAP</v>
      </c>
    </row>
    <row r="524" spans="1:18" x14ac:dyDescent="0.25">
      <c r="A524" s="10" t="s">
        <v>355</v>
      </c>
      <c r="B524" s="18" t="s">
        <v>194</v>
      </c>
      <c r="C524" s="12">
        <v>80</v>
      </c>
      <c r="D524" s="12">
        <v>0</v>
      </c>
      <c r="E524" s="10" t="s">
        <v>37</v>
      </c>
      <c r="F524" s="14">
        <v>28117.52</v>
      </c>
      <c r="G524" s="14">
        <f>F524*C524</f>
        <v>2249401.6</v>
      </c>
      <c r="H524" s="15">
        <f>IF($G$1279=0,0,G524/$G$1279*100)</f>
      </c>
      <c r="I524" s="12" t="str">
        <f>IF(O524-C524&gt;0,O524-C524,"")</f>
        <v/>
      </c>
      <c r="J524" s="14" t="str">
        <f>IF(I524="","",F524*I524)</f>
        <v/>
      </c>
      <c r="K524" s="15">
        <f>IF(OR(J524="",$G$1279=0),"",J524/$G$1279*100)</f>
      </c>
      <c r="L524" s="12" t="str">
        <f>IF(C524-O524&gt;0,C524-O524,"")</f>
        <v/>
      </c>
      <c r="M524" s="14" t="str">
        <f>IF(L524="","",F524*L524)</f>
        <v/>
      </c>
      <c r="N524" s="15">
        <f>IF(OR(M524="",$G$1279=0),"",M524/$G$1279*100)</f>
      </c>
      <c r="O524" s="12">
        <v>80</v>
      </c>
      <c r="P524" s="14">
        <f>F524*O524</f>
        <v>2249401.6</v>
      </c>
      <c r="Q524" s="15">
        <f>IF($P$1279=0,0,P524/$P$1279*100)</f>
      </c>
      <c r="R524" s="10" t="str">
        <f>IF(O524=C524,"TETAP",IF(C524=0,"BARU",IF(O524=0,"HAPUS",IF(O524&gt;C524,"TAMBAH","KURANG"))))</f>
        <v>TETAP</v>
      </c>
    </row>
    <row r="525" spans="1:18" x14ac:dyDescent="0.25">
      <c r="A525" s="5" t="s">
        <v>30</v>
      </c>
      <c r="B525" s="17" t="s">
        <v>492</v>
      </c>
      <c r="C525" s="7"/>
      <c r="D525" s="7"/>
      <c r="E525" s="5"/>
      <c r="F525" s="8"/>
      <c r="G525" s="8"/>
      <c r="H525" s="9"/>
      <c r="I525" s="7"/>
      <c r="J525" s="8"/>
      <c r="K525" s="9"/>
      <c r="L525" s="7"/>
      <c r="M525" s="8"/>
      <c r="N525" s="9"/>
      <c r="O525" s="7"/>
      <c r="P525" s="8"/>
      <c r="Q525" s="9"/>
      <c r="R525" s="5"/>
    </row>
    <row r="526" spans="1:18" x14ac:dyDescent="0.25">
      <c r="A526" s="10" t="s">
        <v>175</v>
      </c>
      <c r="B526" s="18" t="s">
        <v>201</v>
      </c>
      <c r="C526" s="12">
        <v>11.832</v>
      </c>
      <c r="D526" s="12">
        <v>0</v>
      </c>
      <c r="E526" s="10" t="s">
        <v>159</v>
      </c>
      <c r="F526" s="14">
        <v>48730.7</v>
      </c>
      <c r="G526" s="14">
        <f>F526*C526</f>
        <v>576581.6424</v>
      </c>
      <c r="H526" s="15">
        <f>IF($G$1279=0,0,G526/$G$1279*100)</f>
      </c>
      <c r="I526" s="12" t="str">
        <f>IF(O526-C526&gt;0,O526-C526,"")</f>
        <v/>
      </c>
      <c r="J526" s="14" t="str">
        <f>IF(I526="","",F526*I526)</f>
        <v/>
      </c>
      <c r="K526" s="15">
        <f>IF(OR(J526="",$G$1279=0),"",J526/$G$1279*100)</f>
      </c>
      <c r="L526" s="12" t="str">
        <f>IF(C526-O526&gt;0,C526-O526,"")</f>
        <v/>
      </c>
      <c r="M526" s="14" t="str">
        <f>IF(L526="","",F526*L526)</f>
        <v/>
      </c>
      <c r="N526" s="15">
        <f>IF(OR(M526="",$G$1279=0),"",M526/$G$1279*100)</f>
      </c>
      <c r="O526" s="12">
        <v>11.832</v>
      </c>
      <c r="P526" s="14">
        <f>F526*O526</f>
        <v>576581.6424</v>
      </c>
      <c r="Q526" s="15">
        <f>IF($P$1279=0,0,P526/$P$1279*100)</f>
      </c>
      <c r="R526" s="10" t="str">
        <f>IF(O526=C526,"TETAP",IF(C526=0,"BARU",IF(O526=0,"HAPUS",IF(O526&gt;C526,"TAMBAH","KURANG"))))</f>
        <v>TETAP</v>
      </c>
    </row>
    <row r="527" spans="1:18" x14ac:dyDescent="0.25">
      <c r="A527" s="10" t="s">
        <v>176</v>
      </c>
      <c r="B527" s="18" t="s">
        <v>358</v>
      </c>
      <c r="C527" s="12">
        <v>0</v>
      </c>
      <c r="D527" s="12">
        <v>0</v>
      </c>
      <c r="E527" s="10" t="s">
        <v>37</v>
      </c>
      <c r="F527" s="14">
        <v>28117.52</v>
      </c>
      <c r="G527" s="14">
        <f>F527*C527</f>
        <v>0</v>
      </c>
      <c r="H527" s="15">
        <f>IF($G$1279=0,0,G527/$G$1279*100)</f>
      </c>
      <c r="I527" s="12">
        <f>IF(O527-C527&gt;0,O527-C527,"")</f>
        <v>272</v>
      </c>
      <c r="J527" s="14">
        <f>IF(I527="","",F527*I527)</f>
        <v>7647965.44</v>
      </c>
      <c r="K527" s="15">
        <f>IF(OR(J527="",$G$1279=0),"",J527/$G$1279*100)</f>
      </c>
      <c r="L527" s="12" t="str">
        <f>IF(C527-O527&gt;0,C527-O527,"")</f>
        <v/>
      </c>
      <c r="M527" s="14" t="str">
        <f>IF(L527="","",F527*L527)</f>
        <v/>
      </c>
      <c r="N527" s="15">
        <f>IF(OR(M527="",$G$1279=0),"",M527/$G$1279*100)</f>
      </c>
      <c r="O527" s="12">
        <v>272</v>
      </c>
      <c r="P527" s="14">
        <f>F527*O527</f>
        <v>7647965.44</v>
      </c>
      <c r="Q527" s="15">
        <f>IF($P$1279=0,0,P527/$P$1279*100)</f>
      </c>
      <c r="R527" s="10" t="str">
        <f>IF(O527=C527,"TETAP",IF(C527=0,"BARU",IF(O527=0,"HAPUS",IF(O527&gt;C527,"TAMBAH","KURANG"))))</f>
        <v>BARU</v>
      </c>
    </row>
    <row r="528" spans="1:18" x14ac:dyDescent="0.25">
      <c r="A528" s="10" t="s">
        <v>178</v>
      </c>
      <c r="B528" s="18" t="s">
        <v>359</v>
      </c>
      <c r="C528" s="12">
        <v>0.952</v>
      </c>
      <c r="D528" s="12">
        <v>0</v>
      </c>
      <c r="E528" s="10" t="s">
        <v>159</v>
      </c>
      <c r="F528" s="14">
        <v>342654.98</v>
      </c>
      <c r="G528" s="14">
        <f>F528*C528</f>
        <v>326207.54095999995</v>
      </c>
      <c r="H528" s="15">
        <f>IF($G$1279=0,0,G528/$G$1279*100)</f>
      </c>
      <c r="I528" s="12" t="str">
        <f>IF(O528-C528&gt;0,O528-C528,"")</f>
        <v/>
      </c>
      <c r="J528" s="14" t="str">
        <f>IF(I528="","",F528*I528)</f>
        <v/>
      </c>
      <c r="K528" s="15">
        <f>IF(OR(J528="",$G$1279=0),"",J528/$G$1279*100)</f>
      </c>
      <c r="L528" s="12" t="str">
        <f>IF(C528-O528&gt;0,C528-O528,"")</f>
        <v/>
      </c>
      <c r="M528" s="14" t="str">
        <f>IF(L528="","",F528*L528)</f>
        <v/>
      </c>
      <c r="N528" s="15">
        <f>IF(OR(M528="",$G$1279=0),"",M528/$G$1279*100)</f>
      </c>
      <c r="O528" s="12">
        <v>0.952</v>
      </c>
      <c r="P528" s="14">
        <f>F528*O528</f>
        <v>326207.54095999995</v>
      </c>
      <c r="Q528" s="15">
        <f>IF($P$1279=0,0,P528/$P$1279*100)</f>
      </c>
      <c r="R528" s="10" t="str">
        <f>IF(O528=C528,"TETAP",IF(C528=0,"BARU",IF(O528=0,"HAPUS",IF(O528&gt;C528,"TAMBAH","KURANG"))))</f>
        <v>TETAP</v>
      </c>
    </row>
    <row r="529" spans="1:18" x14ac:dyDescent="0.25">
      <c r="A529" s="10" t="s">
        <v>180</v>
      </c>
      <c r="B529" s="18" t="s">
        <v>356</v>
      </c>
      <c r="C529" s="12">
        <v>7.48</v>
      </c>
      <c r="D529" s="12">
        <v>0</v>
      </c>
      <c r="E529" s="10" t="s">
        <v>159</v>
      </c>
      <c r="F529" s="14">
        <v>1204293.02</v>
      </c>
      <c r="G529" s="14">
        <f>F529*C529</f>
        <v>9008111.7896</v>
      </c>
      <c r="H529" s="15">
        <f>IF($G$1279=0,0,G529/$G$1279*100)</f>
      </c>
      <c r="I529" s="12" t="str">
        <f>IF(O529-C529&gt;0,O529-C529,"")</f>
        <v/>
      </c>
      <c r="J529" s="14" t="str">
        <f>IF(I529="","",F529*I529)</f>
        <v/>
      </c>
      <c r="K529" s="15">
        <f>IF(OR(J529="",$G$1279=0),"",J529/$G$1279*100)</f>
      </c>
      <c r="L529" s="12" t="str">
        <f>IF(C529-O529&gt;0,C529-O529,"")</f>
        <v/>
      </c>
      <c r="M529" s="14" t="str">
        <f>IF(L529="","",F529*L529)</f>
        <v/>
      </c>
      <c r="N529" s="15">
        <f>IF(OR(M529="",$G$1279=0),"",M529/$G$1279*100)</f>
      </c>
      <c r="O529" s="12">
        <v>7.48</v>
      </c>
      <c r="P529" s="14">
        <f>F529*O529</f>
        <v>9008111.7896</v>
      </c>
      <c r="Q529" s="15">
        <f>IF($P$1279=0,0,P529/$P$1279*100)</f>
      </c>
      <c r="R529" s="10" t="str">
        <f>IF(O529=C529,"TETAP",IF(C529=0,"BARU",IF(O529=0,"HAPUS",IF(O529&gt;C529,"TAMBAH","KURANG"))))</f>
        <v>TETAP</v>
      </c>
    </row>
    <row r="530" spans="1:18" x14ac:dyDescent="0.25">
      <c r="A530" s="10" t="s">
        <v>33</v>
      </c>
      <c r="B530" s="20" t="s">
        <v>361</v>
      </c>
      <c r="C530" s="12">
        <v>5.24</v>
      </c>
      <c r="D530" s="12">
        <v>0</v>
      </c>
      <c r="E530" s="10" t="s">
        <v>169</v>
      </c>
      <c r="F530" s="14">
        <v>19252.39</v>
      </c>
      <c r="G530" s="14">
        <f>F530*C530</f>
        <v>100882.5236</v>
      </c>
      <c r="H530" s="15">
        <f>IF($G$1279=0,0,G530/$G$1279*100)</f>
      </c>
      <c r="I530" s="12" t="str">
        <f>IF(O530-C530&gt;0,O530-C530,"")</f>
        <v/>
      </c>
      <c r="J530" s="14" t="str">
        <f>IF(I530="","",F530*I530)</f>
        <v/>
      </c>
      <c r="K530" s="15">
        <f>IF(OR(J530="",$G$1279=0),"",J530/$G$1279*100)</f>
      </c>
      <c r="L530" s="12" t="str">
        <f>IF(C530-O530&gt;0,C530-O530,"")</f>
        <v/>
      </c>
      <c r="M530" s="14" t="str">
        <f>IF(L530="","",F530*L530)</f>
        <v/>
      </c>
      <c r="N530" s="15">
        <f>IF(OR(M530="",$G$1279=0),"",M530/$G$1279*100)</f>
      </c>
      <c r="O530" s="12">
        <v>5.24</v>
      </c>
      <c r="P530" s="14">
        <f>F530*O530</f>
        <v>100882.5236</v>
      </c>
      <c r="Q530" s="15">
        <f>IF($P$1279=0,0,P530/$P$1279*100)</f>
      </c>
      <c r="R530" s="10" t="str">
        <f>IF(O530=C530,"TETAP",IF(C530=0,"BARU",IF(O530=0,"HAPUS",IF(O530&gt;C530,"TAMBAH","KURANG"))))</f>
        <v>TETAP</v>
      </c>
    </row>
    <row r="531" spans="1:18" x14ac:dyDescent="0.25">
      <c r="A531" s="5" t="s">
        <v>35</v>
      </c>
      <c r="B531" s="17" t="s">
        <v>362</v>
      </c>
      <c r="C531" s="7"/>
      <c r="D531" s="7"/>
      <c r="E531" s="5"/>
      <c r="F531" s="8"/>
      <c r="G531" s="8"/>
      <c r="H531" s="9"/>
      <c r="I531" s="7"/>
      <c r="J531" s="8"/>
      <c r="K531" s="9"/>
      <c r="L531" s="7"/>
      <c r="M531" s="8"/>
      <c r="N531" s="9"/>
      <c r="O531" s="7"/>
      <c r="P531" s="8"/>
      <c r="Q531" s="9"/>
      <c r="R531" s="5"/>
    </row>
    <row r="532" spans="1:18" x14ac:dyDescent="0.25">
      <c r="A532" s="10" t="s">
        <v>193</v>
      </c>
      <c r="B532" s="18" t="s">
        <v>187</v>
      </c>
      <c r="C532" s="12">
        <v>3.1</v>
      </c>
      <c r="D532" s="12">
        <v>0</v>
      </c>
      <c r="E532" s="10" t="s">
        <v>26</v>
      </c>
      <c r="F532" s="14">
        <v>218225.13</v>
      </c>
      <c r="G532" s="14">
        <f>F532*C532</f>
        <v>676497.903</v>
      </c>
      <c r="H532" s="15">
        <f>IF($G$1279=0,0,G532/$G$1279*100)</f>
      </c>
      <c r="I532" s="12" t="str">
        <f>IF(O532-C532&gt;0,O532-C532,"")</f>
        <v/>
      </c>
      <c r="J532" s="14" t="str">
        <f>IF(I532="","",F532*I532)</f>
        <v/>
      </c>
      <c r="K532" s="15">
        <f>IF(OR(J532="",$G$1279=0),"",J532/$G$1279*100)</f>
      </c>
      <c r="L532" s="12" t="str">
        <f>IF(C532-O532&gt;0,C532-O532,"")</f>
        <v/>
      </c>
      <c r="M532" s="14" t="str">
        <f>IF(L532="","",F532*L532)</f>
        <v/>
      </c>
      <c r="N532" s="15">
        <f>IF(OR(M532="",$G$1279=0),"",M532/$G$1279*100)</f>
      </c>
      <c r="O532" s="12">
        <v>3.1</v>
      </c>
      <c r="P532" s="14">
        <f>F532*O532</f>
        <v>676497.903</v>
      </c>
      <c r="Q532" s="15">
        <f>IF($P$1279=0,0,P532/$P$1279*100)</f>
      </c>
      <c r="R532" s="10" t="str">
        <f>IF(O532=C532,"TETAP",IF(C532=0,"BARU",IF(O532=0,"HAPUS",IF(O532&gt;C532,"TAMBAH","KURANG"))))</f>
        <v>TETAP</v>
      </c>
    </row>
    <row r="533" spans="1:18" x14ac:dyDescent="0.25">
      <c r="A533" s="10" t="s">
        <v>195</v>
      </c>
      <c r="B533" s="18" t="s">
        <v>363</v>
      </c>
      <c r="C533" s="12">
        <v>47.779</v>
      </c>
      <c r="D533" s="12">
        <v>0</v>
      </c>
      <c r="E533" s="10" t="s">
        <v>169</v>
      </c>
      <c r="F533" s="14">
        <v>19252.39</v>
      </c>
      <c r="G533" s="14">
        <f>F533*C533</f>
        <v>919859.94181</v>
      </c>
      <c r="H533" s="15">
        <f>IF($G$1279=0,0,G533/$G$1279*100)</f>
      </c>
      <c r="I533" s="12" t="str">
        <f>IF(O533-C533&gt;0,O533-C533,"")</f>
        <v/>
      </c>
      <c r="J533" s="14" t="str">
        <f>IF(I533="","",F533*I533)</f>
        <v/>
      </c>
      <c r="K533" s="15">
        <f>IF(OR(J533="",$G$1279=0),"",J533/$G$1279*100)</f>
      </c>
      <c r="L533" s="12" t="str">
        <f>IF(C533-O533&gt;0,C533-O533,"")</f>
        <v/>
      </c>
      <c r="M533" s="14" t="str">
        <f>IF(L533="","",F533*L533)</f>
        <v/>
      </c>
      <c r="N533" s="15">
        <f>IF(OR(M533="",$G$1279=0),"",M533/$G$1279*100)</f>
      </c>
      <c r="O533" s="12">
        <v>47.779</v>
      </c>
      <c r="P533" s="14">
        <f>F533*O533</f>
        <v>919859.94181</v>
      </c>
      <c r="Q533" s="15">
        <f>IF($P$1279=0,0,P533/$P$1279*100)</f>
      </c>
      <c r="R533" s="10" t="str">
        <f>IF(O533=C533,"TETAP",IF(C533=0,"BARU",IF(O533=0,"HAPUS",IF(O533&gt;C533,"TAMBAH","KURANG"))))</f>
        <v>TETAP</v>
      </c>
    </row>
    <row r="534" spans="1:18" x14ac:dyDescent="0.25">
      <c r="A534" s="10" t="s">
        <v>197</v>
      </c>
      <c r="B534" s="18" t="s">
        <v>364</v>
      </c>
      <c r="C534" s="12">
        <v>43.054</v>
      </c>
      <c r="D534" s="12">
        <v>0</v>
      </c>
      <c r="E534" s="10" t="s">
        <v>169</v>
      </c>
      <c r="F534" s="14">
        <v>19252.39</v>
      </c>
      <c r="G534" s="14">
        <f>F534*C534</f>
        <v>828892.39906</v>
      </c>
      <c r="H534" s="15">
        <f>IF($G$1279=0,0,G534/$G$1279*100)</f>
      </c>
      <c r="I534" s="12" t="str">
        <f>IF(O534-C534&gt;0,O534-C534,"")</f>
        <v/>
      </c>
      <c r="J534" s="14" t="str">
        <f>IF(I534="","",F534*I534)</f>
        <v/>
      </c>
      <c r="K534" s="15">
        <f>IF(OR(J534="",$G$1279=0),"",J534/$G$1279*100)</f>
      </c>
      <c r="L534" s="12" t="str">
        <f>IF(C534-O534&gt;0,C534-O534,"")</f>
        <v/>
      </c>
      <c r="M534" s="14" t="str">
        <f>IF(L534="","",F534*L534)</f>
        <v/>
      </c>
      <c r="N534" s="15">
        <f>IF(OR(M534="",$G$1279=0),"",M534/$G$1279*100)</f>
      </c>
      <c r="O534" s="12">
        <v>43.054</v>
      </c>
      <c r="P534" s="14">
        <f>F534*O534</f>
        <v>828892.39906</v>
      </c>
      <c r="Q534" s="15">
        <f>IF($P$1279=0,0,P534/$P$1279*100)</f>
      </c>
      <c r="R534" s="10" t="str">
        <f>IF(O534=C534,"TETAP",IF(C534=0,"BARU",IF(O534=0,"HAPUS",IF(O534&gt;C534,"TAMBAH","KURANG"))))</f>
        <v>TETAP</v>
      </c>
    </row>
    <row r="535" spans="1:18" x14ac:dyDescent="0.25">
      <c r="A535" s="10" t="s">
        <v>198</v>
      </c>
      <c r="B535" s="18" t="s">
        <v>392</v>
      </c>
      <c r="C535" s="12">
        <v>0.638</v>
      </c>
      <c r="D535" s="12">
        <v>0</v>
      </c>
      <c r="E535" s="10" t="s">
        <v>159</v>
      </c>
      <c r="F535" s="14">
        <v>1399567.05</v>
      </c>
      <c r="G535" s="14">
        <f>F535*C535</f>
        <v>892923.7779000001</v>
      </c>
      <c r="H535" s="15">
        <f>IF($G$1279=0,0,G535/$G$1279*100)</f>
      </c>
      <c r="I535" s="12" t="str">
        <f>IF(O535-C535&gt;0,O535-C535,"")</f>
        <v/>
      </c>
      <c r="J535" s="14" t="str">
        <f>IF(I535="","",F535*I535)</f>
        <v/>
      </c>
      <c r="K535" s="15">
        <f>IF(OR(J535="",$G$1279=0),"",J535/$G$1279*100)</f>
      </c>
      <c r="L535" s="12" t="str">
        <f>IF(C535-O535&gt;0,C535-O535,"")</f>
        <v/>
      </c>
      <c r="M535" s="14" t="str">
        <f>IF(L535="","",F535*L535)</f>
        <v/>
      </c>
      <c r="N535" s="15">
        <f>IF(OR(M535="",$G$1279=0),"",M535/$G$1279*100)</f>
      </c>
      <c r="O535" s="12">
        <v>0.638</v>
      </c>
      <c r="P535" s="14">
        <f>F535*O535</f>
        <v>892923.7779000001</v>
      </c>
      <c r="Q535" s="15">
        <f>IF($P$1279=0,0,P535/$P$1279*100)</f>
      </c>
      <c r="R535" s="10" t="str">
        <f>IF(O535=C535,"TETAP",IF(C535=0,"BARU",IF(O535=0,"HAPUS",IF(O535&gt;C535,"TAMBAH","KURANG"))))</f>
        <v>TETAP</v>
      </c>
    </row>
    <row r="536" spans="1:18" x14ac:dyDescent="0.25">
      <c r="A536" s="5" t="s">
        <v>38</v>
      </c>
      <c r="B536" s="17" t="s">
        <v>370</v>
      </c>
      <c r="C536" s="7"/>
      <c r="D536" s="7"/>
      <c r="E536" s="5"/>
      <c r="F536" s="8"/>
      <c r="G536" s="8"/>
      <c r="H536" s="9"/>
      <c r="I536" s="7"/>
      <c r="J536" s="8"/>
      <c r="K536" s="9"/>
      <c r="L536" s="7"/>
      <c r="M536" s="8"/>
      <c r="N536" s="9"/>
      <c r="O536" s="7"/>
      <c r="P536" s="8"/>
      <c r="Q536" s="9"/>
      <c r="R536" s="5"/>
    </row>
    <row r="537" spans="1:18" x14ac:dyDescent="0.25">
      <c r="A537" s="10" t="s">
        <v>200</v>
      </c>
      <c r="B537" s="18" t="s">
        <v>371</v>
      </c>
      <c r="C537" s="12">
        <v>3.2</v>
      </c>
      <c r="D537" s="12">
        <v>0</v>
      </c>
      <c r="E537" s="10" t="s">
        <v>26</v>
      </c>
      <c r="F537" s="14">
        <v>229284.3</v>
      </c>
      <c r="G537" s="14">
        <f>F537*C537</f>
        <v>733709.76</v>
      </c>
      <c r="H537" s="15">
        <f>IF($G$1279=0,0,G537/$G$1279*100)</f>
      </c>
      <c r="I537" s="12" t="str">
        <f>IF(O537-C537&gt;0,O537-C537,"")</f>
        <v/>
      </c>
      <c r="J537" s="14" t="str">
        <f>IF(I537="","",F537*I537)</f>
        <v/>
      </c>
      <c r="K537" s="15">
        <f>IF(OR(J537="",$G$1279=0),"",J537/$G$1279*100)</f>
      </c>
      <c r="L537" s="12" t="str">
        <f>IF(C537-O537&gt;0,C537-O537,"")</f>
        <v/>
      </c>
      <c r="M537" s="14" t="str">
        <f>IF(L537="","",F537*L537)</f>
        <v/>
      </c>
      <c r="N537" s="15">
        <f>IF(OR(M537="",$G$1279=0),"",M537/$G$1279*100)</f>
      </c>
      <c r="O537" s="12">
        <v>3.2</v>
      </c>
      <c r="P537" s="14">
        <f>F537*O537</f>
        <v>733709.76</v>
      </c>
      <c r="Q537" s="15">
        <f>IF($P$1279=0,0,P537/$P$1279*100)</f>
      </c>
      <c r="R537" s="10" t="str">
        <f>IF(O537=C537,"TETAP",IF(C537=0,"BARU",IF(O537=0,"HAPUS",IF(O537&gt;C537,"TAMBAH","KURANG"))))</f>
        <v>TETAP</v>
      </c>
    </row>
    <row r="538" spans="1:18" x14ac:dyDescent="0.25">
      <c r="A538" s="10" t="s">
        <v>202</v>
      </c>
      <c r="B538" s="18" t="s">
        <v>372</v>
      </c>
      <c r="C538" s="12">
        <v>20.714</v>
      </c>
      <c r="D538" s="12">
        <v>0</v>
      </c>
      <c r="E538" s="10" t="s">
        <v>169</v>
      </c>
      <c r="F538" s="14">
        <v>19252.39</v>
      </c>
      <c r="G538" s="14">
        <f>F538*C538</f>
        <v>398794.00645999995</v>
      </c>
      <c r="H538" s="15">
        <f>IF($G$1279=0,0,G538/$G$1279*100)</f>
      </c>
      <c r="I538" s="12" t="str">
        <f>IF(O538-C538&gt;0,O538-C538,"")</f>
        <v/>
      </c>
      <c r="J538" s="14" t="str">
        <f>IF(I538="","",F538*I538)</f>
        <v/>
      </c>
      <c r="K538" s="15">
        <f>IF(OR(J538="",$G$1279=0),"",J538/$G$1279*100)</f>
      </c>
      <c r="L538" s="12" t="str">
        <f>IF(C538-O538&gt;0,C538-O538,"")</f>
        <v/>
      </c>
      <c r="M538" s="14" t="str">
        <f>IF(L538="","",F538*L538)</f>
        <v/>
      </c>
      <c r="N538" s="15">
        <f>IF(OR(M538="",$G$1279=0),"",M538/$G$1279*100)</f>
      </c>
      <c r="O538" s="12">
        <v>20.714</v>
      </c>
      <c r="P538" s="14">
        <f>F538*O538</f>
        <v>398794.00645999995</v>
      </c>
      <c r="Q538" s="15">
        <f>IF($P$1279=0,0,P538/$P$1279*100)</f>
      </c>
      <c r="R538" s="10" t="str">
        <f>IF(O538=C538,"TETAP",IF(C538=0,"BARU",IF(O538=0,"HAPUS",IF(O538&gt;C538,"TAMBAH","KURANG"))))</f>
        <v>TETAP</v>
      </c>
    </row>
    <row r="539" spans="1:18" x14ac:dyDescent="0.25">
      <c r="A539" s="10" t="s">
        <v>203</v>
      </c>
      <c r="B539" s="18" t="s">
        <v>373</v>
      </c>
      <c r="C539" s="12">
        <v>6.155</v>
      </c>
      <c r="D539" s="12">
        <v>0</v>
      </c>
      <c r="E539" s="10" t="s">
        <v>169</v>
      </c>
      <c r="F539" s="14">
        <v>19252.39</v>
      </c>
      <c r="G539" s="14">
        <f>F539*C539</f>
        <v>118498.46045</v>
      </c>
      <c r="H539" s="15">
        <f>IF($G$1279=0,0,G539/$G$1279*100)</f>
      </c>
      <c r="I539" s="12" t="str">
        <f>IF(O539-C539&gt;0,O539-C539,"")</f>
        <v/>
      </c>
      <c r="J539" s="14" t="str">
        <f>IF(I539="","",F539*I539)</f>
        <v/>
      </c>
      <c r="K539" s="15">
        <f>IF(OR(J539="",$G$1279=0),"",J539/$G$1279*100)</f>
      </c>
      <c r="L539" s="12" t="str">
        <f>IF(C539-O539&gt;0,C539-O539,"")</f>
        <v/>
      </c>
      <c r="M539" s="14" t="str">
        <f>IF(L539="","",F539*L539)</f>
        <v/>
      </c>
      <c r="N539" s="15">
        <f>IF(OR(M539="",$G$1279=0),"",M539/$G$1279*100)</f>
      </c>
      <c r="O539" s="12">
        <v>6.155</v>
      </c>
      <c r="P539" s="14">
        <f>F539*O539</f>
        <v>118498.46045</v>
      </c>
      <c r="Q539" s="15">
        <f>IF($P$1279=0,0,P539/$P$1279*100)</f>
      </c>
      <c r="R539" s="10" t="str">
        <f>IF(O539=C539,"TETAP",IF(C539=0,"BARU",IF(O539=0,"HAPUS",IF(O539&gt;C539,"TAMBAH","KURANG"))))</f>
        <v>TETAP</v>
      </c>
    </row>
    <row r="540" spans="1:18" x14ac:dyDescent="0.25">
      <c r="A540" s="10" t="s">
        <v>204</v>
      </c>
      <c r="B540" s="18" t="s">
        <v>374</v>
      </c>
      <c r="C540" s="12">
        <v>0.2</v>
      </c>
      <c r="D540" s="12">
        <v>0</v>
      </c>
      <c r="E540" s="10" t="s">
        <v>159</v>
      </c>
      <c r="F540" s="14">
        <v>1399567.05</v>
      </c>
      <c r="G540" s="14">
        <f>F540*C540</f>
        <v>279913.41000000003</v>
      </c>
      <c r="H540" s="15">
        <f>IF($G$1279=0,0,G540/$G$1279*100)</f>
      </c>
      <c r="I540" s="12" t="str">
        <f>IF(O540-C540&gt;0,O540-C540,"")</f>
        <v/>
      </c>
      <c r="J540" s="14" t="str">
        <f>IF(I540="","",F540*I540)</f>
        <v/>
      </c>
      <c r="K540" s="15">
        <f>IF(OR(J540="",$G$1279=0),"",J540/$G$1279*100)</f>
      </c>
      <c r="L540" s="12" t="str">
        <f>IF(C540-O540&gt;0,C540-O540,"")</f>
        <v/>
      </c>
      <c r="M540" s="14" t="str">
        <f>IF(L540="","",F540*L540)</f>
        <v/>
      </c>
      <c r="N540" s="15">
        <f>IF(OR(M540="",$G$1279=0),"",M540/$G$1279*100)</f>
      </c>
      <c r="O540" s="12">
        <v>0.2</v>
      </c>
      <c r="P540" s="14">
        <f>F540*O540</f>
        <v>279913.41000000003</v>
      </c>
      <c r="Q540" s="15">
        <f>IF($P$1279=0,0,P540/$P$1279*100)</f>
      </c>
      <c r="R540" s="10" t="str">
        <f>IF(O540=C540,"TETAP",IF(C540=0,"BARU",IF(O540=0,"HAPUS",IF(O540&gt;C540,"TAMBAH","KURANG"))))</f>
        <v>TETAP</v>
      </c>
    </row>
    <row r="541" spans="1:18" x14ac:dyDescent="0.25">
      <c r="A541" s="5" t="s">
        <v>108</v>
      </c>
      <c r="B541" s="17" t="s">
        <v>375</v>
      </c>
      <c r="C541" s="7"/>
      <c r="D541" s="7"/>
      <c r="E541" s="5"/>
      <c r="F541" s="8"/>
      <c r="G541" s="8"/>
      <c r="H541" s="9"/>
      <c r="I541" s="7"/>
      <c r="J541" s="8"/>
      <c r="K541" s="9"/>
      <c r="L541" s="7"/>
      <c r="M541" s="8"/>
      <c r="N541" s="9"/>
      <c r="O541" s="7"/>
      <c r="P541" s="8"/>
      <c r="Q541" s="9"/>
      <c r="R541" s="5"/>
    </row>
    <row r="542" spans="1:18" x14ac:dyDescent="0.25">
      <c r="A542" s="10" t="s">
        <v>212</v>
      </c>
      <c r="B542" s="18" t="s">
        <v>242</v>
      </c>
      <c r="C542" s="12">
        <v>14.32</v>
      </c>
      <c r="D542" s="12">
        <v>0</v>
      </c>
      <c r="E542" s="10" t="s">
        <v>26</v>
      </c>
      <c r="F542" s="14">
        <v>229284.3</v>
      </c>
      <c r="G542" s="14">
        <f>F542*C542</f>
        <v>3283351.176</v>
      </c>
      <c r="H542" s="15">
        <f>IF($G$1279=0,0,G542/$G$1279*100)</f>
      </c>
      <c r="I542" s="12" t="str">
        <f>IF(O542-C542&gt;0,O542-C542,"")</f>
        <v/>
      </c>
      <c r="J542" s="14" t="str">
        <f>IF(I542="","",F542*I542)</f>
        <v/>
      </c>
      <c r="K542" s="15">
        <f>IF(OR(J542="",$G$1279=0),"",J542/$G$1279*100)</f>
      </c>
      <c r="L542" s="12" t="str">
        <f>IF(C542-O542&gt;0,C542-O542,"")</f>
        <v/>
      </c>
      <c r="M542" s="14" t="str">
        <f>IF(L542="","",F542*L542)</f>
        <v/>
      </c>
      <c r="N542" s="15">
        <f>IF(OR(M542="",$G$1279=0),"",M542/$G$1279*100)</f>
      </c>
      <c r="O542" s="12">
        <v>14.32</v>
      </c>
      <c r="P542" s="14">
        <f>F542*O542</f>
        <v>3283351.176</v>
      </c>
      <c r="Q542" s="15">
        <f>IF($P$1279=0,0,P542/$P$1279*100)</f>
      </c>
      <c r="R542" s="10" t="str">
        <f>IF(O542=C542,"TETAP",IF(C542=0,"BARU",IF(O542=0,"HAPUS",IF(O542&gt;C542,"TAMBAH","KURANG"))))</f>
        <v>TETAP</v>
      </c>
    </row>
    <row r="543" spans="1:18" x14ac:dyDescent="0.25">
      <c r="A543" s="10" t="s">
        <v>214</v>
      </c>
      <c r="B543" s="18" t="s">
        <v>372</v>
      </c>
      <c r="C543" s="12">
        <v>75.558</v>
      </c>
      <c r="D543" s="12">
        <v>0</v>
      </c>
      <c r="E543" s="10" t="s">
        <v>169</v>
      </c>
      <c r="F543" s="14">
        <v>19252.39</v>
      </c>
      <c r="G543" s="14">
        <f>F543*C543</f>
        <v>1454672.0836200002</v>
      </c>
      <c r="H543" s="15">
        <f>IF($G$1279=0,0,G543/$G$1279*100)</f>
      </c>
      <c r="I543" s="12" t="str">
        <f>IF(O543-C543&gt;0,O543-C543,"")</f>
        <v/>
      </c>
      <c r="J543" s="14" t="str">
        <f>IF(I543="","",F543*I543)</f>
        <v/>
      </c>
      <c r="K543" s="15">
        <f>IF(OR(J543="",$G$1279=0),"",J543/$G$1279*100)</f>
      </c>
      <c r="L543" s="12" t="str">
        <f>IF(C543-O543&gt;0,C543-O543,"")</f>
        <v/>
      </c>
      <c r="M543" s="14" t="str">
        <f>IF(L543="","",F543*L543)</f>
        <v/>
      </c>
      <c r="N543" s="15">
        <f>IF(OR(M543="",$G$1279=0),"",M543/$G$1279*100)</f>
      </c>
      <c r="O543" s="12">
        <v>75.558</v>
      </c>
      <c r="P543" s="14">
        <f>F543*O543</f>
        <v>1454672.0836200002</v>
      </c>
      <c r="Q543" s="15">
        <f>IF($P$1279=0,0,P543/$P$1279*100)</f>
      </c>
      <c r="R543" s="10" t="str">
        <f>IF(O543=C543,"TETAP",IF(C543=0,"BARU",IF(O543=0,"HAPUS",IF(O543&gt;C543,"TAMBAH","KURANG"))))</f>
        <v>TETAP</v>
      </c>
    </row>
    <row r="544" spans="1:18" x14ac:dyDescent="0.25">
      <c r="A544" s="10" t="s">
        <v>216</v>
      </c>
      <c r="B544" s="18" t="s">
        <v>373</v>
      </c>
      <c r="C544" s="12">
        <v>28.314</v>
      </c>
      <c r="D544" s="12">
        <v>0</v>
      </c>
      <c r="E544" s="10" t="s">
        <v>169</v>
      </c>
      <c r="F544" s="14">
        <v>19252.39</v>
      </c>
      <c r="G544" s="14">
        <f>F544*C544</f>
        <v>545112.1704599999</v>
      </c>
      <c r="H544" s="15">
        <f>IF($G$1279=0,0,G544/$G$1279*100)</f>
      </c>
      <c r="I544" s="12" t="str">
        <f>IF(O544-C544&gt;0,O544-C544,"")</f>
        <v/>
      </c>
      <c r="J544" s="14" t="str">
        <f>IF(I544="","",F544*I544)</f>
        <v/>
      </c>
      <c r="K544" s="15">
        <f>IF(OR(J544="",$G$1279=0),"",J544/$G$1279*100)</f>
      </c>
      <c r="L544" s="12" t="str">
        <f>IF(C544-O544&gt;0,C544-O544,"")</f>
        <v/>
      </c>
      <c r="M544" s="14" t="str">
        <f>IF(L544="","",F544*L544)</f>
        <v/>
      </c>
      <c r="N544" s="15">
        <f>IF(OR(M544="",$G$1279=0),"",M544/$G$1279*100)</f>
      </c>
      <c r="O544" s="12">
        <v>28.314</v>
      </c>
      <c r="P544" s="14">
        <f>F544*O544</f>
        <v>545112.1704599999</v>
      </c>
      <c r="Q544" s="15">
        <f>IF($P$1279=0,0,P544/$P$1279*100)</f>
      </c>
      <c r="R544" s="10" t="str">
        <f>IF(O544=C544,"TETAP",IF(C544=0,"BARU",IF(O544=0,"HAPUS",IF(O544&gt;C544,"TAMBAH","KURANG"))))</f>
        <v>TETAP</v>
      </c>
    </row>
    <row r="545" spans="1:18" x14ac:dyDescent="0.25">
      <c r="A545" s="10" t="s">
        <v>218</v>
      </c>
      <c r="B545" s="18" t="s">
        <v>392</v>
      </c>
      <c r="C545" s="12">
        <v>0.895</v>
      </c>
      <c r="D545" s="12">
        <v>0</v>
      </c>
      <c r="E545" s="10" t="s">
        <v>159</v>
      </c>
      <c r="F545" s="14">
        <v>1399567.05</v>
      </c>
      <c r="G545" s="14">
        <f>F545*C545</f>
        <v>1252612.50975</v>
      </c>
      <c r="H545" s="15">
        <f>IF($G$1279=0,0,G545/$G$1279*100)</f>
      </c>
      <c r="I545" s="12" t="str">
        <f>IF(O545-C545&gt;0,O545-C545,"")</f>
        <v/>
      </c>
      <c r="J545" s="14" t="str">
        <f>IF(I545="","",F545*I545)</f>
        <v/>
      </c>
      <c r="K545" s="15">
        <f>IF(OR(J545="",$G$1279=0),"",J545/$G$1279*100)</f>
      </c>
      <c r="L545" s="12" t="str">
        <f>IF(C545-O545&gt;0,C545-O545,"")</f>
        <v/>
      </c>
      <c r="M545" s="14" t="str">
        <f>IF(L545="","",F545*L545)</f>
        <v/>
      </c>
      <c r="N545" s="15">
        <f>IF(OR(M545="",$G$1279=0),"",M545/$G$1279*100)</f>
      </c>
      <c r="O545" s="12">
        <v>0.895</v>
      </c>
      <c r="P545" s="14">
        <f>F545*O545</f>
        <v>1252612.50975</v>
      </c>
      <c r="Q545" s="15">
        <f>IF($P$1279=0,0,P545/$P$1279*100)</f>
      </c>
      <c r="R545" s="10" t="str">
        <f>IF(O545=C545,"TETAP",IF(C545=0,"BARU",IF(O545=0,"HAPUS",IF(O545&gt;C545,"TAMBAH","KURANG"))))</f>
        <v>TETAP</v>
      </c>
    </row>
    <row r="546" spans="1:18" x14ac:dyDescent="0.25">
      <c r="A546" s="5" t="s">
        <v>110</v>
      </c>
      <c r="B546" s="17" t="s">
        <v>493</v>
      </c>
      <c r="C546" s="7"/>
      <c r="D546" s="7"/>
      <c r="E546" s="5"/>
      <c r="F546" s="8"/>
      <c r="G546" s="8"/>
      <c r="H546" s="9"/>
      <c r="I546" s="7"/>
      <c r="J546" s="8"/>
      <c r="K546" s="9"/>
      <c r="L546" s="7"/>
      <c r="M546" s="8"/>
      <c r="N546" s="9"/>
      <c r="O546" s="7"/>
      <c r="P546" s="8"/>
      <c r="Q546" s="9"/>
      <c r="R546" s="5"/>
    </row>
    <row r="547" spans="1:18" x14ac:dyDescent="0.25">
      <c r="A547" s="10" t="s">
        <v>275</v>
      </c>
      <c r="B547" s="18" t="s">
        <v>242</v>
      </c>
      <c r="C547" s="12">
        <v>3.222</v>
      </c>
      <c r="D547" s="12">
        <v>0</v>
      </c>
      <c r="E547" s="10" t="s">
        <v>26</v>
      </c>
      <c r="F547" s="14">
        <v>229284.3</v>
      </c>
      <c r="G547" s="14">
        <f>F547*C547</f>
        <v>738754.0146</v>
      </c>
      <c r="H547" s="15">
        <f>IF($G$1279=0,0,G547/$G$1279*100)</f>
      </c>
      <c r="I547" s="12" t="str">
        <f>IF(O547-C547&gt;0,O547-C547,"")</f>
        <v/>
      </c>
      <c r="J547" s="14" t="str">
        <f>IF(I547="","",F547*I547)</f>
        <v/>
      </c>
      <c r="K547" s="15">
        <f>IF(OR(J547="",$G$1279=0),"",J547/$G$1279*100)</f>
      </c>
      <c r="L547" s="12" t="str">
        <f>IF(C547-O547&gt;0,C547-O547,"")</f>
        <v/>
      </c>
      <c r="M547" s="14" t="str">
        <f>IF(L547="","",F547*L547)</f>
        <v/>
      </c>
      <c r="N547" s="15">
        <f>IF(OR(M547="",$G$1279=0),"",M547/$G$1279*100)</f>
      </c>
      <c r="O547" s="12">
        <v>3.222</v>
      </c>
      <c r="P547" s="14">
        <f>F547*O547</f>
        <v>738754.0146</v>
      </c>
      <c r="Q547" s="15">
        <f>IF($P$1279=0,0,P547/$P$1279*100)</f>
      </c>
      <c r="R547" s="10" t="str">
        <f>IF(O547=C547,"TETAP",IF(C547=0,"BARU",IF(O547=0,"HAPUS",IF(O547&gt;C547,"TAMBAH","KURANG"))))</f>
        <v>TETAP</v>
      </c>
    </row>
    <row r="548" spans="1:18" x14ac:dyDescent="0.25">
      <c r="A548" s="10" t="s">
        <v>276</v>
      </c>
      <c r="B548" s="18" t="s">
        <v>380</v>
      </c>
      <c r="C548" s="12">
        <v>28.334</v>
      </c>
      <c r="D548" s="12">
        <v>0</v>
      </c>
      <c r="E548" s="10" t="s">
        <v>169</v>
      </c>
      <c r="F548" s="14">
        <v>19252.39</v>
      </c>
      <c r="G548" s="14">
        <f>F548*C548</f>
        <v>545497.21826</v>
      </c>
      <c r="H548" s="15">
        <f>IF($G$1279=0,0,G548/$G$1279*100)</f>
      </c>
      <c r="I548" s="12" t="str">
        <f>IF(O548-C548&gt;0,O548-C548,"")</f>
        <v/>
      </c>
      <c r="J548" s="14" t="str">
        <f>IF(I548="","",F548*I548)</f>
        <v/>
      </c>
      <c r="K548" s="15">
        <f>IF(OR(J548="",$G$1279=0),"",J548/$G$1279*100)</f>
      </c>
      <c r="L548" s="12" t="str">
        <f>IF(C548-O548&gt;0,C548-O548,"")</f>
        <v/>
      </c>
      <c r="M548" s="14" t="str">
        <f>IF(L548="","",F548*L548)</f>
        <v/>
      </c>
      <c r="N548" s="15">
        <f>IF(OR(M548="",$G$1279=0),"",M548/$G$1279*100)</f>
      </c>
      <c r="O548" s="12">
        <v>28.334</v>
      </c>
      <c r="P548" s="14">
        <f>F548*O548</f>
        <v>545497.21826</v>
      </c>
      <c r="Q548" s="15">
        <f>IF($P$1279=0,0,P548/$P$1279*100)</f>
      </c>
      <c r="R548" s="10" t="str">
        <f>IF(O548=C548,"TETAP",IF(C548=0,"BARU",IF(O548=0,"HAPUS",IF(O548&gt;C548,"TAMBAH","KURANG"))))</f>
        <v>TETAP</v>
      </c>
    </row>
    <row r="549" spans="1:18" x14ac:dyDescent="0.25">
      <c r="A549" s="10" t="s">
        <v>278</v>
      </c>
      <c r="B549" s="18" t="s">
        <v>364</v>
      </c>
      <c r="C549" s="12">
        <v>16.572</v>
      </c>
      <c r="D549" s="12">
        <v>0</v>
      </c>
      <c r="E549" s="10" t="s">
        <v>169</v>
      </c>
      <c r="F549" s="14">
        <v>19252.39</v>
      </c>
      <c r="G549" s="14">
        <f>F549*C549</f>
        <v>319050.60708</v>
      </c>
      <c r="H549" s="15">
        <f>IF($G$1279=0,0,G549/$G$1279*100)</f>
      </c>
      <c r="I549" s="12" t="str">
        <f>IF(O549-C549&gt;0,O549-C549,"")</f>
        <v/>
      </c>
      <c r="J549" s="14" t="str">
        <f>IF(I549="","",F549*I549)</f>
        <v/>
      </c>
      <c r="K549" s="15">
        <f>IF(OR(J549="",$G$1279=0),"",J549/$G$1279*100)</f>
      </c>
      <c r="L549" s="12" t="str">
        <f>IF(C549-O549&gt;0,C549-O549,"")</f>
        <v/>
      </c>
      <c r="M549" s="14" t="str">
        <f>IF(L549="","",F549*L549)</f>
        <v/>
      </c>
      <c r="N549" s="15">
        <f>IF(OR(M549="",$G$1279=0),"",M549/$G$1279*100)</f>
      </c>
      <c r="O549" s="12">
        <v>16.572</v>
      </c>
      <c r="P549" s="14">
        <f>F549*O549</f>
        <v>319050.60708</v>
      </c>
      <c r="Q549" s="15">
        <f>IF($P$1279=0,0,P549/$P$1279*100)</f>
      </c>
      <c r="R549" s="10" t="str">
        <f>IF(O549=C549,"TETAP",IF(C549=0,"BARU",IF(O549=0,"HAPUS",IF(O549&gt;C549,"TAMBAH","KURANG"))))</f>
        <v>TETAP</v>
      </c>
    </row>
    <row r="550" spans="1:18" x14ac:dyDescent="0.25">
      <c r="A550" s="10" t="s">
        <v>279</v>
      </c>
      <c r="B550" s="18" t="s">
        <v>392</v>
      </c>
      <c r="C550" s="12">
        <v>0.242</v>
      </c>
      <c r="D550" s="12">
        <v>0</v>
      </c>
      <c r="E550" s="10" t="s">
        <v>159</v>
      </c>
      <c r="F550" s="14">
        <v>1399567.05</v>
      </c>
      <c r="G550" s="14">
        <f>F550*C550</f>
        <v>338695.2261</v>
      </c>
      <c r="H550" s="15">
        <f>IF($G$1279=0,0,G550/$G$1279*100)</f>
      </c>
      <c r="I550" s="12" t="str">
        <f>IF(O550-C550&gt;0,O550-C550,"")</f>
        <v/>
      </c>
      <c r="J550" s="14" t="str">
        <f>IF(I550="","",F550*I550)</f>
        <v/>
      </c>
      <c r="K550" s="15">
        <f>IF(OR(J550="",$G$1279=0),"",J550/$G$1279*100)</f>
      </c>
      <c r="L550" s="12" t="str">
        <f>IF(C550-O550&gt;0,C550-O550,"")</f>
        <v/>
      </c>
      <c r="M550" s="14" t="str">
        <f>IF(L550="","",F550*L550)</f>
        <v/>
      </c>
      <c r="N550" s="15">
        <f>IF(OR(M550="",$G$1279=0),"",M550/$G$1279*100)</f>
      </c>
      <c r="O550" s="12">
        <v>0.242</v>
      </c>
      <c r="P550" s="14">
        <f>F550*O550</f>
        <v>338695.2261</v>
      </c>
      <c r="Q550" s="15">
        <f>IF($P$1279=0,0,P550/$P$1279*100)</f>
      </c>
      <c r="R550" s="10" t="str">
        <f>IF(O550=C550,"TETAP",IF(C550=0,"BARU",IF(O550=0,"HAPUS",IF(O550&gt;C550,"TAMBAH","KURANG"))))</f>
        <v>TETAP</v>
      </c>
    </row>
    <row r="551" spans="1:18" x14ac:dyDescent="0.25">
      <c r="A551" s="5" t="s">
        <v>112</v>
      </c>
      <c r="B551" s="17" t="s">
        <v>376</v>
      </c>
      <c r="C551" s="7"/>
      <c r="D551" s="7"/>
      <c r="E551" s="5"/>
      <c r="F551" s="8"/>
      <c r="G551" s="8"/>
      <c r="H551" s="9"/>
      <c r="I551" s="7"/>
      <c r="J551" s="8"/>
      <c r="K551" s="9"/>
      <c r="L551" s="7"/>
      <c r="M551" s="8"/>
      <c r="N551" s="9"/>
      <c r="O551" s="7"/>
      <c r="P551" s="8"/>
      <c r="Q551" s="9"/>
      <c r="R551" s="5"/>
    </row>
    <row r="552" spans="1:18" x14ac:dyDescent="0.25">
      <c r="A552" s="10" t="s">
        <v>287</v>
      </c>
      <c r="B552" s="18" t="s">
        <v>252</v>
      </c>
      <c r="C552" s="12">
        <v>6.3</v>
      </c>
      <c r="D552" s="12">
        <v>0</v>
      </c>
      <c r="E552" s="10" t="s">
        <v>26</v>
      </c>
      <c r="F552" s="14">
        <v>236600.08</v>
      </c>
      <c r="G552" s="14">
        <f>F552*C552</f>
        <v>1490580.504</v>
      </c>
      <c r="H552" s="15">
        <f>IF($G$1279=0,0,G552/$G$1279*100)</f>
      </c>
      <c r="I552" s="12" t="str">
        <f>IF(O552-C552&gt;0,O552-C552,"")</f>
        <v/>
      </c>
      <c r="J552" s="14" t="str">
        <f>IF(I552="","",F552*I552)</f>
        <v/>
      </c>
      <c r="K552" s="15">
        <f>IF(OR(J552="",$G$1279=0),"",J552/$G$1279*100)</f>
      </c>
      <c r="L552" s="12" t="str">
        <f>IF(C552-O552&gt;0,C552-O552,"")</f>
        <v/>
      </c>
      <c r="M552" s="14" t="str">
        <f>IF(L552="","",F552*L552)</f>
        <v/>
      </c>
      <c r="N552" s="15">
        <f>IF(OR(M552="",$G$1279=0),"",M552/$G$1279*100)</f>
      </c>
      <c r="O552" s="12">
        <v>6.3</v>
      </c>
      <c r="P552" s="14">
        <f>F552*O552</f>
        <v>1490580.504</v>
      </c>
      <c r="Q552" s="15">
        <f>IF($P$1279=0,0,P552/$P$1279*100)</f>
      </c>
      <c r="R552" s="10" t="str">
        <f>IF(O552=C552,"TETAP",IF(C552=0,"BARU",IF(O552=0,"HAPUS",IF(O552&gt;C552,"TAMBAH","KURANG"))))</f>
        <v>TETAP</v>
      </c>
    </row>
    <row r="553" spans="1:18" x14ac:dyDescent="0.25">
      <c r="A553" s="10" t="s">
        <v>288</v>
      </c>
      <c r="B553" s="18" t="s">
        <v>363</v>
      </c>
      <c r="C553" s="12">
        <v>43.155</v>
      </c>
      <c r="D553" s="12">
        <v>0</v>
      </c>
      <c r="E553" s="10" t="s">
        <v>169</v>
      </c>
      <c r="F553" s="14">
        <v>19252.39</v>
      </c>
      <c r="G553" s="14">
        <f>F553*C553</f>
        <v>830836.89045</v>
      </c>
      <c r="H553" s="15">
        <f>IF($G$1279=0,0,G553/$G$1279*100)</f>
      </c>
      <c r="I553" s="12" t="str">
        <f>IF(O553-C553&gt;0,O553-C553,"")</f>
        <v/>
      </c>
      <c r="J553" s="14" t="str">
        <f>IF(I553="","",F553*I553)</f>
        <v/>
      </c>
      <c r="K553" s="15">
        <f>IF(OR(J553="",$G$1279=0),"",J553/$G$1279*100)</f>
      </c>
      <c r="L553" s="12" t="str">
        <f>IF(C553-O553&gt;0,C553-O553,"")</f>
        <v/>
      </c>
      <c r="M553" s="14" t="str">
        <f>IF(L553="","",F553*L553)</f>
        <v/>
      </c>
      <c r="N553" s="15">
        <f>IF(OR(M553="",$G$1279=0),"",M553/$G$1279*100)</f>
      </c>
      <c r="O553" s="12">
        <v>43.155</v>
      </c>
      <c r="P553" s="14">
        <f>F553*O553</f>
        <v>830836.89045</v>
      </c>
      <c r="Q553" s="15">
        <f>IF($P$1279=0,0,P553/$P$1279*100)</f>
      </c>
      <c r="R553" s="10" t="str">
        <f>IF(O553=C553,"TETAP",IF(C553=0,"BARU",IF(O553=0,"HAPUS",IF(O553&gt;C553,"TAMBAH","KURANG"))))</f>
        <v>TETAP</v>
      </c>
    </row>
    <row r="554" spans="1:18" x14ac:dyDescent="0.25">
      <c r="A554" s="10" t="s">
        <v>289</v>
      </c>
      <c r="B554" s="18" t="s">
        <v>364</v>
      </c>
      <c r="C554" s="12">
        <v>38.888</v>
      </c>
      <c r="D554" s="12">
        <v>0</v>
      </c>
      <c r="E554" s="10" t="s">
        <v>169</v>
      </c>
      <c r="F554" s="14">
        <v>19252.39</v>
      </c>
      <c r="G554" s="14">
        <f>F554*C554</f>
        <v>748686.9423199999</v>
      </c>
      <c r="H554" s="15">
        <f>IF($G$1279=0,0,G554/$G$1279*100)</f>
      </c>
      <c r="I554" s="12" t="str">
        <f>IF(O554-C554&gt;0,O554-C554,"")</f>
        <v/>
      </c>
      <c r="J554" s="14" t="str">
        <f>IF(I554="","",F554*I554)</f>
        <v/>
      </c>
      <c r="K554" s="15">
        <f>IF(OR(J554="",$G$1279=0),"",J554/$G$1279*100)</f>
      </c>
      <c r="L554" s="12" t="str">
        <f>IF(C554-O554&gt;0,C554-O554,"")</f>
        <v/>
      </c>
      <c r="M554" s="14" t="str">
        <f>IF(L554="","",F554*L554)</f>
        <v/>
      </c>
      <c r="N554" s="15">
        <f>IF(OR(M554="",$G$1279=0),"",M554/$G$1279*100)</f>
      </c>
      <c r="O554" s="12">
        <v>38.888</v>
      </c>
      <c r="P554" s="14">
        <f>F554*O554</f>
        <v>748686.9423199999</v>
      </c>
      <c r="Q554" s="15">
        <f>IF($P$1279=0,0,P554/$P$1279*100)</f>
      </c>
      <c r="R554" s="10" t="str">
        <f>IF(O554=C554,"TETAP",IF(C554=0,"BARU",IF(O554=0,"HAPUS",IF(O554&gt;C554,"TAMBAH","KURANG"))))</f>
        <v>TETAP</v>
      </c>
    </row>
    <row r="555" spans="1:18" x14ac:dyDescent="0.25">
      <c r="A555" s="10" t="s">
        <v>290</v>
      </c>
      <c r="B555" s="18" t="s">
        <v>392</v>
      </c>
      <c r="C555" s="12">
        <v>0.98</v>
      </c>
      <c r="D555" s="12">
        <v>0</v>
      </c>
      <c r="E555" s="10" t="s">
        <v>159</v>
      </c>
      <c r="F555" s="14">
        <v>1399567.05</v>
      </c>
      <c r="G555" s="14">
        <f>F555*C555</f>
        <v>1371575.709</v>
      </c>
      <c r="H555" s="15">
        <f>IF($G$1279=0,0,G555/$G$1279*100)</f>
      </c>
      <c r="I555" s="12" t="str">
        <f>IF(O555-C555&gt;0,O555-C555,"")</f>
        <v/>
      </c>
      <c r="J555" s="14" t="str">
        <f>IF(I555="","",F555*I555)</f>
        <v/>
      </c>
      <c r="K555" s="15">
        <f>IF(OR(J555="",$G$1279=0),"",J555/$G$1279*100)</f>
      </c>
      <c r="L555" s="12" t="str">
        <f>IF(C555-O555&gt;0,C555-O555,"")</f>
        <v/>
      </c>
      <c r="M555" s="14" t="str">
        <f>IF(L555="","",F555*L555)</f>
        <v/>
      </c>
      <c r="N555" s="15">
        <f>IF(OR(M555="",$G$1279=0),"",M555/$G$1279*100)</f>
      </c>
      <c r="O555" s="12">
        <v>0.98</v>
      </c>
      <c r="P555" s="14">
        <f>F555*O555</f>
        <v>1371575.709</v>
      </c>
      <c r="Q555" s="15">
        <f>IF($P$1279=0,0,P555/$P$1279*100)</f>
      </c>
      <c r="R555" s="10" t="str">
        <f>IF(O555=C555,"TETAP",IF(C555=0,"BARU",IF(O555=0,"HAPUS",IF(O555&gt;C555,"TAMBAH","KURANG"))))</f>
        <v>TETAP</v>
      </c>
    </row>
    <row r="556" spans="1:18" x14ac:dyDescent="0.25">
      <c r="A556" s="5" t="s">
        <v>115</v>
      </c>
      <c r="B556" s="17" t="s">
        <v>378</v>
      </c>
      <c r="C556" s="7"/>
      <c r="D556" s="7"/>
      <c r="E556" s="5"/>
      <c r="F556" s="8"/>
      <c r="G556" s="8"/>
      <c r="H556" s="9"/>
      <c r="I556" s="7"/>
      <c r="J556" s="8"/>
      <c r="K556" s="9"/>
      <c r="L556" s="7"/>
      <c r="M556" s="8"/>
      <c r="N556" s="9"/>
      <c r="O556" s="7"/>
      <c r="P556" s="8"/>
      <c r="Q556" s="9"/>
      <c r="R556" s="5"/>
    </row>
    <row r="557" spans="1:18" x14ac:dyDescent="0.25">
      <c r="A557" s="10" t="s">
        <v>117</v>
      </c>
      <c r="B557" s="18" t="s">
        <v>252</v>
      </c>
      <c r="C557" s="12">
        <v>1.35</v>
      </c>
      <c r="D557" s="12">
        <v>0</v>
      </c>
      <c r="E557" s="10" t="s">
        <v>26</v>
      </c>
      <c r="F557" s="14">
        <v>236600.08</v>
      </c>
      <c r="G557" s="14">
        <f>F557*C557</f>
        <v>319410.108</v>
      </c>
      <c r="H557" s="15">
        <f>IF($G$1279=0,0,G557/$G$1279*100)</f>
      </c>
      <c r="I557" s="12" t="str">
        <f>IF(O557-C557&gt;0,O557-C557,"")</f>
        <v/>
      </c>
      <c r="J557" s="14" t="str">
        <f>IF(I557="","",F557*I557)</f>
        <v/>
      </c>
      <c r="K557" s="15">
        <f>IF(OR(J557="",$G$1279=0),"",J557/$G$1279*100)</f>
      </c>
      <c r="L557" s="12" t="str">
        <f>IF(C557-O557&gt;0,C557-O557,"")</f>
        <v/>
      </c>
      <c r="M557" s="14" t="str">
        <f>IF(L557="","",F557*L557)</f>
        <v/>
      </c>
      <c r="N557" s="15">
        <f>IF(OR(M557="",$G$1279=0),"",M557/$G$1279*100)</f>
      </c>
      <c r="O557" s="12">
        <v>1.35</v>
      </c>
      <c r="P557" s="14">
        <f>F557*O557</f>
        <v>319410.108</v>
      </c>
      <c r="Q557" s="15">
        <f>IF($P$1279=0,0,P557/$P$1279*100)</f>
      </c>
      <c r="R557" s="10" t="str">
        <f>IF(O557=C557,"TETAP",IF(C557=0,"BARU",IF(O557=0,"HAPUS",IF(O557&gt;C557,"TAMBAH","KURANG"))))</f>
        <v>TETAP</v>
      </c>
    </row>
    <row r="558" spans="1:18" x14ac:dyDescent="0.25">
      <c r="A558" s="10" t="s">
        <v>120</v>
      </c>
      <c r="B558" s="18" t="s">
        <v>363</v>
      </c>
      <c r="C558" s="12">
        <v>9.248</v>
      </c>
      <c r="D558" s="12">
        <v>0</v>
      </c>
      <c r="E558" s="10" t="s">
        <v>169</v>
      </c>
      <c r="F558" s="14">
        <v>19252.39</v>
      </c>
      <c r="G558" s="14">
        <f>F558*C558</f>
        <v>178046.10272</v>
      </c>
      <c r="H558" s="15">
        <f>IF($G$1279=0,0,G558/$G$1279*100)</f>
      </c>
      <c r="I558" s="12" t="str">
        <f>IF(O558-C558&gt;0,O558-C558,"")</f>
        <v/>
      </c>
      <c r="J558" s="14" t="str">
        <f>IF(I558="","",F558*I558)</f>
        <v/>
      </c>
      <c r="K558" s="15">
        <f>IF(OR(J558="",$G$1279=0),"",J558/$G$1279*100)</f>
      </c>
      <c r="L558" s="12" t="str">
        <f>IF(C558-O558&gt;0,C558-O558,"")</f>
        <v/>
      </c>
      <c r="M558" s="14" t="str">
        <f>IF(L558="","",F558*L558)</f>
        <v/>
      </c>
      <c r="N558" s="15">
        <f>IF(OR(M558="",$G$1279=0),"",M558/$G$1279*100)</f>
      </c>
      <c r="O558" s="12">
        <v>9.248</v>
      </c>
      <c r="P558" s="14">
        <f>F558*O558</f>
        <v>178046.10272</v>
      </c>
      <c r="Q558" s="15">
        <f>IF($P$1279=0,0,P558/$P$1279*100)</f>
      </c>
      <c r="R558" s="10" t="str">
        <f>IF(O558=C558,"TETAP",IF(C558=0,"BARU",IF(O558=0,"HAPUS",IF(O558&gt;C558,"TAMBAH","KURANG"))))</f>
        <v>TETAP</v>
      </c>
    </row>
    <row r="559" spans="1:18" x14ac:dyDescent="0.25">
      <c r="A559" s="10" t="s">
        <v>122</v>
      </c>
      <c r="B559" s="18" t="s">
        <v>364</v>
      </c>
      <c r="C559" s="12">
        <v>8.333</v>
      </c>
      <c r="D559" s="12">
        <v>0</v>
      </c>
      <c r="E559" s="10" t="s">
        <v>169</v>
      </c>
      <c r="F559" s="14">
        <v>19252.39</v>
      </c>
      <c r="G559" s="14">
        <f>F559*C559</f>
        <v>160430.16587</v>
      </c>
      <c r="H559" s="15">
        <f>IF($G$1279=0,0,G559/$G$1279*100)</f>
      </c>
      <c r="I559" s="12" t="str">
        <f>IF(O559-C559&gt;0,O559-C559,"")</f>
        <v/>
      </c>
      <c r="J559" s="14" t="str">
        <f>IF(I559="","",F559*I559)</f>
        <v/>
      </c>
      <c r="K559" s="15">
        <f>IF(OR(J559="",$G$1279=0),"",J559/$G$1279*100)</f>
      </c>
      <c r="L559" s="12" t="str">
        <f>IF(C559-O559&gt;0,C559-O559,"")</f>
        <v/>
      </c>
      <c r="M559" s="14" t="str">
        <f>IF(L559="","",F559*L559)</f>
        <v/>
      </c>
      <c r="N559" s="15">
        <f>IF(OR(M559="",$G$1279=0),"",M559/$G$1279*100)</f>
      </c>
      <c r="O559" s="12">
        <v>8.333</v>
      </c>
      <c r="P559" s="14">
        <f>F559*O559</f>
        <v>160430.16587</v>
      </c>
      <c r="Q559" s="15">
        <f>IF($P$1279=0,0,P559/$P$1279*100)</f>
      </c>
      <c r="R559" s="10" t="str">
        <f>IF(O559=C559,"TETAP",IF(C559=0,"BARU",IF(O559=0,"HAPUS",IF(O559&gt;C559,"TAMBAH","KURANG"))))</f>
        <v>TETAP</v>
      </c>
    </row>
    <row r="560" spans="1:18" x14ac:dyDescent="0.25">
      <c r="A560" s="10" t="s">
        <v>124</v>
      </c>
      <c r="B560" s="18" t="s">
        <v>392</v>
      </c>
      <c r="C560" s="12">
        <v>0.21</v>
      </c>
      <c r="D560" s="12">
        <v>0</v>
      </c>
      <c r="E560" s="10" t="s">
        <v>159</v>
      </c>
      <c r="F560" s="14">
        <v>1399567.05</v>
      </c>
      <c r="G560" s="14">
        <f>F560*C560</f>
        <v>293909.0805</v>
      </c>
      <c r="H560" s="15">
        <f>IF($G$1279=0,0,G560/$G$1279*100)</f>
      </c>
      <c r="I560" s="12" t="str">
        <f>IF(O560-C560&gt;0,O560-C560,"")</f>
        <v/>
      </c>
      <c r="J560" s="14" t="str">
        <f>IF(I560="","",F560*I560)</f>
        <v/>
      </c>
      <c r="K560" s="15">
        <f>IF(OR(J560="",$G$1279=0),"",J560/$G$1279*100)</f>
      </c>
      <c r="L560" s="12" t="str">
        <f>IF(C560-O560&gt;0,C560-O560,"")</f>
        <v/>
      </c>
      <c r="M560" s="14" t="str">
        <f>IF(L560="","",F560*L560)</f>
        <v/>
      </c>
      <c r="N560" s="15">
        <f>IF(OR(M560="",$G$1279=0),"",M560/$G$1279*100)</f>
      </c>
      <c r="O560" s="12">
        <v>0.21</v>
      </c>
      <c r="P560" s="14">
        <f>F560*O560</f>
        <v>293909.0805</v>
      </c>
      <c r="Q560" s="15">
        <f>IF($P$1279=0,0,P560/$P$1279*100)</f>
      </c>
      <c r="R560" s="10" t="str">
        <f>IF(O560=C560,"TETAP",IF(C560=0,"BARU",IF(O560=0,"HAPUS",IF(O560&gt;C560,"TAMBAH","KURANG"))))</f>
        <v>TETAP</v>
      </c>
    </row>
    <row r="561" spans="1:18" x14ac:dyDescent="0.25">
      <c r="A561" s="5" t="s">
        <v>132</v>
      </c>
      <c r="B561" s="17" t="s">
        <v>379</v>
      </c>
      <c r="C561" s="7"/>
      <c r="D561" s="7"/>
      <c r="E561" s="5"/>
      <c r="F561" s="8"/>
      <c r="G561" s="8"/>
      <c r="H561" s="9"/>
      <c r="I561" s="7"/>
      <c r="J561" s="8"/>
      <c r="K561" s="9"/>
      <c r="L561" s="7"/>
      <c r="M561" s="8"/>
      <c r="N561" s="9"/>
      <c r="O561" s="7"/>
      <c r="P561" s="8"/>
      <c r="Q561" s="9"/>
      <c r="R561" s="5"/>
    </row>
    <row r="562" spans="1:18" x14ac:dyDescent="0.25">
      <c r="A562" s="10" t="s">
        <v>134</v>
      </c>
      <c r="B562" s="18" t="s">
        <v>252</v>
      </c>
      <c r="C562" s="12">
        <v>0.675</v>
      </c>
      <c r="D562" s="12">
        <v>0</v>
      </c>
      <c r="E562" s="10" t="s">
        <v>26</v>
      </c>
      <c r="F562" s="14">
        <v>236600.08</v>
      </c>
      <c r="G562" s="14">
        <f>F562*C562</f>
        <v>159705.054</v>
      </c>
      <c r="H562" s="15">
        <f>IF($G$1279=0,0,G562/$G$1279*100)</f>
      </c>
      <c r="I562" s="12" t="str">
        <f>IF(O562-C562&gt;0,O562-C562,"")</f>
        <v/>
      </c>
      <c r="J562" s="14" t="str">
        <f>IF(I562="","",F562*I562)</f>
        <v/>
      </c>
      <c r="K562" s="15">
        <f>IF(OR(J562="",$G$1279=0),"",J562/$G$1279*100)</f>
      </c>
      <c r="L562" s="12" t="str">
        <f>IF(C562-O562&gt;0,C562-O562,"")</f>
        <v/>
      </c>
      <c r="M562" s="14" t="str">
        <f>IF(L562="","",F562*L562)</f>
        <v/>
      </c>
      <c r="N562" s="15">
        <f>IF(OR(M562="",$G$1279=0),"",M562/$G$1279*100)</f>
      </c>
      <c r="O562" s="12">
        <v>0.675</v>
      </c>
      <c r="P562" s="14">
        <f>F562*O562</f>
        <v>159705.054</v>
      </c>
      <c r="Q562" s="15">
        <f>IF($P$1279=0,0,P562/$P$1279*100)</f>
      </c>
      <c r="R562" s="10" t="str">
        <f>IF(O562=C562,"TETAP",IF(C562=0,"BARU",IF(O562=0,"HAPUS",IF(O562&gt;C562,"TAMBAH","KURANG"))))</f>
        <v>TETAP</v>
      </c>
    </row>
    <row r="563" spans="1:18" x14ac:dyDescent="0.25">
      <c r="A563" s="10" t="s">
        <v>136</v>
      </c>
      <c r="B563" s="18" t="s">
        <v>380</v>
      </c>
      <c r="C563" s="12">
        <v>7.398</v>
      </c>
      <c r="D563" s="12">
        <v>0</v>
      </c>
      <c r="E563" s="10" t="s">
        <v>169</v>
      </c>
      <c r="F563" s="14">
        <v>19252.39</v>
      </c>
      <c r="G563" s="14">
        <f>F563*C563</f>
        <v>142429.18122</v>
      </c>
      <c r="H563" s="15">
        <f>IF($G$1279=0,0,G563/$G$1279*100)</f>
      </c>
      <c r="I563" s="12" t="str">
        <f>IF(O563-C563&gt;0,O563-C563,"")</f>
        <v/>
      </c>
      <c r="J563" s="14" t="str">
        <f>IF(I563="","",F563*I563)</f>
        <v/>
      </c>
      <c r="K563" s="15">
        <f>IF(OR(J563="",$G$1279=0),"",J563/$G$1279*100)</f>
      </c>
      <c r="L563" s="12" t="str">
        <f>IF(C563-O563&gt;0,C563-O563,"")</f>
        <v/>
      </c>
      <c r="M563" s="14" t="str">
        <f>IF(L563="","",F563*L563)</f>
        <v/>
      </c>
      <c r="N563" s="15">
        <f>IF(OR(M563="",$G$1279=0),"",M563/$G$1279*100)</f>
      </c>
      <c r="O563" s="12">
        <v>7.398</v>
      </c>
      <c r="P563" s="14">
        <f>F563*O563</f>
        <v>142429.18122</v>
      </c>
      <c r="Q563" s="15">
        <f>IF($P$1279=0,0,P563/$P$1279*100)</f>
      </c>
      <c r="R563" s="10" t="str">
        <f>IF(O563=C563,"TETAP",IF(C563=0,"BARU",IF(O563=0,"HAPUS",IF(O563&gt;C563,"TAMBAH","KURANG"))))</f>
        <v>TETAP</v>
      </c>
    </row>
    <row r="564" spans="1:18" x14ac:dyDescent="0.25">
      <c r="A564" s="10" t="s">
        <v>381</v>
      </c>
      <c r="B564" s="18" t="s">
        <v>364</v>
      </c>
      <c r="C564" s="12">
        <v>4.735</v>
      </c>
      <c r="D564" s="12">
        <v>0</v>
      </c>
      <c r="E564" s="10" t="s">
        <v>169</v>
      </c>
      <c r="F564" s="14">
        <v>19252.39</v>
      </c>
      <c r="G564" s="14">
        <f>F564*C564</f>
        <v>91160.06665000001</v>
      </c>
      <c r="H564" s="15">
        <f>IF($G$1279=0,0,G564/$G$1279*100)</f>
      </c>
      <c r="I564" s="12" t="str">
        <f>IF(O564-C564&gt;0,O564-C564,"")</f>
        <v/>
      </c>
      <c r="J564" s="14" t="str">
        <f>IF(I564="","",F564*I564)</f>
        <v/>
      </c>
      <c r="K564" s="15">
        <f>IF(OR(J564="",$G$1279=0),"",J564/$G$1279*100)</f>
      </c>
      <c r="L564" s="12" t="str">
        <f>IF(C564-O564&gt;0,C564-O564,"")</f>
        <v/>
      </c>
      <c r="M564" s="14" t="str">
        <f>IF(L564="","",F564*L564)</f>
        <v/>
      </c>
      <c r="N564" s="15">
        <f>IF(OR(M564="",$G$1279=0),"",M564/$G$1279*100)</f>
      </c>
      <c r="O564" s="12">
        <v>4.735</v>
      </c>
      <c r="P564" s="14">
        <f>F564*O564</f>
        <v>91160.06665000001</v>
      </c>
      <c r="Q564" s="15">
        <f>IF($P$1279=0,0,P564/$P$1279*100)</f>
      </c>
      <c r="R564" s="10" t="str">
        <f>IF(O564=C564,"TETAP",IF(C564=0,"BARU",IF(O564=0,"HAPUS",IF(O564&gt;C564,"TAMBAH","KURANG"))))</f>
        <v>TETAP</v>
      </c>
    </row>
    <row r="565" spans="1:18" x14ac:dyDescent="0.25">
      <c r="A565" s="10" t="s">
        <v>382</v>
      </c>
      <c r="B565" s="18" t="s">
        <v>392</v>
      </c>
      <c r="C565" s="12">
        <v>0.067</v>
      </c>
      <c r="D565" s="12">
        <v>0</v>
      </c>
      <c r="E565" s="10" t="s">
        <v>159</v>
      </c>
      <c r="F565" s="14">
        <v>1399567.05</v>
      </c>
      <c r="G565" s="14">
        <f>F565*C565</f>
        <v>93770.99235000001</v>
      </c>
      <c r="H565" s="15">
        <f>IF($G$1279=0,0,G565/$G$1279*100)</f>
      </c>
      <c r="I565" s="12" t="str">
        <f>IF(O565-C565&gt;0,O565-C565,"")</f>
        <v/>
      </c>
      <c r="J565" s="14" t="str">
        <f>IF(I565="","",F565*I565)</f>
        <v/>
      </c>
      <c r="K565" s="15">
        <f>IF(OR(J565="",$G$1279=0),"",J565/$G$1279*100)</f>
      </c>
      <c r="L565" s="12" t="str">
        <f>IF(C565-O565&gt;0,C565-O565,"")</f>
        <v/>
      </c>
      <c r="M565" s="14" t="str">
        <f>IF(L565="","",F565*L565)</f>
        <v/>
      </c>
      <c r="N565" s="15">
        <f>IF(OR(M565="",$G$1279=0),"",M565/$G$1279*100)</f>
      </c>
      <c r="O565" s="12">
        <v>0.067</v>
      </c>
      <c r="P565" s="14">
        <f>F565*O565</f>
        <v>93770.99235000001</v>
      </c>
      <c r="Q565" s="15">
        <f>IF($P$1279=0,0,P565/$P$1279*100)</f>
      </c>
      <c r="R565" s="10" t="str">
        <f>IF(O565=C565,"TETAP",IF(C565=0,"BARU",IF(O565=0,"HAPUS",IF(O565&gt;C565,"TAMBAH","KURANG"))))</f>
        <v>TETAP</v>
      </c>
    </row>
    <row r="566" spans="1:18" x14ac:dyDescent="0.25">
      <c r="A566" s="5" t="s">
        <v>138</v>
      </c>
      <c r="B566" s="17" t="s">
        <v>383</v>
      </c>
      <c r="C566" s="7"/>
      <c r="D566" s="7"/>
      <c r="E566" s="5"/>
      <c r="F566" s="8"/>
      <c r="G566" s="8"/>
      <c r="H566" s="9"/>
      <c r="I566" s="7"/>
      <c r="J566" s="8"/>
      <c r="K566" s="9"/>
      <c r="L566" s="7"/>
      <c r="M566" s="8"/>
      <c r="N566" s="9"/>
      <c r="O566" s="7"/>
      <c r="P566" s="8"/>
      <c r="Q566" s="9"/>
      <c r="R566" s="5"/>
    </row>
    <row r="567" spans="1:18" x14ac:dyDescent="0.25">
      <c r="A567" s="5" t="s">
        <v>384</v>
      </c>
      <c r="B567" s="19" t="s">
        <v>385</v>
      </c>
      <c r="C567" s="7"/>
      <c r="D567" s="7"/>
      <c r="E567" s="5"/>
      <c r="F567" s="8"/>
      <c r="G567" s="8"/>
      <c r="H567" s="9"/>
      <c r="I567" s="7"/>
      <c r="J567" s="8"/>
      <c r="K567" s="9"/>
      <c r="L567" s="7"/>
      <c r="M567" s="8"/>
      <c r="N567" s="9"/>
      <c r="O567" s="7"/>
      <c r="P567" s="8"/>
      <c r="Q567" s="9"/>
      <c r="R567" s="5"/>
    </row>
    <row r="568" spans="1:18" x14ac:dyDescent="0.25">
      <c r="A568" s="10" t="s">
        <v>386</v>
      </c>
      <c r="B568" s="21" t="s">
        <v>377</v>
      </c>
      <c r="C568" s="12">
        <v>10.118</v>
      </c>
      <c r="D568" s="12">
        <v>0</v>
      </c>
      <c r="E568" s="10" t="s">
        <v>26</v>
      </c>
      <c r="F568" s="14">
        <v>236600.08</v>
      </c>
      <c r="G568" s="14">
        <f>F568*C568</f>
        <v>2393919.60944</v>
      </c>
      <c r="H568" s="15">
        <f>IF($G$1279=0,0,G568/$G$1279*100)</f>
      </c>
      <c r="I568" s="12" t="str">
        <f>IF(O568-C568&gt;0,O568-C568,"")</f>
        <v/>
      </c>
      <c r="J568" s="14" t="str">
        <f>IF(I568="","",F568*I568)</f>
        <v/>
      </c>
      <c r="K568" s="15">
        <f>IF(OR(J568="",$G$1279=0),"",J568/$G$1279*100)</f>
      </c>
      <c r="L568" s="12" t="str">
        <f>IF(C568-O568&gt;0,C568-O568,"")</f>
        <v/>
      </c>
      <c r="M568" s="14" t="str">
        <f>IF(L568="","",F568*L568)</f>
        <v/>
      </c>
      <c r="N568" s="15">
        <f>IF(OR(M568="",$G$1279=0),"",M568/$G$1279*100)</f>
      </c>
      <c r="O568" s="12">
        <v>10.118</v>
      </c>
      <c r="P568" s="14">
        <f>F568*O568</f>
        <v>2393919.60944</v>
      </c>
      <c r="Q568" s="15">
        <f>IF($P$1279=0,0,P568/$P$1279*100)</f>
      </c>
      <c r="R568" s="10" t="str">
        <f>IF(O568=C568,"TETAP",IF(C568=0,"BARU",IF(O568=0,"HAPUS",IF(O568&gt;C568,"TAMBAH","KURANG"))))</f>
        <v>TETAP</v>
      </c>
    </row>
    <row r="569" spans="1:18" x14ac:dyDescent="0.25">
      <c r="A569" s="10" t="s">
        <v>387</v>
      </c>
      <c r="B569" s="21" t="s">
        <v>388</v>
      </c>
      <c r="C569" s="12">
        <v>46.844</v>
      </c>
      <c r="D569" s="12">
        <v>0</v>
      </c>
      <c r="E569" s="10" t="s">
        <v>169</v>
      </c>
      <c r="F569" s="14">
        <v>19252.39</v>
      </c>
      <c r="G569" s="14">
        <f>F569*C569</f>
        <v>901858.95716</v>
      </c>
      <c r="H569" s="15">
        <f>IF($G$1279=0,0,G569/$G$1279*100)</f>
      </c>
      <c r="I569" s="12" t="str">
        <f>IF(O569-C569&gt;0,O569-C569,"")</f>
        <v/>
      </c>
      <c r="J569" s="14" t="str">
        <f>IF(I569="","",F569*I569)</f>
        <v/>
      </c>
      <c r="K569" s="15">
        <f>IF(OR(J569="",$G$1279=0),"",J569/$G$1279*100)</f>
      </c>
      <c r="L569" s="12" t="str">
        <f>IF(C569-O569&gt;0,C569-O569,"")</f>
        <v/>
      </c>
      <c r="M569" s="14" t="str">
        <f>IF(L569="","",F569*L569)</f>
        <v/>
      </c>
      <c r="N569" s="15">
        <f>IF(OR(M569="",$G$1279=0),"",M569/$G$1279*100)</f>
      </c>
      <c r="O569" s="12">
        <v>46.844</v>
      </c>
      <c r="P569" s="14">
        <f>F569*O569</f>
        <v>901858.95716</v>
      </c>
      <c r="Q569" s="15">
        <f>IF($P$1279=0,0,P569/$P$1279*100)</f>
      </c>
      <c r="R569" s="10" t="str">
        <f>IF(O569=C569,"TETAP",IF(C569=0,"BARU",IF(O569=0,"HAPUS",IF(O569&gt;C569,"TAMBAH","KURANG"))))</f>
        <v>TETAP</v>
      </c>
    </row>
    <row r="570" spans="1:18" x14ac:dyDescent="0.25">
      <c r="A570" s="10" t="s">
        <v>389</v>
      </c>
      <c r="B570" s="21" t="s">
        <v>390</v>
      </c>
      <c r="C570" s="12">
        <v>87.6</v>
      </c>
      <c r="D570" s="12">
        <v>0</v>
      </c>
      <c r="E570" s="10" t="s">
        <v>169</v>
      </c>
      <c r="F570" s="14">
        <v>19252.39</v>
      </c>
      <c r="G570" s="14">
        <f>F570*C570</f>
        <v>1686509.3639999998</v>
      </c>
      <c r="H570" s="15">
        <f>IF($G$1279=0,0,G570/$G$1279*100)</f>
      </c>
      <c r="I570" s="12" t="str">
        <f>IF(O570-C570&gt;0,O570-C570,"")</f>
        <v/>
      </c>
      <c r="J570" s="14" t="str">
        <f>IF(I570="","",F570*I570)</f>
        <v/>
      </c>
      <c r="K570" s="15">
        <f>IF(OR(J570="",$G$1279=0),"",J570/$G$1279*100)</f>
      </c>
      <c r="L570" s="12" t="str">
        <f>IF(C570-O570&gt;0,C570-O570,"")</f>
        <v/>
      </c>
      <c r="M570" s="14" t="str">
        <f>IF(L570="","",F570*L570)</f>
        <v/>
      </c>
      <c r="N570" s="15">
        <f>IF(OR(M570="",$G$1279=0),"",M570/$G$1279*100)</f>
      </c>
      <c r="O570" s="12">
        <v>87.6</v>
      </c>
      <c r="P570" s="14">
        <f>F570*O570</f>
        <v>1686509.3639999998</v>
      </c>
      <c r="Q570" s="15">
        <f>IF($P$1279=0,0,P570/$P$1279*100)</f>
      </c>
      <c r="R570" s="10" t="str">
        <f>IF(O570=C570,"TETAP",IF(C570=0,"BARU",IF(O570=0,"HAPUS",IF(O570&gt;C570,"TAMBAH","KURANG"))))</f>
        <v>TETAP</v>
      </c>
    </row>
    <row r="571" spans="1:18" x14ac:dyDescent="0.25">
      <c r="A571" s="10" t="s">
        <v>391</v>
      </c>
      <c r="B571" s="21" t="s">
        <v>392</v>
      </c>
      <c r="C571" s="12">
        <v>0.552</v>
      </c>
      <c r="D571" s="12">
        <v>0</v>
      </c>
      <c r="E571" s="10" t="s">
        <v>159</v>
      </c>
      <c r="F571" s="14">
        <v>1399567.05</v>
      </c>
      <c r="G571" s="14">
        <f>F571*C571</f>
        <v>772561.0116000001</v>
      </c>
      <c r="H571" s="15">
        <f>IF($G$1279=0,0,G571/$G$1279*100)</f>
      </c>
      <c r="I571" s="12" t="str">
        <f>IF(O571-C571&gt;0,O571-C571,"")</f>
        <v/>
      </c>
      <c r="J571" s="14" t="str">
        <f>IF(I571="","",F571*I571)</f>
        <v/>
      </c>
      <c r="K571" s="15">
        <f>IF(OR(J571="",$G$1279=0),"",J571/$G$1279*100)</f>
      </c>
      <c r="L571" s="12" t="str">
        <f>IF(C571-O571&gt;0,C571-O571,"")</f>
        <v/>
      </c>
      <c r="M571" s="14" t="str">
        <f>IF(L571="","",F571*L571)</f>
        <v/>
      </c>
      <c r="N571" s="15">
        <f>IF(OR(M571="",$G$1279=0),"",M571/$G$1279*100)</f>
      </c>
      <c r="O571" s="12">
        <v>0.552</v>
      </c>
      <c r="P571" s="14">
        <f>F571*O571</f>
        <v>772561.0116000001</v>
      </c>
      <c r="Q571" s="15">
        <f>IF($P$1279=0,0,P571/$P$1279*100)</f>
      </c>
      <c r="R571" s="10" t="str">
        <f>IF(O571=C571,"TETAP",IF(C571=0,"BARU",IF(O571=0,"HAPUS",IF(O571&gt;C571,"TAMBAH","KURANG"))))</f>
        <v>TETAP</v>
      </c>
    </row>
    <row r="572" spans="1:18" x14ac:dyDescent="0.25">
      <c r="A572" s="5" t="s">
        <v>393</v>
      </c>
      <c r="B572" s="19" t="s">
        <v>394</v>
      </c>
      <c r="C572" s="7"/>
      <c r="D572" s="7"/>
      <c r="E572" s="5"/>
      <c r="F572" s="8"/>
      <c r="G572" s="8"/>
      <c r="H572" s="9"/>
      <c r="I572" s="7"/>
      <c r="J572" s="8"/>
      <c r="K572" s="9"/>
      <c r="L572" s="7"/>
      <c r="M572" s="8"/>
      <c r="N572" s="9"/>
      <c r="O572" s="7"/>
      <c r="P572" s="8"/>
      <c r="Q572" s="9"/>
      <c r="R572" s="5"/>
    </row>
    <row r="573" spans="1:18" x14ac:dyDescent="0.25">
      <c r="A573" s="10" t="s">
        <v>395</v>
      </c>
      <c r="B573" s="21" t="s">
        <v>371</v>
      </c>
      <c r="C573" s="12">
        <v>2.8</v>
      </c>
      <c r="D573" s="12">
        <v>0</v>
      </c>
      <c r="E573" s="10" t="s">
        <v>26</v>
      </c>
      <c r="F573" s="14">
        <v>229284.3</v>
      </c>
      <c r="G573" s="14">
        <f>F573*C573</f>
        <v>641996.0399999999</v>
      </c>
      <c r="H573" s="15">
        <f>IF($G$1279=0,0,G573/$G$1279*100)</f>
      </c>
      <c r="I573" s="12" t="str">
        <f>IF(O573-C573&gt;0,O573-C573,"")</f>
        <v/>
      </c>
      <c r="J573" s="14" t="str">
        <f>IF(I573="","",F573*I573)</f>
        <v/>
      </c>
      <c r="K573" s="15">
        <f>IF(OR(J573="",$G$1279=0),"",J573/$G$1279*100)</f>
      </c>
      <c r="L573" s="12" t="str">
        <f>IF(C573-O573&gt;0,C573-O573,"")</f>
        <v/>
      </c>
      <c r="M573" s="14" t="str">
        <f>IF(L573="","",F573*L573)</f>
        <v/>
      </c>
      <c r="N573" s="15">
        <f>IF(OR(M573="",$G$1279=0),"",M573/$G$1279*100)</f>
      </c>
      <c r="O573" s="12">
        <v>2.8</v>
      </c>
      <c r="P573" s="14">
        <f>F573*O573</f>
        <v>641996.0399999999</v>
      </c>
      <c r="Q573" s="15">
        <f>IF($P$1279=0,0,P573/$P$1279*100)</f>
      </c>
      <c r="R573" s="10" t="str">
        <f>IF(O573=C573,"TETAP",IF(C573=0,"BARU",IF(O573=0,"HAPUS",IF(O573&gt;C573,"TAMBAH","KURANG"))))</f>
        <v>TETAP</v>
      </c>
    </row>
    <row r="574" spans="1:18" x14ac:dyDescent="0.25">
      <c r="A574" s="10" t="s">
        <v>396</v>
      </c>
      <c r="B574" s="21" t="s">
        <v>388</v>
      </c>
      <c r="C574" s="12">
        <v>10.85</v>
      </c>
      <c r="D574" s="12">
        <v>0</v>
      </c>
      <c r="E574" s="10" t="s">
        <v>169</v>
      </c>
      <c r="F574" s="14">
        <v>19252.39</v>
      </c>
      <c r="G574" s="14">
        <f>F574*C574</f>
        <v>208888.43149999998</v>
      </c>
      <c r="H574" s="15">
        <f>IF($G$1279=0,0,G574/$G$1279*100)</f>
      </c>
      <c r="I574" s="12" t="str">
        <f>IF(O574-C574&gt;0,O574-C574,"")</f>
        <v/>
      </c>
      <c r="J574" s="14" t="str">
        <f>IF(I574="","",F574*I574)</f>
        <v/>
      </c>
      <c r="K574" s="15">
        <f>IF(OR(J574="",$G$1279=0),"",J574/$G$1279*100)</f>
      </c>
      <c r="L574" s="12" t="str">
        <f>IF(C574-O574&gt;0,C574-O574,"")</f>
        <v/>
      </c>
      <c r="M574" s="14" t="str">
        <f>IF(L574="","",F574*L574)</f>
        <v/>
      </c>
      <c r="N574" s="15">
        <f>IF(OR(M574="",$G$1279=0),"",M574/$G$1279*100)</f>
      </c>
      <c r="O574" s="12">
        <v>10.85</v>
      </c>
      <c r="P574" s="14">
        <f>F574*O574</f>
        <v>208888.43149999998</v>
      </c>
      <c r="Q574" s="15">
        <f>IF($P$1279=0,0,P574/$P$1279*100)</f>
      </c>
      <c r="R574" s="10" t="str">
        <f>IF(O574=C574,"TETAP",IF(C574=0,"BARU",IF(O574=0,"HAPUS",IF(O574&gt;C574,"TAMBAH","KURANG"))))</f>
        <v>TETAP</v>
      </c>
    </row>
    <row r="575" spans="1:18" x14ac:dyDescent="0.25">
      <c r="A575" s="10" t="s">
        <v>397</v>
      </c>
      <c r="B575" s="21" t="s">
        <v>390</v>
      </c>
      <c r="C575" s="12">
        <v>7.576</v>
      </c>
      <c r="D575" s="12">
        <v>0</v>
      </c>
      <c r="E575" s="10" t="s">
        <v>169</v>
      </c>
      <c r="F575" s="14">
        <v>19252.39</v>
      </c>
      <c r="G575" s="14">
        <f>F575*C575</f>
        <v>145856.10663999998</v>
      </c>
      <c r="H575" s="15">
        <f>IF($G$1279=0,0,G575/$G$1279*100)</f>
      </c>
      <c r="I575" s="12" t="str">
        <f>IF(O575-C575&gt;0,O575-C575,"")</f>
        <v/>
      </c>
      <c r="J575" s="14" t="str">
        <f>IF(I575="","",F575*I575)</f>
        <v/>
      </c>
      <c r="K575" s="15">
        <f>IF(OR(J575="",$G$1279=0),"",J575/$G$1279*100)</f>
      </c>
      <c r="L575" s="12" t="str">
        <f>IF(C575-O575&gt;0,C575-O575,"")</f>
        <v/>
      </c>
      <c r="M575" s="14" t="str">
        <f>IF(L575="","",F575*L575)</f>
        <v/>
      </c>
      <c r="N575" s="15">
        <f>IF(OR(M575="",$G$1279=0),"",M575/$G$1279*100)</f>
      </c>
      <c r="O575" s="12">
        <v>7.576</v>
      </c>
      <c r="P575" s="14">
        <f>F575*O575</f>
        <v>145856.10663999998</v>
      </c>
      <c r="Q575" s="15">
        <f>IF($P$1279=0,0,P575/$P$1279*100)</f>
      </c>
      <c r="R575" s="10" t="str">
        <f>IF(O575=C575,"TETAP",IF(C575=0,"BARU",IF(O575=0,"HAPUS",IF(O575&gt;C575,"TAMBAH","KURANG"))))</f>
        <v>TETAP</v>
      </c>
    </row>
    <row r="576" spans="1:18" x14ac:dyDescent="0.25">
      <c r="A576" s="10" t="s">
        <v>398</v>
      </c>
      <c r="B576" s="21" t="s">
        <v>392</v>
      </c>
      <c r="C576" s="12">
        <v>0.12</v>
      </c>
      <c r="D576" s="12">
        <v>0</v>
      </c>
      <c r="E576" s="10" t="s">
        <v>159</v>
      </c>
      <c r="F576" s="14">
        <v>1399567.05</v>
      </c>
      <c r="G576" s="14">
        <f>F576*C576</f>
        <v>167948.046</v>
      </c>
      <c r="H576" s="15">
        <f>IF($G$1279=0,0,G576/$G$1279*100)</f>
      </c>
      <c r="I576" s="12" t="str">
        <f>IF(O576-C576&gt;0,O576-C576,"")</f>
        <v/>
      </c>
      <c r="J576" s="14" t="str">
        <f>IF(I576="","",F576*I576)</f>
        <v/>
      </c>
      <c r="K576" s="15">
        <f>IF(OR(J576="",$G$1279=0),"",J576/$G$1279*100)</f>
      </c>
      <c r="L576" s="12" t="str">
        <f>IF(C576-O576&gt;0,C576-O576,"")</f>
        <v/>
      </c>
      <c r="M576" s="14" t="str">
        <f>IF(L576="","",F576*L576)</f>
        <v/>
      </c>
      <c r="N576" s="15">
        <f>IF(OR(M576="",$G$1279=0),"",M576/$G$1279*100)</f>
      </c>
      <c r="O576" s="12">
        <v>0.12</v>
      </c>
      <c r="P576" s="14">
        <f>F576*O576</f>
        <v>167948.046</v>
      </c>
      <c r="Q576" s="15">
        <f>IF($P$1279=0,0,P576/$P$1279*100)</f>
      </c>
      <c r="R576" s="10" t="str">
        <f>IF(O576=C576,"TETAP",IF(C576=0,"BARU",IF(O576=0,"HAPUS",IF(O576&gt;C576,"TAMBAH","KURANG"))))</f>
        <v>TETAP</v>
      </c>
    </row>
    <row r="577" spans="1:18" x14ac:dyDescent="0.25">
      <c r="A577" s="5" t="s">
        <v>144</v>
      </c>
      <c r="B577" s="17" t="s">
        <v>365</v>
      </c>
      <c r="C577" s="7"/>
      <c r="D577" s="7"/>
      <c r="E577" s="5"/>
      <c r="F577" s="8"/>
      <c r="G577" s="8"/>
      <c r="H577" s="9"/>
      <c r="I577" s="7"/>
      <c r="J577" s="8"/>
      <c r="K577" s="9"/>
      <c r="L577" s="7"/>
      <c r="M577" s="8"/>
      <c r="N577" s="9"/>
      <c r="O577" s="7"/>
      <c r="P577" s="8"/>
      <c r="Q577" s="9"/>
      <c r="R577" s="5"/>
    </row>
    <row r="578" spans="1:18" x14ac:dyDescent="0.25">
      <c r="A578" s="10" t="s">
        <v>146</v>
      </c>
      <c r="B578" s="18" t="s">
        <v>494</v>
      </c>
      <c r="C578" s="12">
        <v>0.124</v>
      </c>
      <c r="D578" s="12">
        <v>0</v>
      </c>
      <c r="E578" s="10" t="s">
        <v>159</v>
      </c>
      <c r="F578" s="14">
        <v>48730.7</v>
      </c>
      <c r="G578" s="14">
        <f>F578*C578</f>
        <v>6042.6068</v>
      </c>
      <c r="H578" s="15">
        <f>IF($G$1279=0,0,G578/$G$1279*100)</f>
      </c>
      <c r="I578" s="12" t="str">
        <f>IF(O578-C578&gt;0,O578-C578,"")</f>
        <v/>
      </c>
      <c r="J578" s="14" t="str">
        <f>IF(I578="","",F578*I578)</f>
        <v/>
      </c>
      <c r="K578" s="15">
        <f>IF(OR(J578="",$G$1279=0),"",J578/$G$1279*100)</f>
      </c>
      <c r="L578" s="12" t="str">
        <f>IF(C578-O578&gt;0,C578-O578,"")</f>
        <v/>
      </c>
      <c r="M578" s="14" t="str">
        <f>IF(L578="","",F578*L578)</f>
        <v/>
      </c>
      <c r="N578" s="15">
        <f>IF(OR(M578="",$G$1279=0),"",M578/$G$1279*100)</f>
      </c>
      <c r="O578" s="12">
        <v>0.124</v>
      </c>
      <c r="P578" s="14">
        <f>F578*O578</f>
        <v>6042.6068</v>
      </c>
      <c r="Q578" s="15">
        <f>IF($P$1279=0,0,P578/$P$1279*100)</f>
      </c>
      <c r="R578" s="10" t="str">
        <f>IF(O578=C578,"TETAP",IF(C578=0,"BARU",IF(O578=0,"HAPUS",IF(O578&gt;C578,"TAMBAH","KURANG"))))</f>
        <v>TETAP</v>
      </c>
    </row>
    <row r="579" spans="1:18" x14ac:dyDescent="0.25">
      <c r="A579" s="10" t="s">
        <v>148</v>
      </c>
      <c r="B579" s="18" t="s">
        <v>495</v>
      </c>
      <c r="C579" s="12">
        <v>2.318</v>
      </c>
      <c r="D579" s="12">
        <v>0</v>
      </c>
      <c r="E579" s="10" t="s">
        <v>26</v>
      </c>
      <c r="F579" s="14">
        <v>164501.03</v>
      </c>
      <c r="G579" s="14">
        <f>F579*C579</f>
        <v>381313.38754</v>
      </c>
      <c r="H579" s="15">
        <f>IF($G$1279=0,0,G579/$G$1279*100)</f>
      </c>
      <c r="I579" s="12" t="str">
        <f>IF(O579-C579&gt;0,O579-C579,"")</f>
        <v/>
      </c>
      <c r="J579" s="14" t="str">
        <f>IF(I579="","",F579*I579)</f>
        <v/>
      </c>
      <c r="K579" s="15">
        <f>IF(OR(J579="",$G$1279=0),"",J579/$G$1279*100)</f>
      </c>
      <c r="L579" s="12" t="str">
        <f>IF(C579-O579&gt;0,C579-O579,"")</f>
        <v/>
      </c>
      <c r="M579" s="14" t="str">
        <f>IF(L579="","",F579*L579)</f>
        <v/>
      </c>
      <c r="N579" s="15">
        <f>IF(OR(M579="",$G$1279=0),"",M579/$G$1279*100)</f>
      </c>
      <c r="O579" s="12">
        <v>2.318</v>
      </c>
      <c r="P579" s="14">
        <f>F579*O579</f>
        <v>381313.38754</v>
      </c>
      <c r="Q579" s="15">
        <f>IF($P$1279=0,0,P579/$P$1279*100)</f>
      </c>
      <c r="R579" s="10" t="str">
        <f>IF(O579=C579,"TETAP",IF(C579=0,"BARU",IF(O579=0,"HAPUS",IF(O579&gt;C579,"TAMBAH","KURANG"))))</f>
        <v>TETAP</v>
      </c>
    </row>
    <row r="580" spans="1:18" x14ac:dyDescent="0.25">
      <c r="A580" s="10" t="s">
        <v>496</v>
      </c>
      <c r="B580" s="18" t="s">
        <v>366</v>
      </c>
      <c r="C580" s="12">
        <v>2.01</v>
      </c>
      <c r="D580" s="12">
        <v>0</v>
      </c>
      <c r="E580" s="10" t="s">
        <v>159</v>
      </c>
      <c r="F580" s="14">
        <v>211003.3</v>
      </c>
      <c r="G580" s="14">
        <f>F580*C580</f>
        <v>424116.6329999999</v>
      </c>
      <c r="H580" s="15">
        <f>IF($G$1279=0,0,G580/$G$1279*100)</f>
      </c>
      <c r="I580" s="12" t="str">
        <f>IF(O580-C580&gt;0,O580-C580,"")</f>
        <v/>
      </c>
      <c r="J580" s="14" t="str">
        <f>IF(I580="","",F580*I580)</f>
        <v/>
      </c>
      <c r="K580" s="15">
        <f>IF(OR(J580="",$G$1279=0),"",J580/$G$1279*100)</f>
      </c>
      <c r="L580" s="12" t="str">
        <f>IF(C580-O580&gt;0,C580-O580,"")</f>
        <v/>
      </c>
      <c r="M580" s="14" t="str">
        <f>IF(L580="","",F580*L580)</f>
        <v/>
      </c>
      <c r="N580" s="15">
        <f>IF(OR(M580="",$G$1279=0),"",M580/$G$1279*100)</f>
      </c>
      <c r="O580" s="12">
        <v>2.01</v>
      </c>
      <c r="P580" s="14">
        <f>F580*O580</f>
        <v>424116.6329999999</v>
      </c>
      <c r="Q580" s="15">
        <f>IF($P$1279=0,0,P580/$P$1279*100)</f>
      </c>
      <c r="R580" s="10" t="str">
        <f>IF(O580=C580,"TETAP",IF(C580=0,"BARU",IF(O580=0,"HAPUS",IF(O580&gt;C580,"TAMBAH","KURANG"))))</f>
        <v>TETAP</v>
      </c>
    </row>
    <row r="581" spans="1:18" x14ac:dyDescent="0.25">
      <c r="A581" s="10" t="s">
        <v>497</v>
      </c>
      <c r="B581" s="18" t="s">
        <v>367</v>
      </c>
      <c r="C581" s="12">
        <v>2.01</v>
      </c>
      <c r="D581" s="12">
        <v>0</v>
      </c>
      <c r="E581" s="10" t="s">
        <v>159</v>
      </c>
      <c r="F581" s="14">
        <v>39994.39</v>
      </c>
      <c r="G581" s="14">
        <f>F581*C581</f>
        <v>80388.7239</v>
      </c>
      <c r="H581" s="15">
        <f>IF($G$1279=0,0,G581/$G$1279*100)</f>
      </c>
      <c r="I581" s="12" t="str">
        <f>IF(O581-C581&gt;0,O581-C581,"")</f>
        <v/>
      </c>
      <c r="J581" s="14" t="str">
        <f>IF(I581="","",F581*I581)</f>
        <v/>
      </c>
      <c r="K581" s="15">
        <f>IF(OR(J581="",$G$1279=0),"",J581/$G$1279*100)</f>
      </c>
      <c r="L581" s="12" t="str">
        <f>IF(C581-O581&gt;0,C581-O581,"")</f>
        <v/>
      </c>
      <c r="M581" s="14" t="str">
        <f>IF(L581="","",F581*L581)</f>
        <v/>
      </c>
      <c r="N581" s="15">
        <f>IF(OR(M581="",$G$1279=0),"",M581/$G$1279*100)</f>
      </c>
      <c r="O581" s="12">
        <v>2.01</v>
      </c>
      <c r="P581" s="14">
        <f>F581*O581</f>
        <v>80388.7239</v>
      </c>
      <c r="Q581" s="15">
        <f>IF($P$1279=0,0,P581/$P$1279*100)</f>
      </c>
      <c r="R581" s="10" t="str">
        <f>IF(O581=C581,"TETAP",IF(C581=0,"BARU",IF(O581=0,"HAPUS",IF(O581&gt;C581,"TAMBAH","KURANG"))))</f>
        <v>TETAP</v>
      </c>
    </row>
    <row r="582" spans="1:18" x14ac:dyDescent="0.25">
      <c r="A582" s="10" t="s">
        <v>498</v>
      </c>
      <c r="B582" s="18" t="s">
        <v>368</v>
      </c>
      <c r="C582" s="12">
        <v>0.761</v>
      </c>
      <c r="D582" s="12">
        <v>0</v>
      </c>
      <c r="E582" s="10" t="s">
        <v>159</v>
      </c>
      <c r="F582" s="14">
        <v>342654.98</v>
      </c>
      <c r="G582" s="14">
        <f>F582*C582</f>
        <v>260760.43978</v>
      </c>
      <c r="H582" s="15">
        <f>IF($G$1279=0,0,G582/$G$1279*100)</f>
      </c>
      <c r="I582" s="12" t="str">
        <f>IF(O582-C582&gt;0,O582-C582,"")</f>
        <v/>
      </c>
      <c r="J582" s="14" t="str">
        <f>IF(I582="","",F582*I582)</f>
        <v/>
      </c>
      <c r="K582" s="15">
        <f>IF(OR(J582="",$G$1279=0),"",J582/$G$1279*100)</f>
      </c>
      <c r="L582" s="12" t="str">
        <f>IF(C582-O582&gt;0,C582-O582,"")</f>
        <v/>
      </c>
      <c r="M582" s="14" t="str">
        <f>IF(L582="","",F582*L582)</f>
        <v/>
      </c>
      <c r="N582" s="15">
        <f>IF(OR(M582="",$G$1279=0),"",M582/$G$1279*100)</f>
      </c>
      <c r="O582" s="12">
        <v>0.761</v>
      </c>
      <c r="P582" s="14">
        <f>F582*O582</f>
        <v>260760.43978</v>
      </c>
      <c r="Q582" s="15">
        <f>IF($P$1279=0,0,P582/$P$1279*100)</f>
      </c>
      <c r="R582" s="10" t="str">
        <f>IF(O582=C582,"TETAP",IF(C582=0,"BARU",IF(O582=0,"HAPUS",IF(O582&gt;C582,"TAMBAH","KURANG"))))</f>
        <v>TETAP</v>
      </c>
    </row>
    <row r="583" spans="1:18" x14ac:dyDescent="0.25">
      <c r="A583" s="10" t="s">
        <v>499</v>
      </c>
      <c r="B583" s="18" t="s">
        <v>500</v>
      </c>
      <c r="C583" s="12">
        <v>0.761</v>
      </c>
      <c r="D583" s="12">
        <v>0</v>
      </c>
      <c r="E583" s="10" t="s">
        <v>159</v>
      </c>
      <c r="F583" s="14">
        <v>1243301.43</v>
      </c>
      <c r="G583" s="14">
        <f>F583*C583</f>
        <v>946152.3882299999</v>
      </c>
      <c r="H583" s="15">
        <f>IF($G$1279=0,0,G583/$G$1279*100)</f>
      </c>
      <c r="I583" s="12" t="str">
        <f>IF(O583-C583&gt;0,O583-C583,"")</f>
        <v/>
      </c>
      <c r="J583" s="14" t="str">
        <f>IF(I583="","",F583*I583)</f>
        <v/>
      </c>
      <c r="K583" s="15">
        <f>IF(OR(J583="",$G$1279=0),"",J583/$G$1279*100)</f>
      </c>
      <c r="L583" s="12" t="str">
        <f>IF(C583-O583&gt;0,C583-O583,"")</f>
        <v/>
      </c>
      <c r="M583" s="14" t="str">
        <f>IF(L583="","",F583*L583)</f>
        <v/>
      </c>
      <c r="N583" s="15">
        <f>IF(OR(M583="",$G$1279=0),"",M583/$G$1279*100)</f>
      </c>
      <c r="O583" s="12">
        <v>0.761</v>
      </c>
      <c r="P583" s="14">
        <f>F583*O583</f>
        <v>946152.3882299999</v>
      </c>
      <c r="Q583" s="15">
        <f>IF($P$1279=0,0,P583/$P$1279*100)</f>
      </c>
      <c r="R583" s="10" t="str">
        <f>IF(O583=C583,"TETAP",IF(C583=0,"BARU",IF(O583=0,"HAPUS",IF(O583&gt;C583,"TAMBAH","KURANG"))))</f>
        <v>TETAP</v>
      </c>
    </row>
    <row r="584" spans="1:18" x14ac:dyDescent="0.25">
      <c r="A584" s="5" t="s">
        <v>501</v>
      </c>
      <c r="B584" s="16" t="s">
        <v>400</v>
      </c>
      <c r="C584" s="7"/>
      <c r="D584" s="7"/>
      <c r="E584" s="5"/>
      <c r="F584" s="8"/>
      <c r="G584" s="8"/>
      <c r="H584" s="9"/>
      <c r="I584" s="7"/>
      <c r="J584" s="8"/>
      <c r="K584" s="9"/>
      <c r="L584" s="7"/>
      <c r="M584" s="8"/>
      <c r="N584" s="9"/>
      <c r="O584" s="7"/>
      <c r="P584" s="8"/>
      <c r="Q584" s="9"/>
      <c r="R584" s="5"/>
    </row>
    <row r="585" spans="1:18" x14ac:dyDescent="0.25">
      <c r="A585" s="10" t="s">
        <v>24</v>
      </c>
      <c r="B585" s="20" t="s">
        <v>502</v>
      </c>
      <c r="C585" s="12">
        <v>53.41</v>
      </c>
      <c r="D585" s="12">
        <v>0</v>
      </c>
      <c r="E585" s="10" t="s">
        <v>26</v>
      </c>
      <c r="F585" s="14">
        <v>164501.03</v>
      </c>
      <c r="G585" s="14">
        <f>F585*C585</f>
        <v>8786000.0123</v>
      </c>
      <c r="H585" s="15">
        <f>IF($G$1279=0,0,G585/$G$1279*100)</f>
      </c>
      <c r="I585" s="12" t="str">
        <f>IF(O585-C585&gt;0,O585-C585,"")</f>
        <v/>
      </c>
      <c r="J585" s="14" t="str">
        <f>IF(I585="","",F585*I585)</f>
        <v/>
      </c>
      <c r="K585" s="15">
        <f>IF(OR(J585="",$G$1279=0),"",J585/$G$1279*100)</f>
      </c>
      <c r="L585" s="12" t="str">
        <f>IF(C585-O585&gt;0,C585-O585,"")</f>
        <v/>
      </c>
      <c r="M585" s="14" t="str">
        <f>IF(L585="","",F585*L585)</f>
        <v/>
      </c>
      <c r="N585" s="15">
        <f>IF(OR(M585="",$G$1279=0),"",M585/$G$1279*100)</f>
      </c>
      <c r="O585" s="12">
        <v>53.41</v>
      </c>
      <c r="P585" s="14">
        <f>F585*O585</f>
        <v>8786000.0123</v>
      </c>
      <c r="Q585" s="15">
        <f>IF($P$1279=0,0,P585/$P$1279*100)</f>
      </c>
      <c r="R585" s="10" t="str">
        <f>IF(O585=C585,"TETAP",IF(C585=0,"BARU",IF(O585=0,"HAPUS",IF(O585&gt;C585,"TAMBAH","KURANG"))))</f>
        <v>TETAP</v>
      </c>
    </row>
    <row r="586" spans="1:18" x14ac:dyDescent="0.25">
      <c r="A586" s="10" t="s">
        <v>27</v>
      </c>
      <c r="B586" s="20" t="s">
        <v>402</v>
      </c>
      <c r="C586" s="12">
        <v>106.819</v>
      </c>
      <c r="D586" s="12">
        <v>0</v>
      </c>
      <c r="E586" s="10" t="s">
        <v>26</v>
      </c>
      <c r="F586" s="14">
        <v>60093.87</v>
      </c>
      <c r="G586" s="14">
        <f>F586*C586</f>
        <v>6419167.09953</v>
      </c>
      <c r="H586" s="15">
        <f>IF($G$1279=0,0,G586/$G$1279*100)</f>
      </c>
      <c r="I586" s="12" t="str">
        <f>IF(O586-C586&gt;0,O586-C586,"")</f>
        <v/>
      </c>
      <c r="J586" s="14" t="str">
        <f>IF(I586="","",F586*I586)</f>
        <v/>
      </c>
      <c r="K586" s="15">
        <f>IF(OR(J586="",$G$1279=0),"",J586/$G$1279*100)</f>
      </c>
      <c r="L586" s="12" t="str">
        <f>IF(C586-O586&gt;0,C586-O586,"")</f>
        <v/>
      </c>
      <c r="M586" s="14" t="str">
        <f>IF(L586="","",F586*L586)</f>
        <v/>
      </c>
      <c r="N586" s="15">
        <f>IF(OR(M586="",$G$1279=0),"",M586/$G$1279*100)</f>
      </c>
      <c r="O586" s="12">
        <v>106.819</v>
      </c>
      <c r="P586" s="14">
        <f>F586*O586</f>
        <v>6419167.09953</v>
      </c>
      <c r="Q586" s="15">
        <f>IF($P$1279=0,0,P586/$P$1279*100)</f>
      </c>
      <c r="R586" s="10" t="str">
        <f>IF(O586=C586,"TETAP",IF(C586=0,"BARU",IF(O586=0,"HAPUS",IF(O586&gt;C586,"TAMBAH","KURANG"))))</f>
        <v>TETAP</v>
      </c>
    </row>
    <row r="587" spans="1:18" x14ac:dyDescent="0.25">
      <c r="A587" s="10" t="s">
        <v>30</v>
      </c>
      <c r="B587" s="20" t="s">
        <v>182</v>
      </c>
      <c r="C587" s="12">
        <v>106.819</v>
      </c>
      <c r="D587" s="12">
        <v>0</v>
      </c>
      <c r="E587" s="10" t="s">
        <v>26</v>
      </c>
      <c r="F587" s="14">
        <v>44344.2</v>
      </c>
      <c r="G587" s="14">
        <f>F587*C587</f>
        <v>4736803.0998</v>
      </c>
      <c r="H587" s="15">
        <f>IF($G$1279=0,0,G587/$G$1279*100)</f>
      </c>
      <c r="I587" s="12" t="str">
        <f>IF(O587-C587&gt;0,O587-C587,"")</f>
        <v/>
      </c>
      <c r="J587" s="14" t="str">
        <f>IF(I587="","",F587*I587)</f>
        <v/>
      </c>
      <c r="K587" s="15">
        <f>IF(OR(J587="",$G$1279=0),"",J587/$G$1279*100)</f>
      </c>
      <c r="L587" s="12" t="str">
        <f>IF(C587-O587&gt;0,C587-O587,"")</f>
        <v/>
      </c>
      <c r="M587" s="14" t="str">
        <f>IF(L587="","",F587*L587)</f>
        <v/>
      </c>
      <c r="N587" s="15">
        <f>IF(OR(M587="",$G$1279=0),"",M587/$G$1279*100)</f>
      </c>
      <c r="O587" s="12">
        <v>106.819</v>
      </c>
      <c r="P587" s="14">
        <f>F587*O587</f>
        <v>4736803.0998</v>
      </c>
      <c r="Q587" s="15">
        <f>IF($P$1279=0,0,P587/$P$1279*100)</f>
      </c>
      <c r="R587" s="10" t="str">
        <f>IF(O587=C587,"TETAP",IF(C587=0,"BARU",IF(O587=0,"HAPUS",IF(O587&gt;C587,"TAMBAH","KURANG"))))</f>
        <v>TETAP</v>
      </c>
    </row>
    <row r="588" spans="1:18" x14ac:dyDescent="0.25">
      <c r="A588" s="10" t="s">
        <v>33</v>
      </c>
      <c r="B588" s="20" t="s">
        <v>404</v>
      </c>
      <c r="C588" s="12">
        <v>4.569</v>
      </c>
      <c r="D588" s="12">
        <v>0</v>
      </c>
      <c r="E588" s="10" t="s">
        <v>26</v>
      </c>
      <c r="F588" s="14">
        <v>40999.28</v>
      </c>
      <c r="G588" s="14">
        <f>F588*C588</f>
        <v>187325.71031999998</v>
      </c>
      <c r="H588" s="15">
        <f>IF($G$1279=0,0,G588/$G$1279*100)</f>
      </c>
      <c r="I588" s="12" t="str">
        <f>IF(O588-C588&gt;0,O588-C588,"")</f>
        <v/>
      </c>
      <c r="J588" s="14" t="str">
        <f>IF(I588="","",F588*I588)</f>
        <v/>
      </c>
      <c r="K588" s="15">
        <f>IF(OR(J588="",$G$1279=0),"",J588/$G$1279*100)</f>
      </c>
      <c r="L588" s="12" t="str">
        <f>IF(C588-O588&gt;0,C588-O588,"")</f>
        <v/>
      </c>
      <c r="M588" s="14" t="str">
        <f>IF(L588="","",F588*L588)</f>
        <v/>
      </c>
      <c r="N588" s="15">
        <f>IF(OR(M588="",$G$1279=0),"",M588/$G$1279*100)</f>
      </c>
      <c r="O588" s="12">
        <v>4.569</v>
      </c>
      <c r="P588" s="14">
        <f>F588*O588</f>
        <v>187325.71031999998</v>
      </c>
      <c r="Q588" s="15">
        <f>IF($P$1279=0,0,P588/$P$1279*100)</f>
      </c>
      <c r="R588" s="10" t="str">
        <f>IF(O588=C588,"TETAP",IF(C588=0,"BARU",IF(O588=0,"HAPUS",IF(O588&gt;C588,"TAMBAH","KURANG"))))</f>
        <v>TETAP</v>
      </c>
    </row>
    <row r="589" spans="1:18" x14ac:dyDescent="0.25">
      <c r="A589" s="10" t="s">
        <v>35</v>
      </c>
      <c r="B589" s="20" t="s">
        <v>503</v>
      </c>
      <c r="C589" s="12">
        <v>29.88</v>
      </c>
      <c r="D589" s="12">
        <v>0</v>
      </c>
      <c r="E589" s="10" t="s">
        <v>37</v>
      </c>
      <c r="F589" s="14">
        <v>54708.05</v>
      </c>
      <c r="G589" s="14">
        <f>F589*C589</f>
        <v>1634676.534</v>
      </c>
      <c r="H589" s="15">
        <f>IF($G$1279=0,0,G589/$G$1279*100)</f>
      </c>
      <c r="I589" s="12" t="str">
        <f>IF(O589-C589&gt;0,O589-C589,"")</f>
        <v/>
      </c>
      <c r="J589" s="14" t="str">
        <f>IF(I589="","",F589*I589)</f>
        <v/>
      </c>
      <c r="K589" s="15">
        <f>IF(OR(J589="",$G$1279=0),"",J589/$G$1279*100)</f>
      </c>
      <c r="L589" s="12" t="str">
        <f>IF(C589-O589&gt;0,C589-O589,"")</f>
        <v/>
      </c>
      <c r="M589" s="14" t="str">
        <f>IF(L589="","",F589*L589)</f>
        <v/>
      </c>
      <c r="N589" s="15">
        <f>IF(OR(M589="",$G$1279=0),"",M589/$G$1279*100)</f>
      </c>
      <c r="O589" s="12">
        <v>29.88</v>
      </c>
      <c r="P589" s="14">
        <f>F589*O589</f>
        <v>1634676.534</v>
      </c>
      <c r="Q589" s="15">
        <f>IF($P$1279=0,0,P589/$P$1279*100)</f>
      </c>
      <c r="R589" s="10" t="str">
        <f>IF(O589=C589,"TETAP",IF(C589=0,"BARU",IF(O589=0,"HAPUS",IF(O589&gt;C589,"TAMBAH","KURANG"))))</f>
        <v>TETAP</v>
      </c>
    </row>
    <row r="590" spans="1:18" x14ac:dyDescent="0.25">
      <c r="A590" s="10" t="s">
        <v>38</v>
      </c>
      <c r="B590" s="20" t="s">
        <v>504</v>
      </c>
      <c r="C590" s="12">
        <v>5</v>
      </c>
      <c r="D590" s="12">
        <v>0</v>
      </c>
      <c r="E590" s="10" t="s">
        <v>26</v>
      </c>
      <c r="F590" s="14">
        <v>824029.6</v>
      </c>
      <c r="G590" s="14">
        <f>F590*C590</f>
        <v>4120148</v>
      </c>
      <c r="H590" s="15">
        <f>IF($G$1279=0,0,G590/$G$1279*100)</f>
      </c>
      <c r="I590" s="12" t="str">
        <f>IF(O590-C590&gt;0,O590-C590,"")</f>
        <v/>
      </c>
      <c r="J590" s="14" t="str">
        <f>IF(I590="","",F590*I590)</f>
        <v/>
      </c>
      <c r="K590" s="15">
        <f>IF(OR(J590="",$G$1279=0),"",J590/$G$1279*100)</f>
      </c>
      <c r="L590" s="12" t="str">
        <f>IF(C590-O590&gt;0,C590-O590,"")</f>
        <v/>
      </c>
      <c r="M590" s="14" t="str">
        <f>IF(L590="","",F590*L590)</f>
        <v/>
      </c>
      <c r="N590" s="15">
        <f>IF(OR(M590="",$G$1279=0),"",M590/$G$1279*100)</f>
      </c>
      <c r="O590" s="12">
        <v>5</v>
      </c>
      <c r="P590" s="14">
        <f>F590*O590</f>
        <v>4120148</v>
      </c>
      <c r="Q590" s="15">
        <f>IF($P$1279=0,0,P590/$P$1279*100)</f>
      </c>
      <c r="R590" s="10" t="str">
        <f>IF(O590=C590,"TETAP",IF(C590=0,"BARU",IF(O590=0,"HAPUS",IF(O590&gt;C590,"TAMBAH","KURANG"))))</f>
        <v>TETAP</v>
      </c>
    </row>
    <row r="591" spans="1:18" x14ac:dyDescent="0.25">
      <c r="A591" s="10" t="s">
        <v>108</v>
      </c>
      <c r="B591" s="20" t="s">
        <v>505</v>
      </c>
      <c r="C591" s="12">
        <v>1</v>
      </c>
      <c r="D591" s="12">
        <v>0</v>
      </c>
      <c r="E591" s="10" t="s">
        <v>119</v>
      </c>
      <c r="F591" s="14">
        <v>1760756.7</v>
      </c>
      <c r="G591" s="14">
        <f>F591*C591</f>
        <v>1760756.7</v>
      </c>
      <c r="H591" s="15">
        <f>IF($G$1279=0,0,G591/$G$1279*100)</f>
      </c>
      <c r="I591" s="12" t="str">
        <f>IF(O591-C591&gt;0,O591-C591,"")</f>
        <v/>
      </c>
      <c r="J591" s="14" t="str">
        <f>IF(I591="","",F591*I591)</f>
        <v/>
      </c>
      <c r="K591" s="15">
        <f>IF(OR(J591="",$G$1279=0),"",J591/$G$1279*100)</f>
      </c>
      <c r="L591" s="12" t="str">
        <f>IF(C591-O591&gt;0,C591-O591,"")</f>
        <v/>
      </c>
      <c r="M591" s="14" t="str">
        <f>IF(L591="","",F591*L591)</f>
        <v/>
      </c>
      <c r="N591" s="15">
        <f>IF(OR(M591="",$G$1279=0),"",M591/$G$1279*100)</f>
      </c>
      <c r="O591" s="12">
        <v>1</v>
      </c>
      <c r="P591" s="14">
        <f>F591*O591</f>
        <v>1760756.7</v>
      </c>
      <c r="Q591" s="15">
        <f>IF($P$1279=0,0,P591/$P$1279*100)</f>
      </c>
      <c r="R591" s="10" t="str">
        <f>IF(O591=C591,"TETAP",IF(C591=0,"BARU",IF(O591=0,"HAPUS",IF(O591&gt;C591,"TAMBAH","KURANG"))))</f>
        <v>TETAP</v>
      </c>
    </row>
    <row r="592" spans="1:18" x14ac:dyDescent="0.25">
      <c r="A592" s="5" t="s">
        <v>110</v>
      </c>
      <c r="B592" s="17" t="s">
        <v>506</v>
      </c>
      <c r="C592" s="7"/>
      <c r="D592" s="7"/>
      <c r="E592" s="5"/>
      <c r="F592" s="8"/>
      <c r="G592" s="8"/>
      <c r="H592" s="9"/>
      <c r="I592" s="7"/>
      <c r="J592" s="8"/>
      <c r="K592" s="9"/>
      <c r="L592" s="7"/>
      <c r="M592" s="8"/>
      <c r="N592" s="9"/>
      <c r="O592" s="7"/>
      <c r="P592" s="8"/>
      <c r="Q592" s="9"/>
      <c r="R592" s="5"/>
    </row>
    <row r="593" spans="1:18" x14ac:dyDescent="0.25">
      <c r="A593" s="10" t="s">
        <v>275</v>
      </c>
      <c r="B593" s="18" t="s">
        <v>507</v>
      </c>
      <c r="C593" s="12">
        <v>2.09</v>
      </c>
      <c r="D593" s="12">
        <v>0</v>
      </c>
      <c r="E593" s="10" t="s">
        <v>37</v>
      </c>
      <c r="F593" s="14">
        <v>288449.54</v>
      </c>
      <c r="G593" s="14">
        <f>F593*C593</f>
        <v>602859.5386</v>
      </c>
      <c r="H593" s="15">
        <f>IF($G$1279=0,0,G593/$G$1279*100)</f>
      </c>
      <c r="I593" s="12" t="str">
        <f>IF(O593-C593&gt;0,O593-C593,"")</f>
        <v/>
      </c>
      <c r="J593" s="14" t="str">
        <f>IF(I593="","",F593*I593)</f>
        <v/>
      </c>
      <c r="K593" s="15">
        <f>IF(OR(J593="",$G$1279=0),"",J593/$G$1279*100)</f>
      </c>
      <c r="L593" s="12" t="str">
        <f>IF(C593-O593&gt;0,C593-O593,"")</f>
        <v/>
      </c>
      <c r="M593" s="14" t="str">
        <f>IF(L593="","",F593*L593)</f>
        <v/>
      </c>
      <c r="N593" s="15">
        <f>IF(OR(M593="",$G$1279=0),"",M593/$G$1279*100)</f>
      </c>
      <c r="O593" s="12">
        <v>2.09</v>
      </c>
      <c r="P593" s="14">
        <f>F593*O593</f>
        <v>602859.5386</v>
      </c>
      <c r="Q593" s="15">
        <f>IF($P$1279=0,0,P593/$P$1279*100)</f>
      </c>
      <c r="R593" s="10" t="str">
        <f>IF(O593=C593,"TETAP",IF(C593=0,"BARU",IF(O593=0,"HAPUS",IF(O593&gt;C593,"TAMBAH","KURANG"))))</f>
        <v>TETAP</v>
      </c>
    </row>
    <row r="594" spans="1:18" x14ac:dyDescent="0.25">
      <c r="A594" s="10" t="s">
        <v>276</v>
      </c>
      <c r="B594" s="18" t="s">
        <v>508</v>
      </c>
      <c r="C594" s="12">
        <v>0.215</v>
      </c>
      <c r="D594" s="12">
        <v>0</v>
      </c>
      <c r="E594" s="10" t="s">
        <v>26</v>
      </c>
      <c r="F594" s="14">
        <v>463407.59</v>
      </c>
      <c r="G594" s="14">
        <f>F594*C594</f>
        <v>99632.63185</v>
      </c>
      <c r="H594" s="15">
        <f>IF($G$1279=0,0,G594/$G$1279*100)</f>
      </c>
      <c r="I594" s="12" t="str">
        <f>IF(O594-C594&gt;0,O594-C594,"")</f>
        <v/>
      </c>
      <c r="J594" s="14" t="str">
        <f>IF(I594="","",F594*I594)</f>
        <v/>
      </c>
      <c r="K594" s="15">
        <f>IF(OR(J594="",$G$1279=0),"",J594/$G$1279*100)</f>
      </c>
      <c r="L594" s="12" t="str">
        <f>IF(C594-O594&gt;0,C594-O594,"")</f>
        <v/>
      </c>
      <c r="M594" s="14" t="str">
        <f>IF(L594="","",F594*L594)</f>
        <v/>
      </c>
      <c r="N594" s="15">
        <f>IF(OR(M594="",$G$1279=0),"",M594/$G$1279*100)</f>
      </c>
      <c r="O594" s="12">
        <v>0.215</v>
      </c>
      <c r="P594" s="14">
        <f>F594*O594</f>
        <v>99632.63185</v>
      </c>
      <c r="Q594" s="15">
        <f>IF($P$1279=0,0,P594/$P$1279*100)</f>
      </c>
      <c r="R594" s="10" t="str">
        <f>IF(O594=C594,"TETAP",IF(C594=0,"BARU",IF(O594=0,"HAPUS",IF(O594&gt;C594,"TAMBAH","KURANG"))))</f>
        <v>TETAP</v>
      </c>
    </row>
    <row r="595" spans="1:18" x14ac:dyDescent="0.25">
      <c r="A595" s="5" t="s">
        <v>112</v>
      </c>
      <c r="B595" s="17" t="s">
        <v>405</v>
      </c>
      <c r="C595" s="7"/>
      <c r="D595" s="7"/>
      <c r="E595" s="5"/>
      <c r="F595" s="8"/>
      <c r="G595" s="8"/>
      <c r="H595" s="9"/>
      <c r="I595" s="7"/>
      <c r="J595" s="8"/>
      <c r="K595" s="9"/>
      <c r="L595" s="7"/>
      <c r="M595" s="8"/>
      <c r="N595" s="9"/>
      <c r="O595" s="7"/>
      <c r="P595" s="8"/>
      <c r="Q595" s="9"/>
      <c r="R595" s="5"/>
    </row>
    <row r="596" spans="1:18" x14ac:dyDescent="0.25">
      <c r="A596" s="10" t="s">
        <v>287</v>
      </c>
      <c r="B596" s="18" t="s">
        <v>406</v>
      </c>
      <c r="C596" s="12">
        <v>0.137</v>
      </c>
      <c r="D596" s="12">
        <v>0</v>
      </c>
      <c r="E596" s="10" t="s">
        <v>159</v>
      </c>
      <c r="F596" s="14">
        <v>48730.7</v>
      </c>
      <c r="G596" s="14">
        <f>F596*C596</f>
        <v>6676.1059000000005</v>
      </c>
      <c r="H596" s="15">
        <f>IF($G$1279=0,0,G596/$G$1279*100)</f>
      </c>
      <c r="I596" s="12" t="str">
        <f>IF(O596-C596&gt;0,O596-C596,"")</f>
        <v/>
      </c>
      <c r="J596" s="14" t="str">
        <f>IF(I596="","",F596*I596)</f>
        <v/>
      </c>
      <c r="K596" s="15">
        <f>IF(OR(J596="",$G$1279=0),"",J596/$G$1279*100)</f>
      </c>
      <c r="L596" s="12" t="str">
        <f>IF(C596-O596&gt;0,C596-O596,"")</f>
        <v/>
      </c>
      <c r="M596" s="14" t="str">
        <f>IF(L596="","",F596*L596)</f>
        <v/>
      </c>
      <c r="N596" s="15">
        <f>IF(OR(M596="",$G$1279=0),"",M596/$G$1279*100)</f>
      </c>
      <c r="O596" s="12">
        <v>0.137</v>
      </c>
      <c r="P596" s="14">
        <f>F596*O596</f>
        <v>6676.1059000000005</v>
      </c>
      <c r="Q596" s="15">
        <f>IF($P$1279=0,0,P596/$P$1279*100)</f>
      </c>
      <c r="R596" s="10" t="str">
        <f>IF(O596=C596,"TETAP",IF(C596=0,"BARU",IF(O596=0,"HAPUS",IF(O596&gt;C596,"TAMBAH","KURANG"))))</f>
        <v>TETAP</v>
      </c>
    </row>
    <row r="597" spans="1:18" x14ac:dyDescent="0.25">
      <c r="A597" s="10" t="s">
        <v>288</v>
      </c>
      <c r="B597" s="18" t="s">
        <v>407</v>
      </c>
      <c r="C597" s="12">
        <v>2.13</v>
      </c>
      <c r="D597" s="12">
        <v>0</v>
      </c>
      <c r="E597" s="10" t="s">
        <v>26</v>
      </c>
      <c r="F597" s="14">
        <v>164501.03</v>
      </c>
      <c r="G597" s="14">
        <f>F597*C597</f>
        <v>350387.19389999995</v>
      </c>
      <c r="H597" s="15">
        <f>IF($G$1279=0,0,G597/$G$1279*100)</f>
      </c>
      <c r="I597" s="12" t="str">
        <f>IF(O597-C597&gt;0,O597-C597,"")</f>
        <v/>
      </c>
      <c r="J597" s="14" t="str">
        <f>IF(I597="","",F597*I597)</f>
        <v/>
      </c>
      <c r="K597" s="15">
        <f>IF(OR(J597="",$G$1279=0),"",J597/$G$1279*100)</f>
      </c>
      <c r="L597" s="12" t="str">
        <f>IF(C597-O597&gt;0,C597-O597,"")</f>
        <v/>
      </c>
      <c r="M597" s="14" t="str">
        <f>IF(L597="","",F597*L597)</f>
        <v/>
      </c>
      <c r="N597" s="15">
        <f>IF(OR(M597="",$G$1279=0),"",M597/$G$1279*100)</f>
      </c>
      <c r="O597" s="12">
        <v>2.13</v>
      </c>
      <c r="P597" s="14">
        <f>F597*O597</f>
        <v>350387.19389999995</v>
      </c>
      <c r="Q597" s="15">
        <f>IF($P$1279=0,0,P597/$P$1279*100)</f>
      </c>
      <c r="R597" s="10" t="str">
        <f>IF(O597=C597,"TETAP",IF(C597=0,"BARU",IF(O597=0,"HAPUS",IF(O597&gt;C597,"TAMBAH","KURANG"))))</f>
        <v>TETAP</v>
      </c>
    </row>
    <row r="598" spans="1:18" x14ac:dyDescent="0.25">
      <c r="A598" s="10" t="s">
        <v>289</v>
      </c>
      <c r="B598" s="18" t="s">
        <v>409</v>
      </c>
      <c r="C598" s="12">
        <v>0.041</v>
      </c>
      <c r="D598" s="12">
        <v>0</v>
      </c>
      <c r="E598" s="10" t="s">
        <v>159</v>
      </c>
      <c r="F598" s="14">
        <v>342654.98</v>
      </c>
      <c r="G598" s="14">
        <f>F598*C598</f>
        <v>14048.85418</v>
      </c>
      <c r="H598" s="15">
        <f>IF($G$1279=0,0,G598/$G$1279*100)</f>
      </c>
      <c r="I598" s="12" t="str">
        <f>IF(O598-C598&gt;0,O598-C598,"")</f>
        <v/>
      </c>
      <c r="J598" s="14" t="str">
        <f>IF(I598="","",F598*I598)</f>
        <v/>
      </c>
      <c r="K598" s="15">
        <f>IF(OR(J598="",$G$1279=0),"",J598/$G$1279*100)</f>
      </c>
      <c r="L598" s="12" t="str">
        <f>IF(C598-O598&gt;0,C598-O598,"")</f>
        <v/>
      </c>
      <c r="M598" s="14" t="str">
        <f>IF(L598="","",F598*L598)</f>
        <v/>
      </c>
      <c r="N598" s="15">
        <f>IF(OR(M598="",$G$1279=0),"",M598/$G$1279*100)</f>
      </c>
      <c r="O598" s="12">
        <v>0.041</v>
      </c>
      <c r="P598" s="14">
        <f>F598*O598</f>
        <v>14048.85418</v>
      </c>
      <c r="Q598" s="15">
        <f>IF($P$1279=0,0,P598/$P$1279*100)</f>
      </c>
      <c r="R598" s="10" t="str">
        <f>IF(O598=C598,"TETAP",IF(C598=0,"BARU",IF(O598=0,"HAPUS",IF(O598&gt;C598,"TAMBAH","KURANG"))))</f>
        <v>TETAP</v>
      </c>
    </row>
    <row r="599" spans="1:18" x14ac:dyDescent="0.25">
      <c r="A599" s="10" t="s">
        <v>290</v>
      </c>
      <c r="B599" s="18" t="s">
        <v>369</v>
      </c>
      <c r="C599" s="12">
        <v>0.095</v>
      </c>
      <c r="D599" s="12">
        <v>0</v>
      </c>
      <c r="E599" s="10" t="s">
        <v>159</v>
      </c>
      <c r="F599" s="14">
        <v>1243301.43</v>
      </c>
      <c r="G599" s="14">
        <f>F599*C599</f>
        <v>118113.63584999999</v>
      </c>
      <c r="H599" s="15">
        <f>IF($G$1279=0,0,G599/$G$1279*100)</f>
      </c>
      <c r="I599" s="12" t="str">
        <f>IF(O599-C599&gt;0,O599-C599,"")</f>
        <v/>
      </c>
      <c r="J599" s="14" t="str">
        <f>IF(I599="","",F599*I599)</f>
        <v/>
      </c>
      <c r="K599" s="15">
        <f>IF(OR(J599="",$G$1279=0),"",J599/$G$1279*100)</f>
      </c>
      <c r="L599" s="12" t="str">
        <f>IF(C599-O599&gt;0,C599-O599,"")</f>
        <v/>
      </c>
      <c r="M599" s="14" t="str">
        <f>IF(L599="","",F599*L599)</f>
        <v/>
      </c>
      <c r="N599" s="15">
        <f>IF(OR(M599="",$G$1279=0),"",M599/$G$1279*100)</f>
      </c>
      <c r="O599" s="12">
        <v>0.095</v>
      </c>
      <c r="P599" s="14">
        <f>F599*O599</f>
        <v>118113.63584999999</v>
      </c>
      <c r="Q599" s="15">
        <f>IF($P$1279=0,0,P599/$P$1279*100)</f>
      </c>
      <c r="R599" s="10" t="str">
        <f>IF(O599=C599,"TETAP",IF(C599=0,"BARU",IF(O599=0,"HAPUS",IF(O599&gt;C599,"TAMBAH","KURANG"))))</f>
        <v>TETAP</v>
      </c>
    </row>
    <row r="600" spans="1:18" x14ac:dyDescent="0.25">
      <c r="A600" s="10" t="s">
        <v>291</v>
      </c>
      <c r="B600" s="18" t="s">
        <v>410</v>
      </c>
      <c r="C600" s="12">
        <v>0.675</v>
      </c>
      <c r="D600" s="12">
        <v>0</v>
      </c>
      <c r="E600" s="10" t="s">
        <v>26</v>
      </c>
      <c r="F600" s="14">
        <v>60093.87</v>
      </c>
      <c r="G600" s="14">
        <f>F600*C600</f>
        <v>40563.362250000006</v>
      </c>
      <c r="H600" s="15">
        <f>IF($G$1279=0,0,G600/$G$1279*100)</f>
      </c>
      <c r="I600" s="12" t="str">
        <f>IF(O600-C600&gt;0,O600-C600,"")</f>
        <v/>
      </c>
      <c r="J600" s="14" t="str">
        <f>IF(I600="","",F600*I600)</f>
        <v/>
      </c>
      <c r="K600" s="15">
        <f>IF(OR(J600="",$G$1279=0),"",J600/$G$1279*100)</f>
      </c>
      <c r="L600" s="12" t="str">
        <f>IF(C600-O600&gt;0,C600-O600,"")</f>
        <v/>
      </c>
      <c r="M600" s="14" t="str">
        <f>IF(L600="","",F600*L600)</f>
        <v/>
      </c>
      <c r="N600" s="15">
        <f>IF(OR(M600="",$G$1279=0),"",M600/$G$1279*100)</f>
      </c>
      <c r="O600" s="12">
        <v>0.675</v>
      </c>
      <c r="P600" s="14">
        <f>F600*O600</f>
        <v>40563.362250000006</v>
      </c>
      <c r="Q600" s="15">
        <f>IF($P$1279=0,0,P600/$P$1279*100)</f>
      </c>
      <c r="R600" s="10" t="str">
        <f>IF(O600=C600,"TETAP",IF(C600=0,"BARU",IF(O600=0,"HAPUS",IF(O600&gt;C600,"TAMBAH","KURANG"))))</f>
        <v>TETAP</v>
      </c>
    </row>
    <row r="601" spans="1:18" x14ac:dyDescent="0.25">
      <c r="A601" s="10" t="s">
        <v>292</v>
      </c>
      <c r="B601" s="18" t="s">
        <v>182</v>
      </c>
      <c r="C601" s="12">
        <v>0.675</v>
      </c>
      <c r="D601" s="12">
        <v>0</v>
      </c>
      <c r="E601" s="10" t="s">
        <v>26</v>
      </c>
      <c r="F601" s="14">
        <v>44344.2</v>
      </c>
      <c r="G601" s="14">
        <f>F601*C601</f>
        <v>29932.335</v>
      </c>
      <c r="H601" s="15">
        <f>IF($G$1279=0,0,G601/$G$1279*100)</f>
      </c>
      <c r="I601" s="12" t="str">
        <f>IF(O601-C601&gt;0,O601-C601,"")</f>
        <v/>
      </c>
      <c r="J601" s="14" t="str">
        <f>IF(I601="","",F601*I601)</f>
        <v/>
      </c>
      <c r="K601" s="15">
        <f>IF(OR(J601="",$G$1279=0),"",J601/$G$1279*100)</f>
      </c>
      <c r="L601" s="12" t="str">
        <f>IF(C601-O601&gt;0,C601-O601,"")</f>
        <v/>
      </c>
      <c r="M601" s="14" t="str">
        <f>IF(L601="","",F601*L601)</f>
        <v/>
      </c>
      <c r="N601" s="15">
        <f>IF(OR(M601="",$G$1279=0),"",M601/$G$1279*100)</f>
      </c>
      <c r="O601" s="12">
        <v>0.675</v>
      </c>
      <c r="P601" s="14">
        <f>F601*O601</f>
        <v>29932.335</v>
      </c>
      <c r="Q601" s="15">
        <f>IF($P$1279=0,0,P601/$P$1279*100)</f>
      </c>
      <c r="R601" s="10" t="str">
        <f>IF(O601=C601,"TETAP",IF(C601=0,"BARU",IF(O601=0,"HAPUS",IF(O601&gt;C601,"TAMBAH","KURANG"))))</f>
        <v>TETAP</v>
      </c>
    </row>
    <row r="602" spans="1:18" x14ac:dyDescent="0.25">
      <c r="A602" s="10" t="s">
        <v>112</v>
      </c>
      <c r="B602" s="20" t="s">
        <v>509</v>
      </c>
      <c r="C602" s="12">
        <v>9.75</v>
      </c>
      <c r="D602" s="12">
        <v>0</v>
      </c>
      <c r="E602" s="10" t="s">
        <v>26</v>
      </c>
      <c r="F602" s="14">
        <v>262377.89</v>
      </c>
      <c r="G602" s="14">
        <f>F602*C602</f>
        <v>2558184.4275</v>
      </c>
      <c r="H602" s="15">
        <f>IF($G$1279=0,0,G602/$G$1279*100)</f>
      </c>
      <c r="I602" s="12" t="str">
        <f>IF(O602-C602&gt;0,O602-C602,"")</f>
        <v/>
      </c>
      <c r="J602" s="14" t="str">
        <f>IF(I602="","",F602*I602)</f>
        <v/>
      </c>
      <c r="K602" s="15">
        <f>IF(OR(J602="",$G$1279=0),"",J602/$G$1279*100)</f>
      </c>
      <c r="L602" s="12" t="str">
        <f>IF(C602-O602&gt;0,C602-O602,"")</f>
        <v/>
      </c>
      <c r="M602" s="14" t="str">
        <f>IF(L602="","",F602*L602)</f>
        <v/>
      </c>
      <c r="N602" s="15">
        <f>IF(OR(M602="",$G$1279=0),"",M602/$G$1279*100)</f>
      </c>
      <c r="O602" s="12">
        <v>9.75</v>
      </c>
      <c r="P602" s="14">
        <f>F602*O602</f>
        <v>2558184.4275</v>
      </c>
      <c r="Q602" s="15">
        <f>IF($P$1279=0,0,P602/$P$1279*100)</f>
      </c>
      <c r="R602" s="10" t="str">
        <f>IF(O602=C602,"TETAP",IF(C602=0,"BARU",IF(O602=0,"HAPUS",IF(O602&gt;C602,"TAMBAH","KURANG"))))</f>
        <v>TETAP</v>
      </c>
    </row>
    <row r="603" spans="1:18" x14ac:dyDescent="0.25">
      <c r="A603" s="10" t="s">
        <v>115</v>
      </c>
      <c r="B603" s="20" t="s">
        <v>510</v>
      </c>
      <c r="C603" s="12">
        <v>5.475</v>
      </c>
      <c r="D603" s="12">
        <v>0</v>
      </c>
      <c r="E603" s="10" t="s">
        <v>26</v>
      </c>
      <c r="F603" s="14">
        <v>262377.89</v>
      </c>
      <c r="G603" s="14">
        <f>F603*C603</f>
        <v>1436518.94775</v>
      </c>
      <c r="H603" s="15">
        <f>IF($G$1279=0,0,G603/$G$1279*100)</f>
      </c>
      <c r="I603" s="12" t="str">
        <f>IF(O603-C603&gt;0,O603-C603,"")</f>
        <v/>
      </c>
      <c r="J603" s="14" t="str">
        <f>IF(I603="","",F603*I603)</f>
        <v/>
      </c>
      <c r="K603" s="15">
        <f>IF(OR(J603="",$G$1279=0),"",J603/$G$1279*100)</f>
      </c>
      <c r="L603" s="12" t="str">
        <f>IF(C603-O603&gt;0,C603-O603,"")</f>
        <v/>
      </c>
      <c r="M603" s="14" t="str">
        <f>IF(L603="","",F603*L603)</f>
        <v/>
      </c>
      <c r="N603" s="15">
        <f>IF(OR(M603="",$G$1279=0),"",M603/$G$1279*100)</f>
      </c>
      <c r="O603" s="12">
        <v>5.475</v>
      </c>
      <c r="P603" s="14">
        <f>F603*O603</f>
        <v>1436518.94775</v>
      </c>
      <c r="Q603" s="15">
        <f>IF($P$1279=0,0,P603/$P$1279*100)</f>
      </c>
      <c r="R603" s="10" t="str">
        <f>IF(O603=C603,"TETAP",IF(C603=0,"BARU",IF(O603=0,"HAPUS",IF(O603&gt;C603,"TAMBAH","KURANG"))))</f>
        <v>TETAP</v>
      </c>
    </row>
    <row r="604" spans="1:18" x14ac:dyDescent="0.25">
      <c r="A604" s="10" t="s">
        <v>132</v>
      </c>
      <c r="B604" s="20" t="s">
        <v>511</v>
      </c>
      <c r="C604" s="12">
        <v>5.188</v>
      </c>
      <c r="D604" s="12">
        <v>0</v>
      </c>
      <c r="E604" s="10" t="s">
        <v>37</v>
      </c>
      <c r="F604" s="14">
        <v>425988.24</v>
      </c>
      <c r="G604" s="14">
        <f>F604*C604</f>
        <v>2210026.98912</v>
      </c>
      <c r="H604" s="15">
        <f>IF($G$1279=0,0,G604/$G$1279*100)</f>
      </c>
      <c r="I604" s="12" t="str">
        <f>IF(O604-C604&gt;0,O604-C604,"")</f>
        <v/>
      </c>
      <c r="J604" s="14" t="str">
        <f>IF(I604="","",F604*I604)</f>
        <v/>
      </c>
      <c r="K604" s="15">
        <f>IF(OR(J604="",$G$1279=0),"",J604/$G$1279*100)</f>
      </c>
      <c r="L604" s="12" t="str">
        <f>IF(C604-O604&gt;0,C604-O604,"")</f>
        <v/>
      </c>
      <c r="M604" s="14" t="str">
        <f>IF(L604="","",F604*L604)</f>
        <v/>
      </c>
      <c r="N604" s="15">
        <f>IF(OR(M604="",$G$1279=0),"",M604/$G$1279*100)</f>
      </c>
      <c r="O604" s="12">
        <v>5.188</v>
      </c>
      <c r="P604" s="14">
        <f>F604*O604</f>
        <v>2210026.98912</v>
      </c>
      <c r="Q604" s="15">
        <f>IF($P$1279=0,0,P604/$P$1279*100)</f>
      </c>
      <c r="R604" s="10" t="str">
        <f>IF(O604=C604,"TETAP",IF(C604=0,"BARU",IF(O604=0,"HAPUS",IF(O604&gt;C604,"TAMBAH","KURANG"))))</f>
        <v>TETAP</v>
      </c>
    </row>
    <row r="605" spans="1:18" x14ac:dyDescent="0.25">
      <c r="A605" s="5" t="s">
        <v>138</v>
      </c>
      <c r="B605" s="17" t="s">
        <v>411</v>
      </c>
      <c r="C605" s="7"/>
      <c r="D605" s="7"/>
      <c r="E605" s="5"/>
      <c r="F605" s="8"/>
      <c r="G605" s="8"/>
      <c r="H605" s="9"/>
      <c r="I605" s="7"/>
      <c r="J605" s="8"/>
      <c r="K605" s="9"/>
      <c r="L605" s="7"/>
      <c r="M605" s="8"/>
      <c r="N605" s="9"/>
      <c r="O605" s="7"/>
      <c r="P605" s="8"/>
      <c r="Q605" s="9"/>
      <c r="R605" s="5"/>
    </row>
    <row r="606" spans="1:18" x14ac:dyDescent="0.25">
      <c r="A606" s="10" t="s">
        <v>140</v>
      </c>
      <c r="B606" s="18" t="s">
        <v>412</v>
      </c>
      <c r="C606" s="12">
        <v>23.1</v>
      </c>
      <c r="D606" s="12">
        <v>0</v>
      </c>
      <c r="E606" s="10" t="s">
        <v>26</v>
      </c>
      <c r="F606" s="14">
        <v>298683.04</v>
      </c>
      <c r="G606" s="14">
        <f>F606*C606</f>
        <v>6899578.224</v>
      </c>
      <c r="H606" s="15">
        <f>IF($G$1279=0,0,G606/$G$1279*100)</f>
      </c>
      <c r="I606" s="12" t="str">
        <f>IF(O606-C606&gt;0,O606-C606,"")</f>
        <v/>
      </c>
      <c r="J606" s="14" t="str">
        <f>IF(I606="","",F606*I606)</f>
        <v/>
      </c>
      <c r="K606" s="15">
        <f>IF(OR(J606="",$G$1279=0),"",J606/$G$1279*100)</f>
      </c>
      <c r="L606" s="12" t="str">
        <f>IF(C606-O606&gt;0,C606-O606,"")</f>
        <v/>
      </c>
      <c r="M606" s="14" t="str">
        <f>IF(L606="","",F606*L606)</f>
        <v/>
      </c>
      <c r="N606" s="15">
        <f>IF(OR(M606="",$G$1279=0),"",M606/$G$1279*100)</f>
      </c>
      <c r="O606" s="12">
        <v>23.1</v>
      </c>
      <c r="P606" s="14">
        <f>F606*O606</f>
        <v>6899578.224</v>
      </c>
      <c r="Q606" s="15">
        <f>IF($P$1279=0,0,P606/$P$1279*100)</f>
      </c>
      <c r="R606" s="10" t="str">
        <f>IF(O606=C606,"TETAP",IF(C606=0,"BARU",IF(O606=0,"HAPUS",IF(O606&gt;C606,"TAMBAH","KURANG"))))</f>
        <v>TETAP</v>
      </c>
    </row>
    <row r="607" spans="1:18" x14ac:dyDescent="0.25">
      <c r="A607" s="10" t="s">
        <v>142</v>
      </c>
      <c r="B607" s="18" t="s">
        <v>413</v>
      </c>
      <c r="C607" s="12">
        <v>98.4</v>
      </c>
      <c r="D607" s="12">
        <v>0</v>
      </c>
      <c r="E607" s="10" t="s">
        <v>37</v>
      </c>
      <c r="F607" s="14">
        <v>6848.67</v>
      </c>
      <c r="G607" s="14">
        <f>F607*C607</f>
        <v>673909.128</v>
      </c>
      <c r="H607" s="15">
        <f>IF($G$1279=0,0,G607/$G$1279*100)</f>
      </c>
      <c r="I607" s="12" t="str">
        <f>IF(O607-C607&gt;0,O607-C607,"")</f>
        <v/>
      </c>
      <c r="J607" s="14" t="str">
        <f>IF(I607="","",F607*I607)</f>
        <v/>
      </c>
      <c r="K607" s="15">
        <f>IF(OR(J607="",$G$1279=0),"",J607/$G$1279*100)</f>
      </c>
      <c r="L607" s="12" t="str">
        <f>IF(C607-O607&gt;0,C607-O607,"")</f>
        <v/>
      </c>
      <c r="M607" s="14" t="str">
        <f>IF(L607="","",F607*L607)</f>
        <v/>
      </c>
      <c r="N607" s="15">
        <f>IF(OR(M607="",$G$1279=0),"",M607/$G$1279*100)</f>
      </c>
      <c r="O607" s="12">
        <v>98.4</v>
      </c>
      <c r="P607" s="14">
        <f>F607*O607</f>
        <v>673909.128</v>
      </c>
      <c r="Q607" s="15">
        <f>IF($P$1279=0,0,P607/$P$1279*100)</f>
      </c>
      <c r="R607" s="10" t="str">
        <f>IF(O607=C607,"TETAP",IF(C607=0,"BARU",IF(O607=0,"HAPUS",IF(O607&gt;C607,"TAMBAH","KURANG"))))</f>
        <v>TETAP</v>
      </c>
    </row>
    <row r="608" spans="1:18" x14ac:dyDescent="0.25">
      <c r="A608" s="10" t="s">
        <v>512</v>
      </c>
      <c r="B608" s="18" t="s">
        <v>513</v>
      </c>
      <c r="C608" s="12">
        <v>49.363</v>
      </c>
      <c r="D608" s="12">
        <v>0</v>
      </c>
      <c r="E608" s="10" t="s">
        <v>26</v>
      </c>
      <c r="F608" s="14">
        <v>201383.58</v>
      </c>
      <c r="G608" s="14">
        <f>F608*C608</f>
        <v>9940897.65954</v>
      </c>
      <c r="H608" s="15">
        <f>IF($G$1279=0,0,G608/$G$1279*100)</f>
      </c>
      <c r="I608" s="12" t="str">
        <f>IF(O608-C608&gt;0,O608-C608,"")</f>
        <v/>
      </c>
      <c r="J608" s="14" t="str">
        <f>IF(I608="","",F608*I608)</f>
        <v/>
      </c>
      <c r="K608" s="15">
        <f>IF(OR(J608="",$G$1279=0),"",J608/$G$1279*100)</f>
      </c>
      <c r="L608" s="12" t="str">
        <f>IF(C608-O608&gt;0,C608-O608,"")</f>
        <v/>
      </c>
      <c r="M608" s="14" t="str">
        <f>IF(L608="","",F608*L608)</f>
        <v/>
      </c>
      <c r="N608" s="15">
        <f>IF(OR(M608="",$G$1279=0),"",M608/$G$1279*100)</f>
      </c>
      <c r="O608" s="12">
        <v>49.363</v>
      </c>
      <c r="P608" s="14">
        <f>F608*O608</f>
        <v>9940897.65954</v>
      </c>
      <c r="Q608" s="15">
        <f>IF($P$1279=0,0,P608/$P$1279*100)</f>
      </c>
      <c r="R608" s="10" t="str">
        <f>IF(O608=C608,"TETAP",IF(C608=0,"BARU",IF(O608=0,"HAPUS",IF(O608&gt;C608,"TAMBAH","KURANG"))))</f>
        <v>TETAP</v>
      </c>
    </row>
    <row r="609" spans="1:18" x14ac:dyDescent="0.25">
      <c r="A609" s="10" t="s">
        <v>514</v>
      </c>
      <c r="B609" s="18" t="s">
        <v>415</v>
      </c>
      <c r="C609" s="12">
        <v>6.25</v>
      </c>
      <c r="D609" s="12">
        <v>0</v>
      </c>
      <c r="E609" s="10" t="s">
        <v>37</v>
      </c>
      <c r="F609" s="14">
        <v>180329.43</v>
      </c>
      <c r="G609" s="14">
        <f>F609*C609</f>
        <v>1127058.9375</v>
      </c>
      <c r="H609" s="15">
        <f>IF($G$1279=0,0,G609/$G$1279*100)</f>
      </c>
      <c r="I609" s="12" t="str">
        <f>IF(O609-C609&gt;0,O609-C609,"")</f>
        <v/>
      </c>
      <c r="J609" s="14" t="str">
        <f>IF(I609="","",F609*I609)</f>
        <v/>
      </c>
      <c r="K609" s="15">
        <f>IF(OR(J609="",$G$1279=0),"",J609/$G$1279*100)</f>
      </c>
      <c r="L609" s="12" t="str">
        <f>IF(C609-O609&gt;0,C609-O609,"")</f>
        <v/>
      </c>
      <c r="M609" s="14" t="str">
        <f>IF(L609="","",F609*L609)</f>
        <v/>
      </c>
      <c r="N609" s="15">
        <f>IF(OR(M609="",$G$1279=0),"",M609/$G$1279*100)</f>
      </c>
      <c r="O609" s="12">
        <v>6.25</v>
      </c>
      <c r="P609" s="14">
        <f>F609*O609</f>
        <v>1127058.9375</v>
      </c>
      <c r="Q609" s="15">
        <f>IF($P$1279=0,0,P609/$P$1279*100)</f>
      </c>
      <c r="R609" s="10" t="str">
        <f>IF(O609=C609,"TETAP",IF(C609=0,"BARU",IF(O609=0,"HAPUS",IF(O609&gt;C609,"TAMBAH","KURANG"))))</f>
        <v>TETAP</v>
      </c>
    </row>
    <row r="610" spans="1:18" x14ac:dyDescent="0.25">
      <c r="A610" s="10" t="s">
        <v>144</v>
      </c>
      <c r="B610" s="20" t="s">
        <v>416</v>
      </c>
      <c r="C610" s="12">
        <v>15.225</v>
      </c>
      <c r="D610" s="12">
        <v>0</v>
      </c>
      <c r="E610" s="10" t="s">
        <v>26</v>
      </c>
      <c r="F610" s="14">
        <v>222901.19</v>
      </c>
      <c r="G610" s="14">
        <f>F610*C610</f>
        <v>3393670.6177499997</v>
      </c>
      <c r="H610" s="15">
        <f>IF($G$1279=0,0,G610/$G$1279*100)</f>
      </c>
      <c r="I610" s="12" t="str">
        <f>IF(O610-C610&gt;0,O610-C610,"")</f>
        <v/>
      </c>
      <c r="J610" s="14" t="str">
        <f>IF(I610="","",F610*I610)</f>
        <v/>
      </c>
      <c r="K610" s="15">
        <f>IF(OR(J610="",$G$1279=0),"",J610/$G$1279*100)</f>
      </c>
      <c r="L610" s="12" t="str">
        <f>IF(C610-O610&gt;0,C610-O610,"")</f>
        <v/>
      </c>
      <c r="M610" s="14" t="str">
        <f>IF(L610="","",F610*L610)</f>
        <v/>
      </c>
      <c r="N610" s="15">
        <f>IF(OR(M610="",$G$1279=0),"",M610/$G$1279*100)</f>
      </c>
      <c r="O610" s="12">
        <v>15.225</v>
      </c>
      <c r="P610" s="14">
        <f>F610*O610</f>
        <v>3393670.6177499997</v>
      </c>
      <c r="Q610" s="15">
        <f>IF($P$1279=0,0,P610/$P$1279*100)</f>
      </c>
      <c r="R610" s="10" t="str">
        <f>IF(O610=C610,"TETAP",IF(C610=0,"BARU",IF(O610=0,"HAPUS",IF(O610&gt;C610,"TAMBAH","KURANG"))))</f>
        <v>TETAP</v>
      </c>
    </row>
    <row r="611" spans="1:18" x14ac:dyDescent="0.25">
      <c r="A611" s="5" t="s">
        <v>150</v>
      </c>
      <c r="B611" s="17" t="s">
        <v>515</v>
      </c>
      <c r="C611" s="7"/>
      <c r="D611" s="7"/>
      <c r="E611" s="5"/>
      <c r="F611" s="8"/>
      <c r="G611" s="8"/>
      <c r="H611" s="9"/>
      <c r="I611" s="7"/>
      <c r="J611" s="8"/>
      <c r="K611" s="9"/>
      <c r="L611" s="7"/>
      <c r="M611" s="8"/>
      <c r="N611" s="9"/>
      <c r="O611" s="7"/>
      <c r="P611" s="8"/>
      <c r="Q611" s="9"/>
      <c r="R611" s="5"/>
    </row>
    <row r="612" spans="1:18" x14ac:dyDescent="0.25">
      <c r="A612" s="5" t="s">
        <v>516</v>
      </c>
      <c r="B612" s="19" t="s">
        <v>517</v>
      </c>
      <c r="C612" s="7"/>
      <c r="D612" s="7"/>
      <c r="E612" s="5"/>
      <c r="F612" s="8"/>
      <c r="G612" s="8"/>
      <c r="H612" s="9"/>
      <c r="I612" s="7"/>
      <c r="J612" s="8"/>
      <c r="K612" s="9"/>
      <c r="L612" s="7"/>
      <c r="M612" s="8"/>
      <c r="N612" s="9"/>
      <c r="O612" s="7"/>
      <c r="P612" s="8"/>
      <c r="Q612" s="9"/>
      <c r="R612" s="5"/>
    </row>
    <row r="613" spans="1:18" x14ac:dyDescent="0.25">
      <c r="A613" s="10" t="s">
        <v>518</v>
      </c>
      <c r="B613" s="18" t="s">
        <v>519</v>
      </c>
      <c r="C613" s="12">
        <v>0.021</v>
      </c>
      <c r="D613" s="12">
        <v>0</v>
      </c>
      <c r="E613" s="10" t="s">
        <v>159</v>
      </c>
      <c r="F613" s="14">
        <v>48730.7</v>
      </c>
      <c r="G613" s="14">
        <f>F613*C613</f>
        <v>1023.3447</v>
      </c>
      <c r="H613" s="15">
        <f>IF($G$1279=0,0,G613/$G$1279*100)</f>
      </c>
      <c r="I613" s="12" t="str">
        <f>IF(O613-C613&gt;0,O613-C613,"")</f>
        <v/>
      </c>
      <c r="J613" s="14" t="str">
        <f>IF(I613="","",F613*I613)</f>
        <v/>
      </c>
      <c r="K613" s="15">
        <f>IF(OR(J613="",$G$1279=0),"",J613/$G$1279*100)</f>
      </c>
      <c r="L613" s="12" t="str">
        <f>IF(C613-O613&gt;0,C613-O613,"")</f>
        <v/>
      </c>
      <c r="M613" s="14" t="str">
        <f>IF(L613="","",F613*L613)</f>
        <v/>
      </c>
      <c r="N613" s="15">
        <f>IF(OR(M613="",$G$1279=0),"",M613/$G$1279*100)</f>
      </c>
      <c r="O613" s="12">
        <v>0.021</v>
      </c>
      <c r="P613" s="14">
        <f>F613*O613</f>
        <v>1023.3447</v>
      </c>
      <c r="Q613" s="15">
        <f>IF($P$1279=0,0,P613/$P$1279*100)</f>
      </c>
      <c r="R613" s="10" t="str">
        <f>IF(O613=C613,"TETAP",IF(C613=0,"BARU",IF(O613=0,"HAPUS",IF(O613&gt;C613,"TAMBAH","KURANG"))))</f>
        <v>TETAP</v>
      </c>
    </row>
    <row r="614" spans="1:18" x14ac:dyDescent="0.25">
      <c r="A614" s="10" t="s">
        <v>520</v>
      </c>
      <c r="B614" s="18" t="s">
        <v>521</v>
      </c>
      <c r="C614" s="12">
        <v>0.44</v>
      </c>
      <c r="D614" s="12">
        <v>0</v>
      </c>
      <c r="E614" s="10" t="s">
        <v>26</v>
      </c>
      <c r="F614" s="14">
        <v>229284.3</v>
      </c>
      <c r="G614" s="14">
        <f>F614*C614</f>
        <v>100885.09199999999</v>
      </c>
      <c r="H614" s="15">
        <f>IF($G$1279=0,0,G614/$G$1279*100)</f>
      </c>
      <c r="I614" s="12" t="str">
        <f>IF(O614-C614&gt;0,O614-C614,"")</f>
        <v/>
      </c>
      <c r="J614" s="14" t="str">
        <f>IF(I614="","",F614*I614)</f>
        <v/>
      </c>
      <c r="K614" s="15">
        <f>IF(OR(J614="",$G$1279=0),"",J614/$G$1279*100)</f>
      </c>
      <c r="L614" s="12" t="str">
        <f>IF(C614-O614&gt;0,C614-O614,"")</f>
        <v/>
      </c>
      <c r="M614" s="14" t="str">
        <f>IF(L614="","",F614*L614)</f>
        <v/>
      </c>
      <c r="N614" s="15">
        <f>IF(OR(M614="",$G$1279=0),"",M614/$G$1279*100)</f>
      </c>
      <c r="O614" s="12">
        <v>0.44</v>
      </c>
      <c r="P614" s="14">
        <f>F614*O614</f>
        <v>100885.09199999999</v>
      </c>
      <c r="Q614" s="15">
        <f>IF($P$1279=0,0,P614/$P$1279*100)</f>
      </c>
      <c r="R614" s="10" t="str">
        <f>IF(O614=C614,"TETAP",IF(C614=0,"BARU",IF(O614=0,"HAPUS",IF(O614&gt;C614,"TAMBAH","KURANG"))))</f>
        <v>TETAP</v>
      </c>
    </row>
    <row r="615" spans="1:18" x14ac:dyDescent="0.25">
      <c r="A615" s="10" t="s">
        <v>522</v>
      </c>
      <c r="B615" s="18" t="s">
        <v>523</v>
      </c>
      <c r="C615" s="12">
        <v>0.028</v>
      </c>
      <c r="D615" s="12">
        <v>0</v>
      </c>
      <c r="E615" s="10" t="s">
        <v>159</v>
      </c>
      <c r="F615" s="14">
        <v>1399567.05</v>
      </c>
      <c r="G615" s="14">
        <f>F615*C615</f>
        <v>39187.877400000005</v>
      </c>
      <c r="H615" s="15">
        <f>IF($G$1279=0,0,G615/$G$1279*100)</f>
      </c>
      <c r="I615" s="12" t="str">
        <f>IF(O615-C615&gt;0,O615-C615,"")</f>
        <v/>
      </c>
      <c r="J615" s="14" t="str">
        <f>IF(I615="","",F615*I615)</f>
        <v/>
      </c>
      <c r="K615" s="15">
        <f>IF(OR(J615="",$G$1279=0),"",J615/$G$1279*100)</f>
      </c>
      <c r="L615" s="12" t="str">
        <f>IF(C615-O615&gt;0,C615-O615,"")</f>
        <v/>
      </c>
      <c r="M615" s="14" t="str">
        <f>IF(L615="","",F615*L615)</f>
        <v/>
      </c>
      <c r="N615" s="15">
        <f>IF(OR(M615="",$G$1279=0),"",M615/$G$1279*100)</f>
      </c>
      <c r="O615" s="12">
        <v>0.028</v>
      </c>
      <c r="P615" s="14">
        <f>F615*O615</f>
        <v>39187.877400000005</v>
      </c>
      <c r="Q615" s="15">
        <f>IF($P$1279=0,0,P615/$P$1279*100)</f>
      </c>
      <c r="R615" s="10" t="str">
        <f>IF(O615=C615,"TETAP",IF(C615=0,"BARU",IF(O615=0,"HAPUS",IF(O615&gt;C615,"TAMBAH","KURANG"))))</f>
        <v>TETAP</v>
      </c>
    </row>
    <row r="616" spans="1:18" x14ac:dyDescent="0.25">
      <c r="A616" s="10" t="s">
        <v>524</v>
      </c>
      <c r="B616" s="18" t="s">
        <v>525</v>
      </c>
      <c r="C616" s="12">
        <v>8</v>
      </c>
      <c r="D616" s="12">
        <v>0</v>
      </c>
      <c r="E616" s="10" t="s">
        <v>32</v>
      </c>
      <c r="F616" s="14">
        <v>6281.61</v>
      </c>
      <c r="G616" s="14">
        <f>F616*C616</f>
        <v>50252.88</v>
      </c>
      <c r="H616" s="15">
        <f>IF($G$1279=0,0,G616/$G$1279*100)</f>
      </c>
      <c r="I616" s="12" t="str">
        <f>IF(O616-C616&gt;0,O616-C616,"")</f>
        <v/>
      </c>
      <c r="J616" s="14" t="str">
        <f>IF(I616="","",F616*I616)</f>
        <v/>
      </c>
      <c r="K616" s="15">
        <f>IF(OR(J616="",$G$1279=0),"",J616/$G$1279*100)</f>
      </c>
      <c r="L616" s="12" t="str">
        <f>IF(C616-O616&gt;0,C616-O616,"")</f>
        <v/>
      </c>
      <c r="M616" s="14" t="str">
        <f>IF(L616="","",F616*L616)</f>
        <v/>
      </c>
      <c r="N616" s="15">
        <f>IF(OR(M616="",$G$1279=0),"",M616/$G$1279*100)</f>
      </c>
      <c r="O616" s="12">
        <v>8</v>
      </c>
      <c r="P616" s="14">
        <f>F616*O616</f>
        <v>50252.88</v>
      </c>
      <c r="Q616" s="15">
        <f>IF($P$1279=0,0,P616/$P$1279*100)</f>
      </c>
      <c r="R616" s="10" t="str">
        <f>IF(O616=C616,"TETAP",IF(C616=0,"BARU",IF(O616=0,"HAPUS",IF(O616&gt;C616,"TAMBAH","KURANG"))))</f>
        <v>TETAP</v>
      </c>
    </row>
    <row r="617" spans="1:18" x14ac:dyDescent="0.25">
      <c r="A617" s="10" t="s">
        <v>526</v>
      </c>
      <c r="B617" s="18" t="s">
        <v>527</v>
      </c>
      <c r="C617" s="12">
        <v>7.056</v>
      </c>
      <c r="D617" s="12">
        <v>0</v>
      </c>
      <c r="E617" s="10" t="s">
        <v>26</v>
      </c>
      <c r="F617" s="14">
        <v>1156732.5</v>
      </c>
      <c r="G617" s="14">
        <f>F617*C617</f>
        <v>8161904.5200000005</v>
      </c>
      <c r="H617" s="15">
        <f>IF($G$1279=0,0,G617/$G$1279*100)</f>
      </c>
      <c r="I617" s="12" t="str">
        <f>IF(O617-C617&gt;0,O617-C617,"")</f>
        <v/>
      </c>
      <c r="J617" s="14" t="str">
        <f>IF(I617="","",F617*I617)</f>
        <v/>
      </c>
      <c r="K617" s="15">
        <f>IF(OR(J617="",$G$1279=0),"",J617/$G$1279*100)</f>
      </c>
      <c r="L617" s="12" t="str">
        <f>IF(C617-O617&gt;0,C617-O617,"")</f>
        <v/>
      </c>
      <c r="M617" s="14" t="str">
        <f>IF(L617="","",F617*L617)</f>
        <v/>
      </c>
      <c r="N617" s="15">
        <f>IF(OR(M617="",$G$1279=0),"",M617/$G$1279*100)</f>
      </c>
      <c r="O617" s="12">
        <v>7.056</v>
      </c>
      <c r="P617" s="14">
        <f>F617*O617</f>
        <v>8161904.5200000005</v>
      </c>
      <c r="Q617" s="15">
        <f>IF($P$1279=0,0,P617/$P$1279*100)</f>
      </c>
      <c r="R617" s="10" t="str">
        <f>IF(O617=C617,"TETAP",IF(C617=0,"BARU",IF(O617=0,"HAPUS",IF(O617&gt;C617,"TAMBAH","KURANG"))))</f>
        <v>TETAP</v>
      </c>
    </row>
    <row r="618" spans="1:18" x14ac:dyDescent="0.25">
      <c r="A618" s="10" t="s">
        <v>528</v>
      </c>
      <c r="B618" s="18" t="s">
        <v>529</v>
      </c>
      <c r="C618" s="12">
        <v>8.417</v>
      </c>
      <c r="D618" s="12">
        <v>0</v>
      </c>
      <c r="E618" s="10" t="s">
        <v>26</v>
      </c>
      <c r="F618" s="14">
        <v>201383.58</v>
      </c>
      <c r="G618" s="14">
        <f>F618*C618</f>
        <v>1695045.5928599997</v>
      </c>
      <c r="H618" s="15">
        <f>IF($G$1279=0,0,G618/$G$1279*100)</f>
      </c>
      <c r="I618" s="12" t="str">
        <f>IF(O618-C618&gt;0,O618-C618,"")</f>
        <v/>
      </c>
      <c r="J618" s="14" t="str">
        <f>IF(I618="","",F618*I618)</f>
        <v/>
      </c>
      <c r="K618" s="15">
        <f>IF(OR(J618="",$G$1279=0),"",J618/$G$1279*100)</f>
      </c>
      <c r="L618" s="12" t="str">
        <f>IF(C618-O618&gt;0,C618-O618,"")</f>
        <v/>
      </c>
      <c r="M618" s="14" t="str">
        <f>IF(L618="","",F618*L618)</f>
        <v/>
      </c>
      <c r="N618" s="15">
        <f>IF(OR(M618="",$G$1279=0),"",M618/$G$1279*100)</f>
      </c>
      <c r="O618" s="12">
        <v>8.417</v>
      </c>
      <c r="P618" s="14">
        <f>F618*O618</f>
        <v>1695045.5928599997</v>
      </c>
      <c r="Q618" s="15">
        <f>IF($P$1279=0,0,P618/$P$1279*100)</f>
      </c>
      <c r="R618" s="10" t="str">
        <f>IF(O618=C618,"TETAP",IF(C618=0,"BARU",IF(O618=0,"HAPUS",IF(O618&gt;C618,"TAMBAH","KURANG"))))</f>
        <v>TETAP</v>
      </c>
    </row>
    <row r="619" spans="1:18" x14ac:dyDescent="0.25">
      <c r="A619" s="10" t="s">
        <v>152</v>
      </c>
      <c r="B619" s="20" t="s">
        <v>530</v>
      </c>
      <c r="C619" s="12">
        <v>106.819</v>
      </c>
      <c r="D619" s="12">
        <v>0</v>
      </c>
      <c r="E619" s="10" t="s">
        <v>26</v>
      </c>
      <c r="F619" s="14">
        <v>92448.72</v>
      </c>
      <c r="G619" s="14">
        <f>F619*C619</f>
        <v>9875279.82168</v>
      </c>
      <c r="H619" s="15">
        <f>IF($G$1279=0,0,G619/$G$1279*100)</f>
      </c>
      <c r="I619" s="12" t="str">
        <f>IF(O619-C619&gt;0,O619-C619,"")</f>
        <v/>
      </c>
      <c r="J619" s="14" t="str">
        <f>IF(I619="","",F619*I619)</f>
        <v/>
      </c>
      <c r="K619" s="15">
        <f>IF(OR(J619="",$G$1279=0),"",J619/$G$1279*100)</f>
      </c>
      <c r="L619" s="12" t="str">
        <f>IF(C619-O619&gt;0,C619-O619,"")</f>
        <v/>
      </c>
      <c r="M619" s="14" t="str">
        <f>IF(L619="","",F619*L619)</f>
        <v/>
      </c>
      <c r="N619" s="15">
        <f>IF(OR(M619="",$G$1279=0),"",M619/$G$1279*100)</f>
      </c>
      <c r="O619" s="12">
        <v>106.819</v>
      </c>
      <c r="P619" s="14">
        <f>F619*O619</f>
        <v>9875279.82168</v>
      </c>
      <c r="Q619" s="15">
        <f>IF($P$1279=0,0,P619/$P$1279*100)</f>
      </c>
      <c r="R619" s="10" t="str">
        <f>IF(O619=C619,"TETAP",IF(C619=0,"BARU",IF(O619=0,"HAPUS",IF(O619&gt;C619,"TAMBAH","KURANG"))))</f>
        <v>TETAP</v>
      </c>
    </row>
    <row r="620" spans="1:18" x14ac:dyDescent="0.25">
      <c r="A620" s="10" t="s">
        <v>531</v>
      </c>
      <c r="B620" s="20" t="s">
        <v>532</v>
      </c>
      <c r="C620" s="12">
        <v>15.225</v>
      </c>
      <c r="D620" s="12">
        <v>0</v>
      </c>
      <c r="E620" s="10" t="s">
        <v>26</v>
      </c>
      <c r="F620" s="14">
        <v>37047.53</v>
      </c>
      <c r="G620" s="14">
        <f>F620*C620</f>
        <v>564048.64425</v>
      </c>
      <c r="H620" s="15">
        <f>IF($G$1279=0,0,G620/$G$1279*100)</f>
      </c>
      <c r="I620" s="12" t="str">
        <f>IF(O620-C620&gt;0,O620-C620,"")</f>
        <v/>
      </c>
      <c r="J620" s="14" t="str">
        <f>IF(I620="","",F620*I620)</f>
        <v/>
      </c>
      <c r="K620" s="15">
        <f>IF(OR(J620="",$G$1279=0),"",J620/$G$1279*100)</f>
      </c>
      <c r="L620" s="12" t="str">
        <f>IF(C620-O620&gt;0,C620-O620,"")</f>
        <v/>
      </c>
      <c r="M620" s="14" t="str">
        <f>IF(L620="","",F620*L620)</f>
        <v/>
      </c>
      <c r="N620" s="15">
        <f>IF(OR(M620="",$G$1279=0),"",M620/$G$1279*100)</f>
      </c>
      <c r="O620" s="12">
        <v>15.225</v>
      </c>
      <c r="P620" s="14">
        <f>F620*O620</f>
        <v>564048.64425</v>
      </c>
      <c r="Q620" s="15">
        <f>IF($P$1279=0,0,P620/$P$1279*100)</f>
      </c>
      <c r="R620" s="10" t="str">
        <f>IF(O620=C620,"TETAP",IF(C620=0,"BARU",IF(O620=0,"HAPUS",IF(O620&gt;C620,"TAMBAH","KURANG"))))</f>
        <v>TETAP</v>
      </c>
    </row>
    <row r="621" spans="1:18" x14ac:dyDescent="0.25">
      <c r="A621" s="10" t="s">
        <v>533</v>
      </c>
      <c r="B621" s="20" t="s">
        <v>420</v>
      </c>
      <c r="C621" s="12">
        <v>19.998</v>
      </c>
      <c r="D621" s="12">
        <v>0</v>
      </c>
      <c r="E621" s="10" t="s">
        <v>37</v>
      </c>
      <c r="F621" s="14">
        <v>104856.07</v>
      </c>
      <c r="G621" s="14">
        <f>F621*C621</f>
        <v>2096911.6878600002</v>
      </c>
      <c r="H621" s="15">
        <f>IF($G$1279=0,0,G621/$G$1279*100)</f>
      </c>
      <c r="I621" s="12" t="str">
        <f>IF(O621-C621&gt;0,O621-C621,"")</f>
        <v/>
      </c>
      <c r="J621" s="14" t="str">
        <f>IF(I621="","",F621*I621)</f>
        <v/>
      </c>
      <c r="K621" s="15">
        <f>IF(OR(J621="",$G$1279=0),"",J621/$G$1279*100)</f>
      </c>
      <c r="L621" s="12" t="str">
        <f>IF(C621-O621&gt;0,C621-O621,"")</f>
        <v/>
      </c>
      <c r="M621" s="14" t="str">
        <f>IF(L621="","",F621*L621)</f>
        <v/>
      </c>
      <c r="N621" s="15">
        <f>IF(OR(M621="",$G$1279=0),"",M621/$G$1279*100)</f>
      </c>
      <c r="O621" s="12">
        <v>19.998</v>
      </c>
      <c r="P621" s="14">
        <f>F621*O621</f>
        <v>2096911.6878600002</v>
      </c>
      <c r="Q621" s="15">
        <f>IF($P$1279=0,0,P621/$P$1279*100)</f>
      </c>
      <c r="R621" s="10" t="str">
        <f>IF(O621=C621,"TETAP",IF(C621=0,"BARU",IF(O621=0,"HAPUS",IF(O621&gt;C621,"TAMBAH","KURANG"))))</f>
        <v>TETAP</v>
      </c>
    </row>
    <row r="622" spans="1:18" x14ac:dyDescent="0.25">
      <c r="A622" s="10" t="s">
        <v>534</v>
      </c>
      <c r="B622" s="20" t="s">
        <v>421</v>
      </c>
      <c r="C622" s="12">
        <v>5.999</v>
      </c>
      <c r="D622" s="12">
        <v>0</v>
      </c>
      <c r="E622" s="10" t="s">
        <v>26</v>
      </c>
      <c r="F622" s="14">
        <v>92448.72</v>
      </c>
      <c r="G622" s="14">
        <f>F622*C622</f>
        <v>554599.87128</v>
      </c>
      <c r="H622" s="15">
        <f>IF($G$1279=0,0,G622/$G$1279*100)</f>
      </c>
      <c r="I622" s="12" t="str">
        <f>IF(O622-C622&gt;0,O622-C622,"")</f>
        <v/>
      </c>
      <c r="J622" s="14" t="str">
        <f>IF(I622="","",F622*I622)</f>
        <v/>
      </c>
      <c r="K622" s="15">
        <f>IF(OR(J622="",$G$1279=0),"",J622/$G$1279*100)</f>
      </c>
      <c r="L622" s="12" t="str">
        <f>IF(C622-O622&gt;0,C622-O622,"")</f>
        <v/>
      </c>
      <c r="M622" s="14" t="str">
        <f>IF(L622="","",F622*L622)</f>
        <v/>
      </c>
      <c r="N622" s="15">
        <f>IF(OR(M622="",$G$1279=0),"",M622/$G$1279*100)</f>
      </c>
      <c r="O622" s="12">
        <v>5.999</v>
      </c>
      <c r="P622" s="14">
        <f>F622*O622</f>
        <v>554599.87128</v>
      </c>
      <c r="Q622" s="15">
        <f>IF($P$1279=0,0,P622/$P$1279*100)</f>
      </c>
      <c r="R622" s="10" t="str">
        <f>IF(O622=C622,"TETAP",IF(C622=0,"BARU",IF(O622=0,"HAPUS",IF(O622&gt;C622,"TAMBAH","KURANG"))))</f>
        <v>TETAP</v>
      </c>
    </row>
    <row r="623" spans="1:18" x14ac:dyDescent="0.25">
      <c r="A623" s="10" t="s">
        <v>533</v>
      </c>
      <c r="B623" s="20" t="s">
        <v>535</v>
      </c>
      <c r="C623" s="12">
        <v>1</v>
      </c>
      <c r="D623" s="12">
        <v>0</v>
      </c>
      <c r="E623" s="10" t="s">
        <v>119</v>
      </c>
      <c r="F623" s="14">
        <v>2296017.52</v>
      </c>
      <c r="G623" s="14">
        <f>F623*C623</f>
        <v>2296017.52</v>
      </c>
      <c r="H623" s="15">
        <f>IF($G$1279=0,0,G623/$G$1279*100)</f>
      </c>
      <c r="I623" s="12" t="str">
        <f>IF(O623-C623&gt;0,O623-C623,"")</f>
        <v/>
      </c>
      <c r="J623" s="14" t="str">
        <f>IF(I623="","",F623*I623)</f>
        <v/>
      </c>
      <c r="K623" s="15">
        <f>IF(OR(J623="",$G$1279=0),"",J623/$G$1279*100)</f>
      </c>
      <c r="L623" s="12" t="str">
        <f>IF(C623-O623&gt;0,C623-O623,"")</f>
        <v/>
      </c>
      <c r="M623" s="14" t="str">
        <f>IF(L623="","",F623*L623)</f>
        <v/>
      </c>
      <c r="N623" s="15">
        <f>IF(OR(M623="",$G$1279=0),"",M623/$G$1279*100)</f>
      </c>
      <c r="O623" s="12">
        <v>1</v>
      </c>
      <c r="P623" s="14">
        <f>F623*O623</f>
        <v>2296017.52</v>
      </c>
      <c r="Q623" s="15">
        <f>IF($P$1279=0,0,P623/$P$1279*100)</f>
      </c>
      <c r="R623" s="10" t="str">
        <f>IF(O623=C623,"TETAP",IF(C623=0,"BARU",IF(O623=0,"HAPUS",IF(O623&gt;C623,"TAMBAH","KURANG"))))</f>
        <v>TETAP</v>
      </c>
    </row>
    <row r="624" spans="1:18" x14ac:dyDescent="0.25">
      <c r="A624" s="10" t="s">
        <v>534</v>
      </c>
      <c r="B624" s="20" t="s">
        <v>536</v>
      </c>
      <c r="C624" s="12">
        <v>14</v>
      </c>
      <c r="D624" s="12">
        <v>0</v>
      </c>
      <c r="E624" s="10" t="s">
        <v>32</v>
      </c>
      <c r="F624" s="14">
        <v>255040.84</v>
      </c>
      <c r="G624" s="14">
        <f>F624*C624</f>
        <v>3570571.76</v>
      </c>
      <c r="H624" s="15">
        <f>IF($G$1279=0,0,G624/$G$1279*100)</f>
      </c>
      <c r="I624" s="12" t="str">
        <f>IF(O624-C624&gt;0,O624-C624,"")</f>
        <v/>
      </c>
      <c r="J624" s="14" t="str">
        <f>IF(I624="","",F624*I624)</f>
        <v/>
      </c>
      <c r="K624" s="15">
        <f>IF(OR(J624="",$G$1279=0),"",J624/$G$1279*100)</f>
      </c>
      <c r="L624" s="12" t="str">
        <f>IF(C624-O624&gt;0,C624-O624,"")</f>
        <v/>
      </c>
      <c r="M624" s="14" t="str">
        <f>IF(L624="","",F624*L624)</f>
        <v/>
      </c>
      <c r="N624" s="15">
        <f>IF(OR(M624="",$G$1279=0),"",M624/$G$1279*100)</f>
      </c>
      <c r="O624" s="12">
        <v>14</v>
      </c>
      <c r="P624" s="14">
        <f>F624*O624</f>
        <v>3570571.76</v>
      </c>
      <c r="Q624" s="15">
        <f>IF($P$1279=0,0,P624/$P$1279*100)</f>
      </c>
      <c r="R624" s="10" t="str">
        <f>IF(O624=C624,"TETAP",IF(C624=0,"BARU",IF(O624=0,"HAPUS",IF(O624&gt;C624,"TAMBAH","KURANG"))))</f>
        <v>TETAP</v>
      </c>
    </row>
    <row r="625" spans="1:18" x14ac:dyDescent="0.25">
      <c r="A625" s="5" t="s">
        <v>537</v>
      </c>
      <c r="B625" s="16" t="s">
        <v>538</v>
      </c>
      <c r="C625" s="7"/>
      <c r="D625" s="7"/>
      <c r="E625" s="5"/>
      <c r="F625" s="8"/>
      <c r="G625" s="8"/>
      <c r="H625" s="9"/>
      <c r="I625" s="7"/>
      <c r="J625" s="8"/>
      <c r="K625" s="9"/>
      <c r="L625" s="7"/>
      <c r="M625" s="8"/>
      <c r="N625" s="9"/>
      <c r="O625" s="7"/>
      <c r="P625" s="8"/>
      <c r="Q625" s="9"/>
      <c r="R625" s="5"/>
    </row>
    <row r="626" spans="1:18" x14ac:dyDescent="0.25">
      <c r="A626" s="10" t="s">
        <v>24</v>
      </c>
      <c r="B626" s="20" t="s">
        <v>539</v>
      </c>
      <c r="C626" s="12">
        <v>2</v>
      </c>
      <c r="D626" s="12">
        <v>0</v>
      </c>
      <c r="E626" s="10" t="s">
        <v>37</v>
      </c>
      <c r="F626" s="14">
        <v>30562.21</v>
      </c>
      <c r="G626" s="14">
        <f>F626*C626</f>
        <v>61124.42</v>
      </c>
      <c r="H626" s="15">
        <f>IF($G$1279=0,0,G626/$G$1279*100)</f>
      </c>
      <c r="I626" s="12" t="str">
        <f>IF(O626-C626&gt;0,O626-C626,"")</f>
        <v/>
      </c>
      <c r="J626" s="14" t="str">
        <f>IF(I626="","",F626*I626)</f>
        <v/>
      </c>
      <c r="K626" s="15">
        <f>IF(OR(J626="",$G$1279=0),"",J626/$G$1279*100)</f>
      </c>
      <c r="L626" s="12" t="str">
        <f>IF(C626-O626&gt;0,C626-O626,"")</f>
        <v/>
      </c>
      <c r="M626" s="14" t="str">
        <f>IF(L626="","",F626*L626)</f>
        <v/>
      </c>
      <c r="N626" s="15">
        <f>IF(OR(M626="",$G$1279=0),"",M626/$G$1279*100)</f>
      </c>
      <c r="O626" s="12">
        <v>2</v>
      </c>
      <c r="P626" s="14">
        <f>F626*O626</f>
        <v>61124.42</v>
      </c>
      <c r="Q626" s="15">
        <f>IF($P$1279=0,0,P626/$P$1279*100)</f>
      </c>
      <c r="R626" s="10" t="str">
        <f>IF(O626=C626,"TETAP",IF(C626=0,"BARU",IF(O626=0,"HAPUS",IF(O626&gt;C626,"TAMBAH","KURANG"))))</f>
        <v>TETAP</v>
      </c>
    </row>
    <row r="627" spans="1:18" x14ac:dyDescent="0.25">
      <c r="A627" s="10" t="s">
        <v>27</v>
      </c>
      <c r="B627" s="20" t="s">
        <v>540</v>
      </c>
      <c r="C627" s="12">
        <v>5</v>
      </c>
      <c r="D627" s="12">
        <v>0</v>
      </c>
      <c r="E627" s="10" t="s">
        <v>37</v>
      </c>
      <c r="F627" s="14">
        <v>54093.52</v>
      </c>
      <c r="G627" s="14">
        <f>F627*C627</f>
        <v>270467.6</v>
      </c>
      <c r="H627" s="15">
        <f>IF($G$1279=0,0,G627/$G$1279*100)</f>
      </c>
      <c r="I627" s="12" t="str">
        <f>IF(O627-C627&gt;0,O627-C627,"")</f>
        <v/>
      </c>
      <c r="J627" s="14" t="str">
        <f>IF(I627="","",F627*I627)</f>
        <v/>
      </c>
      <c r="K627" s="15">
        <f>IF(OR(J627="",$G$1279=0),"",J627/$G$1279*100)</f>
      </c>
      <c r="L627" s="12" t="str">
        <f>IF(C627-O627&gt;0,C627-O627,"")</f>
        <v/>
      </c>
      <c r="M627" s="14" t="str">
        <f>IF(L627="","",F627*L627)</f>
        <v/>
      </c>
      <c r="N627" s="15">
        <f>IF(OR(M627="",$G$1279=0),"",M627/$G$1279*100)</f>
      </c>
      <c r="O627" s="12">
        <v>5</v>
      </c>
      <c r="P627" s="14">
        <f>F627*O627</f>
        <v>270467.6</v>
      </c>
      <c r="Q627" s="15">
        <f>IF($P$1279=0,0,P627/$P$1279*100)</f>
      </c>
      <c r="R627" s="10" t="str">
        <f>IF(O627=C627,"TETAP",IF(C627=0,"BARU",IF(O627=0,"HAPUS",IF(O627&gt;C627,"TAMBAH","KURANG"))))</f>
        <v>TETAP</v>
      </c>
    </row>
    <row r="628" spans="1:18" x14ac:dyDescent="0.25">
      <c r="A628" s="10" t="s">
        <v>30</v>
      </c>
      <c r="B628" s="20" t="s">
        <v>541</v>
      </c>
      <c r="C628" s="12">
        <v>3.5</v>
      </c>
      <c r="D628" s="12">
        <v>0</v>
      </c>
      <c r="E628" s="10" t="s">
        <v>37</v>
      </c>
      <c r="F628" s="14">
        <v>193777.46</v>
      </c>
      <c r="G628" s="14">
        <f>F628*C628</f>
        <v>678221.11</v>
      </c>
      <c r="H628" s="15">
        <f>IF($G$1279=0,0,G628/$G$1279*100)</f>
      </c>
      <c r="I628" s="12" t="str">
        <f>IF(O628-C628&gt;0,O628-C628,"")</f>
        <v/>
      </c>
      <c r="J628" s="14" t="str">
        <f>IF(I628="","",F628*I628)</f>
        <v/>
      </c>
      <c r="K628" s="15">
        <f>IF(OR(J628="",$G$1279=0),"",J628/$G$1279*100)</f>
      </c>
      <c r="L628" s="12" t="str">
        <f>IF(C628-O628&gt;0,C628-O628,"")</f>
        <v/>
      </c>
      <c r="M628" s="14" t="str">
        <f>IF(L628="","",F628*L628)</f>
        <v/>
      </c>
      <c r="N628" s="15">
        <f>IF(OR(M628="",$G$1279=0),"",M628/$G$1279*100)</f>
      </c>
      <c r="O628" s="12">
        <v>3.5</v>
      </c>
      <c r="P628" s="14">
        <f>F628*O628</f>
        <v>678221.11</v>
      </c>
      <c r="Q628" s="15">
        <f>IF($P$1279=0,0,P628/$P$1279*100)</f>
      </c>
      <c r="R628" s="10" t="str">
        <f>IF(O628=C628,"TETAP",IF(C628=0,"BARU",IF(O628=0,"HAPUS",IF(O628&gt;C628,"TAMBAH","KURANG"))))</f>
        <v>TETAP</v>
      </c>
    </row>
    <row r="629" spans="1:18" x14ac:dyDescent="0.25">
      <c r="A629" s="10" t="s">
        <v>33</v>
      </c>
      <c r="B629" s="20" t="s">
        <v>542</v>
      </c>
      <c r="C629" s="12">
        <v>2.5</v>
      </c>
      <c r="D629" s="12">
        <v>0</v>
      </c>
      <c r="E629" s="10" t="s">
        <v>37</v>
      </c>
      <c r="F629" s="14">
        <v>317261.88</v>
      </c>
      <c r="G629" s="14">
        <f>F629*C629</f>
        <v>793154.7</v>
      </c>
      <c r="H629" s="15">
        <f>IF($G$1279=0,0,G629/$G$1279*100)</f>
      </c>
      <c r="I629" s="12" t="str">
        <f>IF(O629-C629&gt;0,O629-C629,"")</f>
        <v/>
      </c>
      <c r="J629" s="14" t="str">
        <f>IF(I629="","",F629*I629)</f>
        <v/>
      </c>
      <c r="K629" s="15">
        <f>IF(OR(J629="",$G$1279=0),"",J629/$G$1279*100)</f>
      </c>
      <c r="L629" s="12" t="str">
        <f>IF(C629-O629&gt;0,C629-O629,"")</f>
        <v/>
      </c>
      <c r="M629" s="14" t="str">
        <f>IF(L629="","",F629*L629)</f>
        <v/>
      </c>
      <c r="N629" s="15">
        <f>IF(OR(M629="",$G$1279=0),"",M629/$G$1279*100)</f>
      </c>
      <c r="O629" s="12">
        <v>2.5</v>
      </c>
      <c r="P629" s="14">
        <f>F629*O629</f>
        <v>793154.7</v>
      </c>
      <c r="Q629" s="15">
        <f>IF($P$1279=0,0,P629/$P$1279*100)</f>
      </c>
      <c r="R629" s="10" t="str">
        <f>IF(O629=C629,"TETAP",IF(C629=0,"BARU",IF(O629=0,"HAPUS",IF(O629&gt;C629,"TAMBAH","KURANG"))))</f>
        <v>TETAP</v>
      </c>
    </row>
    <row r="630" spans="1:18" x14ac:dyDescent="0.25">
      <c r="A630" s="10" t="s">
        <v>35</v>
      </c>
      <c r="B630" s="20" t="s">
        <v>543</v>
      </c>
      <c r="C630" s="12">
        <v>1</v>
      </c>
      <c r="D630" s="12">
        <v>0</v>
      </c>
      <c r="E630" s="10" t="s">
        <v>32</v>
      </c>
      <c r="F630" s="14">
        <v>2013633.74</v>
      </c>
      <c r="G630" s="14">
        <f>F630*C630</f>
        <v>2013633.74</v>
      </c>
      <c r="H630" s="15">
        <f>IF($G$1279=0,0,G630/$G$1279*100)</f>
      </c>
      <c r="I630" s="12" t="str">
        <f>IF(O630-C630&gt;0,O630-C630,"")</f>
        <v/>
      </c>
      <c r="J630" s="14" t="str">
        <f>IF(I630="","",F630*I630)</f>
        <v/>
      </c>
      <c r="K630" s="15">
        <f>IF(OR(J630="",$G$1279=0),"",J630/$G$1279*100)</f>
      </c>
      <c r="L630" s="12" t="str">
        <f>IF(C630-O630&gt;0,C630-O630,"")</f>
        <v/>
      </c>
      <c r="M630" s="14" t="str">
        <f>IF(L630="","",F630*L630)</f>
        <v/>
      </c>
      <c r="N630" s="15">
        <f>IF(OR(M630="",$G$1279=0),"",M630/$G$1279*100)</f>
      </c>
      <c r="O630" s="12">
        <v>1</v>
      </c>
      <c r="P630" s="14">
        <f>F630*O630</f>
        <v>2013633.74</v>
      </c>
      <c r="Q630" s="15">
        <f>IF($P$1279=0,0,P630/$P$1279*100)</f>
      </c>
      <c r="R630" s="10" t="str">
        <f>IF(O630=C630,"TETAP",IF(C630=0,"BARU",IF(O630=0,"HAPUS",IF(O630&gt;C630,"TAMBAH","KURANG"))))</f>
        <v>TETAP</v>
      </c>
    </row>
    <row r="631" spans="1:18" x14ac:dyDescent="0.25">
      <c r="A631" s="10" t="s">
        <v>38</v>
      </c>
      <c r="B631" s="20" t="s">
        <v>544</v>
      </c>
      <c r="C631" s="12">
        <v>1</v>
      </c>
      <c r="D631" s="12">
        <v>0</v>
      </c>
      <c r="E631" s="10" t="s">
        <v>32</v>
      </c>
      <c r="F631" s="14">
        <v>614149.46</v>
      </c>
      <c r="G631" s="14">
        <f>F631*C631</f>
        <v>614149.46</v>
      </c>
      <c r="H631" s="15">
        <f>IF($G$1279=0,0,G631/$G$1279*100)</f>
      </c>
      <c r="I631" s="12" t="str">
        <f>IF(O631-C631&gt;0,O631-C631,"")</f>
        <v/>
      </c>
      <c r="J631" s="14" t="str">
        <f>IF(I631="","",F631*I631)</f>
        <v/>
      </c>
      <c r="K631" s="15">
        <f>IF(OR(J631="",$G$1279=0),"",J631/$G$1279*100)</f>
      </c>
      <c r="L631" s="12" t="str">
        <f>IF(C631-O631&gt;0,C631-O631,"")</f>
        <v/>
      </c>
      <c r="M631" s="14" t="str">
        <f>IF(L631="","",F631*L631)</f>
        <v/>
      </c>
      <c r="N631" s="15">
        <f>IF(OR(M631="",$G$1279=0),"",M631/$G$1279*100)</f>
      </c>
      <c r="O631" s="12">
        <v>1</v>
      </c>
      <c r="P631" s="14">
        <f>F631*O631</f>
        <v>614149.46</v>
      </c>
      <c r="Q631" s="15">
        <f>IF($P$1279=0,0,P631/$P$1279*100)</f>
      </c>
      <c r="R631" s="10" t="str">
        <f>IF(O631=C631,"TETAP",IF(C631=0,"BARU",IF(O631=0,"HAPUS",IF(O631&gt;C631,"TAMBAH","KURANG"))))</f>
        <v>TETAP</v>
      </c>
    </row>
    <row r="632" spans="1:18" x14ac:dyDescent="0.25">
      <c r="A632" s="10" t="s">
        <v>108</v>
      </c>
      <c r="B632" s="20" t="s">
        <v>545</v>
      </c>
      <c r="C632" s="12">
        <v>1</v>
      </c>
      <c r="D632" s="12">
        <v>0</v>
      </c>
      <c r="E632" s="10" t="s">
        <v>32</v>
      </c>
      <c r="F632" s="14">
        <v>106885.15</v>
      </c>
      <c r="G632" s="14">
        <f>F632*C632</f>
        <v>106885.15</v>
      </c>
      <c r="H632" s="15">
        <f>IF($G$1279=0,0,G632/$G$1279*100)</f>
      </c>
      <c r="I632" s="12" t="str">
        <f>IF(O632-C632&gt;0,O632-C632,"")</f>
        <v/>
      </c>
      <c r="J632" s="14" t="str">
        <f>IF(I632="","",F632*I632)</f>
        <v/>
      </c>
      <c r="K632" s="15">
        <f>IF(OR(J632="",$G$1279=0),"",J632/$G$1279*100)</f>
      </c>
      <c r="L632" s="12" t="str">
        <f>IF(C632-O632&gt;0,C632-O632,"")</f>
        <v/>
      </c>
      <c r="M632" s="14" t="str">
        <f>IF(L632="","",F632*L632)</f>
        <v/>
      </c>
      <c r="N632" s="15">
        <f>IF(OR(M632="",$G$1279=0),"",M632/$G$1279*100)</f>
      </c>
      <c r="O632" s="12">
        <v>1</v>
      </c>
      <c r="P632" s="14">
        <f>F632*O632</f>
        <v>106885.15</v>
      </c>
      <c r="Q632" s="15">
        <f>IF($P$1279=0,0,P632/$P$1279*100)</f>
      </c>
      <c r="R632" s="10" t="str">
        <f>IF(O632=C632,"TETAP",IF(C632=0,"BARU",IF(O632=0,"HAPUS",IF(O632&gt;C632,"TAMBAH","KURANG"))))</f>
        <v>TETAP</v>
      </c>
    </row>
    <row r="633" spans="1:18" x14ac:dyDescent="0.25">
      <c r="A633" s="10" t="s">
        <v>110</v>
      </c>
      <c r="B633" s="20" t="s">
        <v>546</v>
      </c>
      <c r="C633" s="12">
        <v>1</v>
      </c>
      <c r="D633" s="12">
        <v>0</v>
      </c>
      <c r="E633" s="10" t="s">
        <v>32</v>
      </c>
      <c r="F633" s="14">
        <v>100809.92</v>
      </c>
      <c r="G633" s="14">
        <f>F633*C633</f>
        <v>100809.92</v>
      </c>
      <c r="H633" s="15">
        <f>IF($G$1279=0,0,G633/$G$1279*100)</f>
      </c>
      <c r="I633" s="12" t="str">
        <f>IF(O633-C633&gt;0,O633-C633,"")</f>
        <v/>
      </c>
      <c r="J633" s="14" t="str">
        <f>IF(I633="","",F633*I633)</f>
        <v/>
      </c>
      <c r="K633" s="15">
        <f>IF(OR(J633="",$G$1279=0),"",J633/$G$1279*100)</f>
      </c>
      <c r="L633" s="12" t="str">
        <f>IF(C633-O633&gt;0,C633-O633,"")</f>
        <v/>
      </c>
      <c r="M633" s="14" t="str">
        <f>IF(L633="","",F633*L633)</f>
        <v/>
      </c>
      <c r="N633" s="15">
        <f>IF(OR(M633="",$G$1279=0),"",M633/$G$1279*100)</f>
      </c>
      <c r="O633" s="12">
        <v>1</v>
      </c>
      <c r="P633" s="14">
        <f>F633*O633</f>
        <v>100809.92</v>
      </c>
      <c r="Q633" s="15">
        <f>IF($P$1279=0,0,P633/$P$1279*100)</f>
      </c>
      <c r="R633" s="10" t="str">
        <f>IF(O633=C633,"TETAP",IF(C633=0,"BARU",IF(O633=0,"HAPUS",IF(O633&gt;C633,"TAMBAH","KURANG"))))</f>
        <v>TETAP</v>
      </c>
    </row>
    <row r="634" spans="1:18" x14ac:dyDescent="0.25">
      <c r="A634" s="10" t="s">
        <v>112</v>
      </c>
      <c r="B634" s="20" t="s">
        <v>547</v>
      </c>
      <c r="C634" s="12">
        <v>1</v>
      </c>
      <c r="D634" s="12">
        <v>0</v>
      </c>
      <c r="E634" s="10" t="s">
        <v>119</v>
      </c>
      <c r="F634" s="14">
        <v>1302327.57</v>
      </c>
      <c r="G634" s="14">
        <f>F634*C634</f>
        <v>1302327.57</v>
      </c>
      <c r="H634" s="15">
        <f>IF($G$1279=0,0,G634/$G$1279*100)</f>
      </c>
      <c r="I634" s="12" t="str">
        <f>IF(O634-C634&gt;0,O634-C634,"")</f>
        <v/>
      </c>
      <c r="J634" s="14" t="str">
        <f>IF(I634="","",F634*I634)</f>
        <v/>
      </c>
      <c r="K634" s="15">
        <f>IF(OR(J634="",$G$1279=0),"",J634/$G$1279*100)</f>
      </c>
      <c r="L634" s="12" t="str">
        <f>IF(C634-O634&gt;0,C634-O634,"")</f>
        <v/>
      </c>
      <c r="M634" s="14" t="str">
        <f>IF(L634="","",F634*L634)</f>
        <v/>
      </c>
      <c r="N634" s="15">
        <f>IF(OR(M634="",$G$1279=0),"",M634/$G$1279*100)</f>
      </c>
      <c r="O634" s="12">
        <v>1</v>
      </c>
      <c r="P634" s="14">
        <f>F634*O634</f>
        <v>1302327.57</v>
      </c>
      <c r="Q634" s="15">
        <f>IF($P$1279=0,0,P634/$P$1279*100)</f>
      </c>
      <c r="R634" s="10" t="str">
        <f>IF(O634=C634,"TETAP",IF(C634=0,"BARU",IF(O634=0,"HAPUS",IF(O634&gt;C634,"TAMBAH","KURANG"))))</f>
        <v>TETAP</v>
      </c>
    </row>
    <row r="635" spans="1:18" x14ac:dyDescent="0.25">
      <c r="A635" s="5" t="s">
        <v>115</v>
      </c>
      <c r="B635" s="17" t="s">
        <v>548</v>
      </c>
      <c r="C635" s="7"/>
      <c r="D635" s="7"/>
      <c r="E635" s="5"/>
      <c r="F635" s="8"/>
      <c r="G635" s="8"/>
      <c r="H635" s="9"/>
      <c r="I635" s="7"/>
      <c r="J635" s="8"/>
      <c r="K635" s="9"/>
      <c r="L635" s="7"/>
      <c r="M635" s="8"/>
      <c r="N635" s="9"/>
      <c r="O635" s="7"/>
      <c r="P635" s="8"/>
      <c r="Q635" s="9"/>
      <c r="R635" s="5"/>
    </row>
    <row r="636" spans="1:18" x14ac:dyDescent="0.25">
      <c r="A636" s="10" t="s">
        <v>117</v>
      </c>
      <c r="B636" s="18" t="s">
        <v>549</v>
      </c>
      <c r="C636" s="12">
        <v>1</v>
      </c>
      <c r="D636" s="12">
        <v>0</v>
      </c>
      <c r="E636" s="10" t="s">
        <v>119</v>
      </c>
      <c r="F636" s="14">
        <v>997765.14</v>
      </c>
      <c r="G636" s="14">
        <f>F636*C636</f>
        <v>997765.14</v>
      </c>
      <c r="H636" s="15">
        <f>IF($G$1279=0,0,G636/$G$1279*100)</f>
      </c>
      <c r="I636" s="12" t="str">
        <f>IF(O636-C636&gt;0,O636-C636,"")</f>
        <v/>
      </c>
      <c r="J636" s="14" t="str">
        <f>IF(I636="","",F636*I636)</f>
        <v/>
      </c>
      <c r="K636" s="15">
        <f>IF(OR(J636="",$G$1279=0),"",J636/$G$1279*100)</f>
      </c>
      <c r="L636" s="12" t="str">
        <f>IF(C636-O636&gt;0,C636-O636,"")</f>
        <v/>
      </c>
      <c r="M636" s="14" t="str">
        <f>IF(L636="","",F636*L636)</f>
        <v/>
      </c>
      <c r="N636" s="15">
        <f>IF(OR(M636="",$G$1279=0),"",M636/$G$1279*100)</f>
      </c>
      <c r="O636" s="12">
        <v>1</v>
      </c>
      <c r="P636" s="14">
        <f>F636*O636</f>
        <v>997765.14</v>
      </c>
      <c r="Q636" s="15">
        <f>IF($P$1279=0,0,P636/$P$1279*100)</f>
      </c>
      <c r="R636" s="10" t="str">
        <f>IF(O636=C636,"TETAP",IF(C636=0,"BARU",IF(O636=0,"HAPUS",IF(O636&gt;C636,"TAMBAH","KURANG"))))</f>
        <v>TETAP</v>
      </c>
    </row>
    <row r="637" spans="1:18" x14ac:dyDescent="0.25">
      <c r="A637" s="10" t="s">
        <v>120</v>
      </c>
      <c r="B637" s="18" t="s">
        <v>550</v>
      </c>
      <c r="C637" s="12">
        <v>1</v>
      </c>
      <c r="D637" s="12">
        <v>0</v>
      </c>
      <c r="E637" s="10" t="s">
        <v>119</v>
      </c>
      <c r="F637" s="14">
        <v>541267.3</v>
      </c>
      <c r="G637" s="14">
        <f>F637*C637</f>
        <v>541267.3</v>
      </c>
      <c r="H637" s="15">
        <f>IF($G$1279=0,0,G637/$G$1279*100)</f>
      </c>
      <c r="I637" s="12" t="str">
        <f>IF(O637-C637&gt;0,O637-C637,"")</f>
        <v/>
      </c>
      <c r="J637" s="14" t="str">
        <f>IF(I637="","",F637*I637)</f>
        <v/>
      </c>
      <c r="K637" s="15">
        <f>IF(OR(J637="",$G$1279=0),"",J637/$G$1279*100)</f>
      </c>
      <c r="L637" s="12" t="str">
        <f>IF(C637-O637&gt;0,C637-O637,"")</f>
        <v/>
      </c>
      <c r="M637" s="14" t="str">
        <f>IF(L637="","",F637*L637)</f>
        <v/>
      </c>
      <c r="N637" s="15">
        <f>IF(OR(M637="",$G$1279=0),"",M637/$G$1279*100)</f>
      </c>
      <c r="O637" s="12">
        <v>1</v>
      </c>
      <c r="P637" s="14">
        <f>F637*O637</f>
        <v>541267.3</v>
      </c>
      <c r="Q637" s="15">
        <f>IF($P$1279=0,0,P637/$P$1279*100)</f>
      </c>
      <c r="R637" s="10" t="str">
        <f>IF(O637=C637,"TETAP",IF(C637=0,"BARU",IF(O637=0,"HAPUS",IF(O637&gt;C637,"TAMBAH","KURANG"))))</f>
        <v>TETAP</v>
      </c>
    </row>
    <row r="638" spans="1:18" x14ac:dyDescent="0.25">
      <c r="A638" s="5" t="s">
        <v>122</v>
      </c>
      <c r="B638" s="19" t="s">
        <v>551</v>
      </c>
      <c r="C638" s="7"/>
      <c r="D638" s="7"/>
      <c r="E638" s="5"/>
      <c r="F638" s="8"/>
      <c r="G638" s="8"/>
      <c r="H638" s="9"/>
      <c r="I638" s="7"/>
      <c r="J638" s="8"/>
      <c r="K638" s="9"/>
      <c r="L638" s="7"/>
      <c r="M638" s="8"/>
      <c r="N638" s="9"/>
      <c r="O638" s="7"/>
      <c r="P638" s="8"/>
      <c r="Q638" s="9"/>
      <c r="R638" s="5"/>
    </row>
    <row r="639" spans="1:18" x14ac:dyDescent="0.25">
      <c r="A639" s="10" t="s">
        <v>552</v>
      </c>
      <c r="B639" s="18" t="s">
        <v>553</v>
      </c>
      <c r="C639" s="12">
        <v>2.304</v>
      </c>
      <c r="D639" s="12">
        <v>0</v>
      </c>
      <c r="E639" s="10" t="s">
        <v>159</v>
      </c>
      <c r="F639" s="14">
        <v>104895.16</v>
      </c>
      <c r="G639" s="14">
        <f>F639*C639</f>
        <v>241678.44864</v>
      </c>
      <c r="H639" s="15">
        <f>IF($G$1279=0,0,G639/$G$1279*100)</f>
      </c>
      <c r="I639" s="12" t="str">
        <f>IF(O639-C639&gt;0,O639-C639,"")</f>
        <v/>
      </c>
      <c r="J639" s="14" t="str">
        <f>IF(I639="","",F639*I639)</f>
        <v/>
      </c>
      <c r="K639" s="15">
        <f>IF(OR(J639="",$G$1279=0),"",J639/$G$1279*100)</f>
      </c>
      <c r="L639" s="12" t="str">
        <f>IF(C639-O639&gt;0,C639-O639,"")</f>
        <v/>
      </c>
      <c r="M639" s="14" t="str">
        <f>IF(L639="","",F639*L639)</f>
        <v/>
      </c>
      <c r="N639" s="15">
        <f>IF(OR(M639="",$G$1279=0),"",M639/$G$1279*100)</f>
      </c>
      <c r="O639" s="12">
        <v>2.304</v>
      </c>
      <c r="P639" s="14">
        <f>F639*O639</f>
        <v>241678.44864</v>
      </c>
      <c r="Q639" s="15">
        <f>IF($P$1279=0,0,P639/$P$1279*100)</f>
      </c>
      <c r="R639" s="10" t="str">
        <f>IF(O639=C639,"TETAP",IF(C639=0,"BARU",IF(O639=0,"HAPUS",IF(O639&gt;C639,"TAMBAH","KURANG"))))</f>
        <v>TETAP</v>
      </c>
    </row>
    <row r="640" spans="1:18" x14ac:dyDescent="0.25">
      <c r="A640" s="10" t="s">
        <v>554</v>
      </c>
      <c r="B640" s="18" t="s">
        <v>555</v>
      </c>
      <c r="C640" s="12">
        <v>2.88</v>
      </c>
      <c r="D640" s="12">
        <v>0</v>
      </c>
      <c r="E640" s="10" t="s">
        <v>26</v>
      </c>
      <c r="F640" s="14">
        <v>184387.03</v>
      </c>
      <c r="G640" s="14">
        <f>F640*C640</f>
        <v>531034.6464</v>
      </c>
      <c r="H640" s="15">
        <f>IF($G$1279=0,0,G640/$G$1279*100)</f>
      </c>
      <c r="I640" s="12" t="str">
        <f>IF(O640-C640&gt;0,O640-C640,"")</f>
        <v/>
      </c>
      <c r="J640" s="14" t="str">
        <f>IF(I640="","",F640*I640)</f>
        <v/>
      </c>
      <c r="K640" s="15">
        <f>IF(OR(J640="",$G$1279=0),"",J640/$G$1279*100)</f>
      </c>
      <c r="L640" s="12" t="str">
        <f>IF(C640-O640&gt;0,C640-O640,"")</f>
        <v/>
      </c>
      <c r="M640" s="14" t="str">
        <f>IF(L640="","",F640*L640)</f>
        <v/>
      </c>
      <c r="N640" s="15">
        <f>IF(OR(M640="",$G$1279=0),"",M640/$G$1279*100)</f>
      </c>
      <c r="O640" s="12">
        <v>2.88</v>
      </c>
      <c r="P640" s="14">
        <f>F640*O640</f>
        <v>531034.6464</v>
      </c>
      <c r="Q640" s="15">
        <f>IF($P$1279=0,0,P640/$P$1279*100)</f>
      </c>
      <c r="R640" s="10" t="str">
        <f>IF(O640=C640,"TETAP",IF(C640=0,"BARU",IF(O640=0,"HAPUS",IF(O640&gt;C640,"TAMBAH","KURANG"))))</f>
        <v>TETAP</v>
      </c>
    </row>
    <row r="641" spans="1:18" x14ac:dyDescent="0.25">
      <c r="A641" s="10" t="s">
        <v>556</v>
      </c>
      <c r="B641" s="18" t="s">
        <v>557</v>
      </c>
      <c r="C641" s="12">
        <v>12.503</v>
      </c>
      <c r="D641" s="12">
        <v>0</v>
      </c>
      <c r="E641" s="10" t="s">
        <v>169</v>
      </c>
      <c r="F641" s="14">
        <v>28927.25</v>
      </c>
      <c r="G641" s="14">
        <f>F641*C641</f>
        <v>361677.40675</v>
      </c>
      <c r="H641" s="15">
        <f>IF($G$1279=0,0,G641/$G$1279*100)</f>
      </c>
      <c r="I641" s="12" t="str">
        <f>IF(O641-C641&gt;0,O641-C641,"")</f>
        <v/>
      </c>
      <c r="J641" s="14" t="str">
        <f>IF(I641="","",F641*I641)</f>
        <v/>
      </c>
      <c r="K641" s="15">
        <f>IF(OR(J641="",$G$1279=0),"",J641/$G$1279*100)</f>
      </c>
      <c r="L641" s="12" t="str">
        <f>IF(C641-O641&gt;0,C641-O641,"")</f>
        <v/>
      </c>
      <c r="M641" s="14" t="str">
        <f>IF(L641="","",F641*L641)</f>
        <v/>
      </c>
      <c r="N641" s="15">
        <f>IF(OR(M641="",$G$1279=0),"",M641/$G$1279*100)</f>
      </c>
      <c r="O641" s="12">
        <v>12.503</v>
      </c>
      <c r="P641" s="14">
        <f>F641*O641</f>
        <v>361677.40675</v>
      </c>
      <c r="Q641" s="15">
        <f>IF($P$1279=0,0,P641/$P$1279*100)</f>
      </c>
      <c r="R641" s="10" t="str">
        <f>IF(O641=C641,"TETAP",IF(C641=0,"BARU",IF(O641=0,"HAPUS",IF(O641&gt;C641,"TAMBAH","KURANG"))))</f>
        <v>TETAP</v>
      </c>
    </row>
    <row r="642" spans="1:18" x14ac:dyDescent="0.25">
      <c r="A642" s="10" t="s">
        <v>558</v>
      </c>
      <c r="B642" s="18" t="s">
        <v>559</v>
      </c>
      <c r="C642" s="12">
        <v>0.432</v>
      </c>
      <c r="D642" s="12">
        <v>0</v>
      </c>
      <c r="E642" s="10" t="s">
        <v>159</v>
      </c>
      <c r="F642" s="14">
        <v>1399567.05</v>
      </c>
      <c r="G642" s="14">
        <f>F642*C642</f>
        <v>604612.9656</v>
      </c>
      <c r="H642" s="15">
        <f>IF($G$1279=0,0,G642/$G$1279*100)</f>
      </c>
      <c r="I642" s="12" t="str">
        <f>IF(O642-C642&gt;0,O642-C642,"")</f>
        <v/>
      </c>
      <c r="J642" s="14" t="str">
        <f>IF(I642="","",F642*I642)</f>
        <v/>
      </c>
      <c r="K642" s="15">
        <f>IF(OR(J642="",$G$1279=0),"",J642/$G$1279*100)</f>
      </c>
      <c r="L642" s="12" t="str">
        <f>IF(C642-O642&gt;0,C642-O642,"")</f>
        <v/>
      </c>
      <c r="M642" s="14" t="str">
        <f>IF(L642="","",F642*L642)</f>
        <v/>
      </c>
      <c r="N642" s="15">
        <f>IF(OR(M642="",$G$1279=0),"",M642/$G$1279*100)</f>
      </c>
      <c r="O642" s="12">
        <v>0.432</v>
      </c>
      <c r="P642" s="14">
        <f>F642*O642</f>
        <v>604612.9656</v>
      </c>
      <c r="Q642" s="15">
        <f>IF($P$1279=0,0,P642/$P$1279*100)</f>
      </c>
      <c r="R642" s="10" t="str">
        <f>IF(O642=C642,"TETAP",IF(C642=0,"BARU",IF(O642=0,"HAPUS",IF(O642&gt;C642,"TAMBAH","KURANG"))))</f>
        <v>TETAP</v>
      </c>
    </row>
    <row r="643" spans="1:18" x14ac:dyDescent="0.25">
      <c r="A643" s="5" t="s">
        <v>124</v>
      </c>
      <c r="B643" s="19" t="s">
        <v>560</v>
      </c>
      <c r="C643" s="7"/>
      <c r="D643" s="7"/>
      <c r="E643" s="5"/>
      <c r="F643" s="8"/>
      <c r="G643" s="8"/>
      <c r="H643" s="9"/>
      <c r="I643" s="7"/>
      <c r="J643" s="8"/>
      <c r="K643" s="9"/>
      <c r="L643" s="7"/>
      <c r="M643" s="8"/>
      <c r="N643" s="9"/>
      <c r="O643" s="7"/>
      <c r="P643" s="8"/>
      <c r="Q643" s="9"/>
      <c r="R643" s="5"/>
    </row>
    <row r="644" spans="1:18" x14ac:dyDescent="0.25">
      <c r="A644" s="10" t="s">
        <v>561</v>
      </c>
      <c r="B644" s="18" t="s">
        <v>562</v>
      </c>
      <c r="C644" s="12">
        <v>3.2</v>
      </c>
      <c r="D644" s="12">
        <v>0</v>
      </c>
      <c r="E644" s="10" t="s">
        <v>26</v>
      </c>
      <c r="F644" s="14">
        <v>229284.3</v>
      </c>
      <c r="G644" s="14">
        <f>F644*C644</f>
        <v>733709.76</v>
      </c>
      <c r="H644" s="15">
        <f>IF($G$1279=0,0,G644/$G$1279*100)</f>
      </c>
      <c r="I644" s="12" t="str">
        <f>IF(O644-C644&gt;0,O644-C644,"")</f>
        <v/>
      </c>
      <c r="J644" s="14" t="str">
        <f>IF(I644="","",F644*I644)</f>
        <v/>
      </c>
      <c r="K644" s="15">
        <f>IF(OR(J644="",$G$1279=0),"",J644/$G$1279*100)</f>
      </c>
      <c r="L644" s="12" t="str">
        <f>IF(C644-O644&gt;0,C644-O644,"")</f>
        <v/>
      </c>
      <c r="M644" s="14" t="str">
        <f>IF(L644="","",F644*L644)</f>
        <v/>
      </c>
      <c r="N644" s="15">
        <f>IF(OR(M644="",$G$1279=0),"",M644/$G$1279*100)</f>
      </c>
      <c r="O644" s="12">
        <v>3.2</v>
      </c>
      <c r="P644" s="14">
        <f>F644*O644</f>
        <v>733709.76</v>
      </c>
      <c r="Q644" s="15">
        <f>IF($P$1279=0,0,P644/$P$1279*100)</f>
      </c>
      <c r="R644" s="10" t="str">
        <f>IF(O644=C644,"TETAP",IF(C644=0,"BARU",IF(O644=0,"HAPUS",IF(O644&gt;C644,"TAMBAH","KURANG"))))</f>
        <v>TETAP</v>
      </c>
    </row>
    <row r="645" spans="1:18" x14ac:dyDescent="0.25">
      <c r="A645" s="10" t="s">
        <v>563</v>
      </c>
      <c r="B645" s="18" t="s">
        <v>564</v>
      </c>
      <c r="C645" s="12">
        <v>22.505</v>
      </c>
      <c r="D645" s="12">
        <v>0</v>
      </c>
      <c r="E645" s="10" t="s">
        <v>169</v>
      </c>
      <c r="F645" s="14">
        <v>28927.25</v>
      </c>
      <c r="G645" s="14">
        <f>F645*C645</f>
        <v>651007.76125</v>
      </c>
      <c r="H645" s="15">
        <f>IF($G$1279=0,0,G645/$G$1279*100)</f>
      </c>
      <c r="I645" s="12" t="str">
        <f>IF(O645-C645&gt;0,O645-C645,"")</f>
        <v/>
      </c>
      <c r="J645" s="14" t="str">
        <f>IF(I645="","",F645*I645)</f>
        <v/>
      </c>
      <c r="K645" s="15">
        <f>IF(OR(J645="",$G$1279=0),"",J645/$G$1279*100)</f>
      </c>
      <c r="L645" s="12" t="str">
        <f>IF(C645-O645&gt;0,C645-O645,"")</f>
        <v/>
      </c>
      <c r="M645" s="14" t="str">
        <f>IF(L645="","",F645*L645)</f>
        <v/>
      </c>
      <c r="N645" s="15">
        <f>IF(OR(M645="",$G$1279=0),"",M645/$G$1279*100)</f>
      </c>
      <c r="O645" s="12">
        <v>22.505</v>
      </c>
      <c r="P645" s="14">
        <f>F645*O645</f>
        <v>651007.76125</v>
      </c>
      <c r="Q645" s="15">
        <f>IF($P$1279=0,0,P645/$P$1279*100)</f>
      </c>
      <c r="R645" s="10" t="str">
        <f>IF(O645=C645,"TETAP",IF(C645=0,"BARU",IF(O645=0,"HAPUS",IF(O645&gt;C645,"TAMBAH","KURANG"))))</f>
        <v>TETAP</v>
      </c>
    </row>
    <row r="646" spans="1:18" x14ac:dyDescent="0.25">
      <c r="A646" s="10" t="s">
        <v>565</v>
      </c>
      <c r="B646" s="18" t="s">
        <v>566</v>
      </c>
      <c r="C646" s="12">
        <v>9.848</v>
      </c>
      <c r="D646" s="12">
        <v>0</v>
      </c>
      <c r="E646" s="10" t="s">
        <v>169</v>
      </c>
      <c r="F646" s="14">
        <v>19252.39</v>
      </c>
      <c r="G646" s="14">
        <f>F646*C646</f>
        <v>189597.53672</v>
      </c>
      <c r="H646" s="15">
        <f>IF($G$1279=0,0,G646/$G$1279*100)</f>
      </c>
      <c r="I646" s="12" t="str">
        <f>IF(O646-C646&gt;0,O646-C646,"")</f>
        <v/>
      </c>
      <c r="J646" s="14" t="str">
        <f>IF(I646="","",F646*I646)</f>
        <v/>
      </c>
      <c r="K646" s="15">
        <f>IF(OR(J646="",$G$1279=0),"",J646/$G$1279*100)</f>
      </c>
      <c r="L646" s="12" t="str">
        <f>IF(C646-O646&gt;0,C646-O646,"")</f>
        <v/>
      </c>
      <c r="M646" s="14" t="str">
        <f>IF(L646="","",F646*L646)</f>
        <v/>
      </c>
      <c r="N646" s="15">
        <f>IF(OR(M646="",$G$1279=0),"",M646/$G$1279*100)</f>
      </c>
      <c r="O646" s="12">
        <v>9.848</v>
      </c>
      <c r="P646" s="14">
        <f>F646*O646</f>
        <v>189597.53672</v>
      </c>
      <c r="Q646" s="15">
        <f>IF($P$1279=0,0,P646/$P$1279*100)</f>
      </c>
      <c r="R646" s="10" t="str">
        <f>IF(O646=C646,"TETAP",IF(C646=0,"BARU",IF(O646=0,"HAPUS",IF(O646&gt;C646,"TAMBAH","KURANG"))))</f>
        <v>TETAP</v>
      </c>
    </row>
    <row r="647" spans="1:18" x14ac:dyDescent="0.25">
      <c r="A647" s="10" t="s">
        <v>567</v>
      </c>
      <c r="B647" s="18" t="s">
        <v>559</v>
      </c>
      <c r="C647" s="12">
        <v>0.2</v>
      </c>
      <c r="D647" s="12">
        <v>0</v>
      </c>
      <c r="E647" s="10" t="s">
        <v>159</v>
      </c>
      <c r="F647" s="14">
        <v>1399567.05</v>
      </c>
      <c r="G647" s="14">
        <f>F647*C647</f>
        <v>279913.41000000003</v>
      </c>
      <c r="H647" s="15">
        <f>IF($G$1279=0,0,G647/$G$1279*100)</f>
      </c>
      <c r="I647" s="12" t="str">
        <f>IF(O647-C647&gt;0,O647-C647,"")</f>
        <v/>
      </c>
      <c r="J647" s="14" t="str">
        <f>IF(I647="","",F647*I647)</f>
        <v/>
      </c>
      <c r="K647" s="15">
        <f>IF(OR(J647="",$G$1279=0),"",J647/$G$1279*100)</f>
      </c>
      <c r="L647" s="12" t="str">
        <f>IF(C647-O647&gt;0,C647-O647,"")</f>
        <v/>
      </c>
      <c r="M647" s="14" t="str">
        <f>IF(L647="","",F647*L647)</f>
        <v/>
      </c>
      <c r="N647" s="15">
        <f>IF(OR(M647="",$G$1279=0),"",M647/$G$1279*100)</f>
      </c>
      <c r="O647" s="12">
        <v>0.2</v>
      </c>
      <c r="P647" s="14">
        <f>F647*O647</f>
        <v>279913.41000000003</v>
      </c>
      <c r="Q647" s="15">
        <f>IF($P$1279=0,0,P647/$P$1279*100)</f>
      </c>
      <c r="R647" s="10" t="str">
        <f>IF(O647=C647,"TETAP",IF(C647=0,"BARU",IF(O647=0,"HAPUS",IF(O647&gt;C647,"TAMBAH","KURANG"))))</f>
        <v>TETAP</v>
      </c>
    </row>
    <row r="648" spans="1:18" x14ac:dyDescent="0.25">
      <c r="A648" s="10" t="s">
        <v>568</v>
      </c>
      <c r="B648" s="18" t="s">
        <v>569</v>
      </c>
      <c r="C648" s="12">
        <v>11.2</v>
      </c>
      <c r="D648" s="12">
        <v>0</v>
      </c>
      <c r="E648" s="10" t="s">
        <v>169</v>
      </c>
      <c r="F648" s="14">
        <v>28927.25</v>
      </c>
      <c r="G648" s="14">
        <f>F648*C648</f>
        <v>323985.19999999995</v>
      </c>
      <c r="H648" s="15">
        <f>IF($G$1279=0,0,G648/$G$1279*100)</f>
      </c>
      <c r="I648" s="12" t="str">
        <f>IF(O648-C648&gt;0,O648-C648,"")</f>
        <v/>
      </c>
      <c r="J648" s="14" t="str">
        <f>IF(I648="","",F648*I648)</f>
        <v/>
      </c>
      <c r="K648" s="15">
        <f>IF(OR(J648="",$G$1279=0),"",J648/$G$1279*100)</f>
      </c>
      <c r="L648" s="12" t="str">
        <f>IF(C648-O648&gt;0,C648-O648,"")</f>
        <v/>
      </c>
      <c r="M648" s="14" t="str">
        <f>IF(L648="","",F648*L648)</f>
        <v/>
      </c>
      <c r="N648" s="15">
        <f>IF(OR(M648="",$G$1279=0),"",M648/$G$1279*100)</f>
      </c>
      <c r="O648" s="12">
        <v>11.2</v>
      </c>
      <c r="P648" s="14">
        <f>F648*O648</f>
        <v>323985.19999999995</v>
      </c>
      <c r="Q648" s="15">
        <f>IF($P$1279=0,0,P648/$P$1279*100)</f>
      </c>
      <c r="R648" s="10" t="str">
        <f>IF(O648=C648,"TETAP",IF(C648=0,"BARU",IF(O648=0,"HAPUS",IF(O648&gt;C648,"TAMBAH","KURANG"))))</f>
        <v>TETAP</v>
      </c>
    </row>
    <row r="649" spans="1:18" x14ac:dyDescent="0.25">
      <c r="A649" s="10" t="s">
        <v>132</v>
      </c>
      <c r="B649" s="20" t="s">
        <v>570</v>
      </c>
      <c r="C649" s="12">
        <v>1</v>
      </c>
      <c r="D649" s="12">
        <v>0</v>
      </c>
      <c r="E649" s="10" t="s">
        <v>119</v>
      </c>
      <c r="F649" s="14">
        <v>2515037.57</v>
      </c>
      <c r="G649" s="14">
        <f>F649*C649</f>
        <v>2515037.57</v>
      </c>
      <c r="H649" s="15">
        <f>IF($G$1279=0,0,G649/$G$1279*100)</f>
      </c>
      <c r="I649" s="12" t="str">
        <f>IF(O649-C649&gt;0,O649-C649,"")</f>
        <v/>
      </c>
      <c r="J649" s="14" t="str">
        <f>IF(I649="","",F649*I649)</f>
        <v/>
      </c>
      <c r="K649" s="15">
        <f>IF(OR(J649="",$G$1279=0),"",J649/$G$1279*100)</f>
      </c>
      <c r="L649" s="12" t="str">
        <f>IF(C649-O649&gt;0,C649-O649,"")</f>
        <v/>
      </c>
      <c r="M649" s="14" t="str">
        <f>IF(L649="","",F649*L649)</f>
        <v/>
      </c>
      <c r="N649" s="15">
        <f>IF(OR(M649="",$G$1279=0),"",M649/$G$1279*100)</f>
      </c>
      <c r="O649" s="12">
        <v>1</v>
      </c>
      <c r="P649" s="14">
        <f>F649*O649</f>
        <v>2515037.57</v>
      </c>
      <c r="Q649" s="15">
        <f>IF($P$1279=0,0,P649/$P$1279*100)</f>
      </c>
      <c r="R649" s="10" t="str">
        <f>IF(O649=C649,"TETAP",IF(C649=0,"BARU",IF(O649=0,"HAPUS",IF(O649&gt;C649,"TAMBAH","KURANG"))))</f>
        <v>TETAP</v>
      </c>
    </row>
    <row r="650" spans="1:18" x14ac:dyDescent="0.25">
      <c r="A650" s="5" t="s">
        <v>138</v>
      </c>
      <c r="B650" s="17" t="s">
        <v>571</v>
      </c>
      <c r="C650" s="7"/>
      <c r="D650" s="7"/>
      <c r="E650" s="5"/>
      <c r="F650" s="8"/>
      <c r="G650" s="8"/>
      <c r="H650" s="9"/>
      <c r="I650" s="7"/>
      <c r="J650" s="8"/>
      <c r="K650" s="9"/>
      <c r="L650" s="7"/>
      <c r="M650" s="8"/>
      <c r="N650" s="9"/>
      <c r="O650" s="7"/>
      <c r="P650" s="8"/>
      <c r="Q650" s="9"/>
      <c r="R650" s="5"/>
    </row>
    <row r="651" spans="1:18" x14ac:dyDescent="0.25">
      <c r="A651" s="10" t="s">
        <v>140</v>
      </c>
      <c r="B651" s="18" t="s">
        <v>572</v>
      </c>
      <c r="C651" s="12">
        <v>3.938</v>
      </c>
      <c r="D651" s="12">
        <v>0</v>
      </c>
      <c r="E651" s="10" t="s">
        <v>159</v>
      </c>
      <c r="F651" s="14">
        <v>97231.65</v>
      </c>
      <c r="G651" s="14">
        <f>F651*C651</f>
        <v>382898.2377</v>
      </c>
      <c r="H651" s="15">
        <f>IF($G$1279=0,0,G651/$G$1279*100)</f>
      </c>
      <c r="I651" s="12" t="str">
        <f>IF(O651-C651&gt;0,O651-C651,"")</f>
        <v/>
      </c>
      <c r="J651" s="14" t="str">
        <f>IF(I651="","",F651*I651)</f>
        <v/>
      </c>
      <c r="K651" s="15">
        <f>IF(OR(J651="",$G$1279=0),"",J651/$G$1279*100)</f>
      </c>
      <c r="L651" s="12" t="str">
        <f>IF(C651-O651&gt;0,C651-O651,"")</f>
        <v/>
      </c>
      <c r="M651" s="14" t="str">
        <f>IF(L651="","",F651*L651)</f>
        <v/>
      </c>
      <c r="N651" s="15">
        <f>IF(OR(M651="",$G$1279=0),"",M651/$G$1279*100)</f>
      </c>
      <c r="O651" s="12">
        <v>3.938</v>
      </c>
      <c r="P651" s="14">
        <f>F651*O651</f>
        <v>382898.2377</v>
      </c>
      <c r="Q651" s="15">
        <f>IF($P$1279=0,0,P651/$P$1279*100)</f>
      </c>
      <c r="R651" s="10" t="str">
        <f>IF(O651=C651,"TETAP",IF(C651=0,"BARU",IF(O651=0,"HAPUS",IF(O651&gt;C651,"TAMBAH","KURANG"))))</f>
        <v>TETAP</v>
      </c>
    </row>
    <row r="652" spans="1:18" x14ac:dyDescent="0.25">
      <c r="A652" s="10" t="s">
        <v>142</v>
      </c>
      <c r="B652" s="18" t="s">
        <v>573</v>
      </c>
      <c r="C652" s="12">
        <v>0.225</v>
      </c>
      <c r="D652" s="12">
        <v>0</v>
      </c>
      <c r="E652" s="10" t="s">
        <v>159</v>
      </c>
      <c r="F652" s="14">
        <v>342654.98</v>
      </c>
      <c r="G652" s="14">
        <f>F652*C652</f>
        <v>77097.3705</v>
      </c>
      <c r="H652" s="15">
        <f>IF($G$1279=0,0,G652/$G$1279*100)</f>
      </c>
      <c r="I652" s="12" t="str">
        <f>IF(O652-C652&gt;0,O652-C652,"")</f>
        <v/>
      </c>
      <c r="J652" s="14" t="str">
        <f>IF(I652="","",F652*I652)</f>
        <v/>
      </c>
      <c r="K652" s="15">
        <f>IF(OR(J652="",$G$1279=0),"",J652/$G$1279*100)</f>
      </c>
      <c r="L652" s="12" t="str">
        <f>IF(C652-O652&gt;0,C652-O652,"")</f>
        <v/>
      </c>
      <c r="M652" s="14" t="str">
        <f>IF(L652="","",F652*L652)</f>
        <v/>
      </c>
      <c r="N652" s="15">
        <f>IF(OR(M652="",$G$1279=0),"",M652/$G$1279*100)</f>
      </c>
      <c r="O652" s="12">
        <v>0.225</v>
      </c>
      <c r="P652" s="14">
        <f>F652*O652</f>
        <v>77097.3705</v>
      </c>
      <c r="Q652" s="15">
        <f>IF($P$1279=0,0,P652/$P$1279*100)</f>
      </c>
      <c r="R652" s="10" t="str">
        <f>IF(O652=C652,"TETAP",IF(C652=0,"BARU",IF(O652=0,"HAPUS",IF(O652&gt;C652,"TAMBAH","KURANG"))))</f>
        <v>TETAP</v>
      </c>
    </row>
    <row r="653" spans="1:18" x14ac:dyDescent="0.25">
      <c r="A653" s="10" t="s">
        <v>512</v>
      </c>
      <c r="B653" s="18" t="s">
        <v>465</v>
      </c>
      <c r="C653" s="12">
        <v>0.113</v>
      </c>
      <c r="D653" s="12">
        <v>0</v>
      </c>
      <c r="E653" s="10" t="s">
        <v>159</v>
      </c>
      <c r="F653" s="14">
        <v>1243301.43</v>
      </c>
      <c r="G653" s="14">
        <f>F653*C653</f>
        <v>140493.06159</v>
      </c>
      <c r="H653" s="15">
        <f>IF($G$1279=0,0,G653/$G$1279*100)</f>
      </c>
      <c r="I653" s="12" t="str">
        <f>IF(O653-C653&gt;0,O653-C653,"")</f>
        <v/>
      </c>
      <c r="J653" s="14" t="str">
        <f>IF(I653="","",F653*I653)</f>
        <v/>
      </c>
      <c r="K653" s="15">
        <f>IF(OR(J653="",$G$1279=0),"",J653/$G$1279*100)</f>
      </c>
      <c r="L653" s="12" t="str">
        <f>IF(C653-O653&gt;0,C653-O653,"")</f>
        <v/>
      </c>
      <c r="M653" s="14" t="str">
        <f>IF(L653="","",F653*L653)</f>
        <v/>
      </c>
      <c r="N653" s="15">
        <f>IF(OR(M653="",$G$1279=0),"",M653/$G$1279*100)</f>
      </c>
      <c r="O653" s="12">
        <v>0.113</v>
      </c>
      <c r="P653" s="14">
        <f>F653*O653</f>
        <v>140493.06159</v>
      </c>
      <c r="Q653" s="15">
        <f>IF($P$1279=0,0,P653/$P$1279*100)</f>
      </c>
      <c r="R653" s="10" t="str">
        <f>IF(O653=C653,"TETAP",IF(C653=0,"BARU",IF(O653=0,"HAPUS",IF(O653&gt;C653,"TAMBAH","KURANG"))))</f>
        <v>TETAP</v>
      </c>
    </row>
    <row r="654" spans="1:18" x14ac:dyDescent="0.25">
      <c r="A654" s="10" t="s">
        <v>514</v>
      </c>
      <c r="B654" s="18" t="s">
        <v>574</v>
      </c>
      <c r="C654" s="12">
        <v>1</v>
      </c>
      <c r="D654" s="12">
        <v>0</v>
      </c>
      <c r="E654" s="10" t="s">
        <v>119</v>
      </c>
      <c r="F654" s="14">
        <v>8129987.1</v>
      </c>
      <c r="G654" s="14">
        <f>F654*C654</f>
        <v>8129987.1</v>
      </c>
      <c r="H654" s="15">
        <f>IF($G$1279=0,0,G654/$G$1279*100)</f>
      </c>
      <c r="I654" s="12" t="str">
        <f>IF(O654-C654&gt;0,O654-C654,"")</f>
        <v/>
      </c>
      <c r="J654" s="14" t="str">
        <f>IF(I654="","",F654*I654)</f>
        <v/>
      </c>
      <c r="K654" s="15">
        <f>IF(OR(J654="",$G$1279=0),"",J654/$G$1279*100)</f>
      </c>
      <c r="L654" s="12" t="str">
        <f>IF(C654-O654&gt;0,C654-O654,"")</f>
        <v/>
      </c>
      <c r="M654" s="14" t="str">
        <f>IF(L654="","",F654*L654)</f>
        <v/>
      </c>
      <c r="N654" s="15">
        <f>IF(OR(M654="",$G$1279=0),"",M654/$G$1279*100)</f>
      </c>
      <c r="O654" s="12">
        <v>1</v>
      </c>
      <c r="P654" s="14">
        <f>F654*O654</f>
        <v>8129987.1</v>
      </c>
      <c r="Q654" s="15">
        <f>IF($P$1279=0,0,P654/$P$1279*100)</f>
      </c>
      <c r="R654" s="10" t="str">
        <f>IF(O654=C654,"TETAP",IF(C654=0,"BARU",IF(O654=0,"HAPUS",IF(O654&gt;C654,"TAMBAH","KURANG"))))</f>
        <v>TETAP</v>
      </c>
    </row>
    <row r="655" spans="1:18" x14ac:dyDescent="0.25">
      <c r="A655" s="10" t="s">
        <v>144</v>
      </c>
      <c r="B655" s="20" t="s">
        <v>575</v>
      </c>
      <c r="C655" s="12">
        <v>4</v>
      </c>
      <c r="D655" s="12">
        <v>0</v>
      </c>
      <c r="E655" s="10" t="s">
        <v>114</v>
      </c>
      <c r="F655" s="14">
        <v>480412.67</v>
      </c>
      <c r="G655" s="14">
        <f>F655*C655</f>
        <v>1921650.68</v>
      </c>
      <c r="H655" s="15">
        <f>IF($G$1279=0,0,G655/$G$1279*100)</f>
      </c>
      <c r="I655" s="12" t="str">
        <f>IF(O655-C655&gt;0,O655-C655,"")</f>
        <v/>
      </c>
      <c r="J655" s="14" t="str">
        <f>IF(I655="","",F655*I655)</f>
        <v/>
      </c>
      <c r="K655" s="15">
        <f>IF(OR(J655="",$G$1279=0),"",J655/$G$1279*100)</f>
      </c>
      <c r="L655" s="12" t="str">
        <f>IF(C655-O655&gt;0,C655-O655,"")</f>
        <v/>
      </c>
      <c r="M655" s="14" t="str">
        <f>IF(L655="","",F655*L655)</f>
        <v/>
      </c>
      <c r="N655" s="15">
        <f>IF(OR(M655="",$G$1279=0),"",M655/$G$1279*100)</f>
      </c>
      <c r="O655" s="12">
        <v>4</v>
      </c>
      <c r="P655" s="14">
        <f>F655*O655</f>
        <v>1921650.68</v>
      </c>
      <c r="Q655" s="15">
        <f>IF($P$1279=0,0,P655/$P$1279*100)</f>
      </c>
      <c r="R655" s="10" t="str">
        <f>IF(O655=C655,"TETAP",IF(C655=0,"BARU",IF(O655=0,"HAPUS",IF(O655&gt;C655,"TAMBAH","KURANG"))))</f>
        <v>TETAP</v>
      </c>
    </row>
    <row r="656" spans="1:18" x14ac:dyDescent="0.25">
      <c r="A656" s="10" t="s">
        <v>150</v>
      </c>
      <c r="B656" s="20" t="s">
        <v>427</v>
      </c>
      <c r="C656" s="12">
        <v>2</v>
      </c>
      <c r="D656" s="12">
        <v>0</v>
      </c>
      <c r="E656" s="10" t="s">
        <v>114</v>
      </c>
      <c r="F656" s="14">
        <v>709748.82</v>
      </c>
      <c r="G656" s="14">
        <f>F656*C656</f>
        <v>1419497.64</v>
      </c>
      <c r="H656" s="15">
        <f>IF($G$1279=0,0,G656/$G$1279*100)</f>
      </c>
      <c r="I656" s="12" t="str">
        <f>IF(O656-C656&gt;0,O656-C656,"")</f>
        <v/>
      </c>
      <c r="J656" s="14" t="str">
        <f>IF(I656="","",F656*I656)</f>
        <v/>
      </c>
      <c r="K656" s="15">
        <f>IF(OR(J656="",$G$1279=0),"",J656/$G$1279*100)</f>
      </c>
      <c r="L656" s="12" t="str">
        <f>IF(C656-O656&gt;0,C656-O656,"")</f>
        <v/>
      </c>
      <c r="M656" s="14" t="str">
        <f>IF(L656="","",F656*L656)</f>
        <v/>
      </c>
      <c r="N656" s="15">
        <f>IF(OR(M656="",$G$1279=0),"",M656/$G$1279*100)</f>
      </c>
      <c r="O656" s="12">
        <v>2</v>
      </c>
      <c r="P656" s="14">
        <f>F656*O656</f>
        <v>1419497.64</v>
      </c>
      <c r="Q656" s="15">
        <f>IF($P$1279=0,0,P656/$P$1279*100)</f>
      </c>
      <c r="R656" s="10" t="str">
        <f>IF(O656=C656,"TETAP",IF(C656=0,"BARU",IF(O656=0,"HAPUS",IF(O656&gt;C656,"TAMBAH","KURANG"))))</f>
        <v>TETAP</v>
      </c>
    </row>
    <row r="657" spans="1:18" x14ac:dyDescent="0.25">
      <c r="A657" s="10" t="s">
        <v>152</v>
      </c>
      <c r="B657" s="20" t="s">
        <v>576</v>
      </c>
      <c r="C657" s="12">
        <v>4</v>
      </c>
      <c r="D657" s="12">
        <v>0</v>
      </c>
      <c r="E657" s="10" t="s">
        <v>32</v>
      </c>
      <c r="F657" s="14">
        <v>144903.67</v>
      </c>
      <c r="G657" s="14">
        <f>F657*C657</f>
        <v>579614.68</v>
      </c>
      <c r="H657" s="15">
        <f>IF($G$1279=0,0,G657/$G$1279*100)</f>
      </c>
      <c r="I657" s="12" t="str">
        <f>IF(O657-C657&gt;0,O657-C657,"")</f>
        <v/>
      </c>
      <c r="J657" s="14" t="str">
        <f>IF(I657="","",F657*I657)</f>
        <v/>
      </c>
      <c r="K657" s="15">
        <f>IF(OR(J657="",$G$1279=0),"",J657/$G$1279*100)</f>
      </c>
      <c r="L657" s="12" t="str">
        <f>IF(C657-O657&gt;0,C657-O657,"")</f>
        <v/>
      </c>
      <c r="M657" s="14" t="str">
        <f>IF(L657="","",F657*L657)</f>
        <v/>
      </c>
      <c r="N657" s="15">
        <f>IF(OR(M657="",$G$1279=0),"",M657/$G$1279*100)</f>
      </c>
      <c r="O657" s="12">
        <v>4</v>
      </c>
      <c r="P657" s="14">
        <f>F657*O657</f>
        <v>579614.68</v>
      </c>
      <c r="Q657" s="15">
        <f>IF($P$1279=0,0,P657/$P$1279*100)</f>
      </c>
      <c r="R657" s="10" t="str">
        <f>IF(O657=C657,"TETAP",IF(C657=0,"BARU",IF(O657=0,"HAPUS",IF(O657&gt;C657,"TAMBAH","KURANG"))))</f>
        <v>TETAP</v>
      </c>
    </row>
    <row r="658" spans="1:18" x14ac:dyDescent="0.25">
      <c r="A658" s="10" t="s">
        <v>531</v>
      </c>
      <c r="B658" s="20" t="s">
        <v>577</v>
      </c>
      <c r="C658" s="12">
        <v>1</v>
      </c>
      <c r="D658" s="12">
        <v>0</v>
      </c>
      <c r="E658" s="10" t="s">
        <v>32</v>
      </c>
      <c r="F658" s="14">
        <v>69290.26</v>
      </c>
      <c r="G658" s="14">
        <f>F658*C658</f>
        <v>69290.26</v>
      </c>
      <c r="H658" s="15">
        <f>IF($G$1279=0,0,G658/$G$1279*100)</f>
      </c>
      <c r="I658" s="12" t="str">
        <f>IF(O658-C658&gt;0,O658-C658,"")</f>
        <v/>
      </c>
      <c r="J658" s="14" t="str">
        <f>IF(I658="","",F658*I658)</f>
        <v/>
      </c>
      <c r="K658" s="15">
        <f>IF(OR(J658="",$G$1279=0),"",J658/$G$1279*100)</f>
      </c>
      <c r="L658" s="12" t="str">
        <f>IF(C658-O658&gt;0,C658-O658,"")</f>
        <v/>
      </c>
      <c r="M658" s="14" t="str">
        <f>IF(L658="","",F658*L658)</f>
        <v/>
      </c>
      <c r="N658" s="15">
        <f>IF(OR(M658="",$G$1279=0),"",M658/$G$1279*100)</f>
      </c>
      <c r="O658" s="12">
        <v>1</v>
      </c>
      <c r="P658" s="14">
        <f>F658*O658</f>
        <v>69290.26</v>
      </c>
      <c r="Q658" s="15">
        <f>IF($P$1279=0,0,P658/$P$1279*100)</f>
      </c>
      <c r="R658" s="10" t="str">
        <f>IF(O658=C658,"TETAP",IF(C658=0,"BARU",IF(O658=0,"HAPUS",IF(O658&gt;C658,"TAMBAH","KURANG"))))</f>
        <v>TETAP</v>
      </c>
    </row>
    <row r="659" spans="1:18" x14ac:dyDescent="0.25">
      <c r="A659" s="10" t="s">
        <v>533</v>
      </c>
      <c r="B659" s="20" t="s">
        <v>578</v>
      </c>
      <c r="C659" s="12">
        <v>1</v>
      </c>
      <c r="D659" s="12">
        <v>0</v>
      </c>
      <c r="E659" s="10" t="s">
        <v>32</v>
      </c>
      <c r="F659" s="14">
        <v>50859.93</v>
      </c>
      <c r="G659" s="14">
        <f>F659*C659</f>
        <v>50859.93</v>
      </c>
      <c r="H659" s="15">
        <f>IF($G$1279=0,0,G659/$G$1279*100)</f>
      </c>
      <c r="I659" s="12" t="str">
        <f>IF(O659-C659&gt;0,O659-C659,"")</f>
        <v/>
      </c>
      <c r="J659" s="14" t="str">
        <f>IF(I659="","",F659*I659)</f>
        <v/>
      </c>
      <c r="K659" s="15">
        <f>IF(OR(J659="",$G$1279=0),"",J659/$G$1279*100)</f>
      </c>
      <c r="L659" s="12" t="str">
        <f>IF(C659-O659&gt;0,C659-O659,"")</f>
        <v/>
      </c>
      <c r="M659" s="14" t="str">
        <f>IF(L659="","",F659*L659)</f>
        <v/>
      </c>
      <c r="N659" s="15">
        <f>IF(OR(M659="",$G$1279=0),"",M659/$G$1279*100)</f>
      </c>
      <c r="O659" s="12">
        <v>1</v>
      </c>
      <c r="P659" s="14">
        <f>F659*O659</f>
        <v>50859.93</v>
      </c>
      <c r="Q659" s="15">
        <f>IF($P$1279=0,0,P659/$P$1279*100)</f>
      </c>
      <c r="R659" s="10" t="str">
        <f>IF(O659=C659,"TETAP",IF(C659=0,"BARU",IF(O659=0,"HAPUS",IF(O659&gt;C659,"TAMBAH","KURANG"))))</f>
        <v>TETAP</v>
      </c>
    </row>
    <row r="660" spans="1:18" x14ac:dyDescent="0.25">
      <c r="A660" s="10" t="s">
        <v>534</v>
      </c>
      <c r="B660" s="20" t="s">
        <v>579</v>
      </c>
      <c r="C660" s="12">
        <v>2</v>
      </c>
      <c r="D660" s="12">
        <v>0</v>
      </c>
      <c r="E660" s="10" t="s">
        <v>32</v>
      </c>
      <c r="F660" s="14">
        <v>88424.41</v>
      </c>
      <c r="G660" s="14">
        <f>F660*C660</f>
        <v>176848.82</v>
      </c>
      <c r="H660" s="15">
        <f>IF($G$1279=0,0,G660/$G$1279*100)</f>
      </c>
      <c r="I660" s="12" t="str">
        <f>IF(O660-C660&gt;0,O660-C660,"")</f>
        <v/>
      </c>
      <c r="J660" s="14" t="str">
        <f>IF(I660="","",F660*I660)</f>
        <v/>
      </c>
      <c r="K660" s="15">
        <f>IF(OR(J660="",$G$1279=0),"",J660/$G$1279*100)</f>
      </c>
      <c r="L660" s="12" t="str">
        <f>IF(C660-O660&gt;0,C660-O660,"")</f>
        <v/>
      </c>
      <c r="M660" s="14" t="str">
        <f>IF(L660="","",F660*L660)</f>
        <v/>
      </c>
      <c r="N660" s="15">
        <f>IF(OR(M660="",$G$1279=0),"",M660/$G$1279*100)</f>
      </c>
      <c r="O660" s="12">
        <v>2</v>
      </c>
      <c r="P660" s="14">
        <f>F660*O660</f>
        <v>176848.82</v>
      </c>
      <c r="Q660" s="15">
        <f>IF($P$1279=0,0,P660/$P$1279*100)</f>
      </c>
      <c r="R660" s="10" t="str">
        <f>IF(O660=C660,"TETAP",IF(C660=0,"BARU",IF(O660=0,"HAPUS",IF(O660&gt;C660,"TAMBAH","KURANG"))))</f>
        <v>TETAP</v>
      </c>
    </row>
    <row r="661" spans="1:18" x14ac:dyDescent="0.25">
      <c r="A661" s="10" t="s">
        <v>580</v>
      </c>
      <c r="B661" s="20" t="s">
        <v>581</v>
      </c>
      <c r="C661" s="12">
        <v>1</v>
      </c>
      <c r="D661" s="12">
        <v>0</v>
      </c>
      <c r="E661" s="10" t="s">
        <v>32</v>
      </c>
      <c r="F661" s="14">
        <v>1111988.18</v>
      </c>
      <c r="G661" s="14">
        <f>F661*C661</f>
        <v>1111988.18</v>
      </c>
      <c r="H661" s="15">
        <f>IF($G$1279=0,0,G661/$G$1279*100)</f>
      </c>
      <c r="I661" s="12" t="str">
        <f>IF(O661-C661&gt;0,O661-C661,"")</f>
        <v/>
      </c>
      <c r="J661" s="14" t="str">
        <f>IF(I661="","",F661*I661)</f>
        <v/>
      </c>
      <c r="K661" s="15">
        <f>IF(OR(J661="",$G$1279=0),"",J661/$G$1279*100)</f>
      </c>
      <c r="L661" s="12" t="str">
        <f>IF(C661-O661&gt;0,C661-O661,"")</f>
        <v/>
      </c>
      <c r="M661" s="14" t="str">
        <f>IF(L661="","",F661*L661)</f>
        <v/>
      </c>
      <c r="N661" s="15">
        <f>IF(OR(M661="",$G$1279=0),"",M661/$G$1279*100)</f>
      </c>
      <c r="O661" s="12">
        <v>1</v>
      </c>
      <c r="P661" s="14">
        <f>F661*O661</f>
        <v>1111988.18</v>
      </c>
      <c r="Q661" s="15">
        <f>IF($P$1279=0,0,P661/$P$1279*100)</f>
      </c>
      <c r="R661" s="10" t="str">
        <f>IF(O661=C661,"TETAP",IF(C661=0,"BARU",IF(O661=0,"HAPUS",IF(O661&gt;C661,"TAMBAH","KURANG"))))</f>
        <v>TETAP</v>
      </c>
    </row>
    <row r="662" spans="1:18" x14ac:dyDescent="0.25">
      <c r="A662" s="10" t="s">
        <v>582</v>
      </c>
      <c r="B662" s="20" t="s">
        <v>431</v>
      </c>
      <c r="C662" s="12">
        <v>1</v>
      </c>
      <c r="D662" s="12">
        <v>0</v>
      </c>
      <c r="E662" s="10" t="s">
        <v>119</v>
      </c>
      <c r="F662" s="14">
        <v>713457.39</v>
      </c>
      <c r="G662" s="14">
        <f>F662*C662</f>
        <v>713457.39</v>
      </c>
      <c r="H662" s="15">
        <f>IF($G$1279=0,0,G662/$G$1279*100)</f>
      </c>
      <c r="I662" s="12" t="str">
        <f>IF(O662-C662&gt;0,O662-C662,"")</f>
        <v/>
      </c>
      <c r="J662" s="14" t="str">
        <f>IF(I662="","",F662*I662)</f>
        <v/>
      </c>
      <c r="K662" s="15">
        <f>IF(OR(J662="",$G$1279=0),"",J662/$G$1279*100)</f>
      </c>
      <c r="L662" s="12" t="str">
        <f>IF(C662-O662&gt;0,C662-O662,"")</f>
        <v/>
      </c>
      <c r="M662" s="14" t="str">
        <f>IF(L662="","",F662*L662)</f>
        <v/>
      </c>
      <c r="N662" s="15">
        <f>IF(OR(M662="",$G$1279=0),"",M662/$G$1279*100)</f>
      </c>
      <c r="O662" s="12">
        <v>1</v>
      </c>
      <c r="P662" s="14">
        <f>F662*O662</f>
        <v>713457.39</v>
      </c>
      <c r="Q662" s="15">
        <f>IF($P$1279=0,0,P662/$P$1279*100)</f>
      </c>
      <c r="R662" s="10" t="str">
        <f>IF(O662=C662,"TETAP",IF(C662=0,"BARU",IF(O662=0,"HAPUS",IF(O662&gt;C662,"TAMBAH","KURANG"))))</f>
        <v>TETAP</v>
      </c>
    </row>
    <row r="663" spans="1:18" x14ac:dyDescent="0.25">
      <c r="A663" s="5" t="s">
        <v>583</v>
      </c>
      <c r="B663" s="6" t="s">
        <v>584</v>
      </c>
      <c r="C663" s="7"/>
      <c r="D663" s="7"/>
      <c r="E663" s="5"/>
      <c r="F663" s="8"/>
      <c r="G663" s="8"/>
      <c r="H663" s="9"/>
      <c r="I663" s="7"/>
      <c r="J663" s="8"/>
      <c r="K663" s="9"/>
      <c r="L663" s="7"/>
      <c r="M663" s="8"/>
      <c r="N663" s="9"/>
      <c r="O663" s="7"/>
      <c r="P663" s="8"/>
      <c r="Q663" s="9"/>
      <c r="R663" s="5"/>
    </row>
    <row r="664" spans="1:18" x14ac:dyDescent="0.25">
      <c r="A664" s="5" t="s">
        <v>585</v>
      </c>
      <c r="B664" s="16" t="s">
        <v>347</v>
      </c>
      <c r="C664" s="7"/>
      <c r="D664" s="7"/>
      <c r="E664" s="5"/>
      <c r="F664" s="8"/>
      <c r="G664" s="8"/>
      <c r="H664" s="9"/>
      <c r="I664" s="7"/>
      <c r="J664" s="8"/>
      <c r="K664" s="9"/>
      <c r="L664" s="7"/>
      <c r="M664" s="8"/>
      <c r="N664" s="9"/>
      <c r="O664" s="7"/>
      <c r="P664" s="8"/>
      <c r="Q664" s="9"/>
      <c r="R664" s="5"/>
    </row>
    <row r="665" spans="1:18" x14ac:dyDescent="0.25">
      <c r="A665" s="10" t="s">
        <v>24</v>
      </c>
      <c r="B665" s="20" t="s">
        <v>348</v>
      </c>
      <c r="C665" s="12">
        <v>28</v>
      </c>
      <c r="D665" s="12">
        <v>0</v>
      </c>
      <c r="E665" s="10" t="s">
        <v>37</v>
      </c>
      <c r="F665" s="14">
        <v>161600.06</v>
      </c>
      <c r="G665" s="14">
        <f>F665*C665</f>
        <v>4524801.68</v>
      </c>
      <c r="H665" s="15">
        <f>IF($G$1279=0,0,G665/$G$1279*100)</f>
      </c>
      <c r="I665" s="12" t="str">
        <f>IF(O665-C665&gt;0,O665-C665,"")</f>
        <v/>
      </c>
      <c r="J665" s="14" t="str">
        <f>IF(I665="","",F665*I665)</f>
        <v/>
      </c>
      <c r="K665" s="15">
        <f>IF(OR(J665="",$G$1279=0),"",J665/$G$1279*100)</f>
      </c>
      <c r="L665" s="12" t="str">
        <f>IF(C665-O665&gt;0,C665-O665,"")</f>
        <v/>
      </c>
      <c r="M665" s="14" t="str">
        <f>IF(L665="","",F665*L665)</f>
        <v/>
      </c>
      <c r="N665" s="15">
        <f>IF(OR(M665="",$G$1279=0),"",M665/$G$1279*100)</f>
      </c>
      <c r="O665" s="12">
        <v>28</v>
      </c>
      <c r="P665" s="14">
        <f>F665*O665</f>
        <v>4524801.68</v>
      </c>
      <c r="Q665" s="15">
        <f>IF($P$1279=0,0,P665/$P$1279*100)</f>
      </c>
      <c r="R665" s="10" t="str">
        <f>IF(O665=C665,"TETAP",IF(C665=0,"BARU",IF(O665=0,"HAPUS",IF(O665&gt;C665,"TAMBAH","KURANG"))))</f>
        <v>TETAP</v>
      </c>
    </row>
    <row r="666" spans="1:18" x14ac:dyDescent="0.25">
      <c r="A666" s="5" t="s">
        <v>27</v>
      </c>
      <c r="B666" s="17" t="s">
        <v>349</v>
      </c>
      <c r="C666" s="7"/>
      <c r="D666" s="7"/>
      <c r="E666" s="5"/>
      <c r="F666" s="8"/>
      <c r="G666" s="8"/>
      <c r="H666" s="9"/>
      <c r="I666" s="7"/>
      <c r="J666" s="8"/>
      <c r="K666" s="9"/>
      <c r="L666" s="7"/>
      <c r="M666" s="8"/>
      <c r="N666" s="9"/>
      <c r="O666" s="7"/>
      <c r="P666" s="8"/>
      <c r="Q666" s="9"/>
      <c r="R666" s="5"/>
    </row>
    <row r="667" spans="1:18" x14ac:dyDescent="0.25">
      <c r="A667" s="10" t="s">
        <v>165</v>
      </c>
      <c r="B667" s="18" t="s">
        <v>158</v>
      </c>
      <c r="C667" s="12">
        <v>14.4</v>
      </c>
      <c r="D667" s="12">
        <v>0</v>
      </c>
      <c r="E667" s="10" t="s">
        <v>159</v>
      </c>
      <c r="F667" s="14">
        <v>48730.7</v>
      </c>
      <c r="G667" s="14">
        <f>F667*C667</f>
        <v>701722.08</v>
      </c>
      <c r="H667" s="15">
        <f>IF($G$1279=0,0,G667/$G$1279*100)</f>
      </c>
      <c r="I667" s="12" t="str">
        <f>IF(O667-C667&gt;0,O667-C667,"")</f>
        <v/>
      </c>
      <c r="J667" s="14" t="str">
        <f>IF(I667="","",F667*I667)</f>
        <v/>
      </c>
      <c r="K667" s="15">
        <f>IF(OR(J667="",$G$1279=0),"",J667/$G$1279*100)</f>
      </c>
      <c r="L667" s="12" t="str">
        <f>IF(C667-O667&gt;0,C667-O667,"")</f>
        <v/>
      </c>
      <c r="M667" s="14" t="str">
        <f>IF(L667="","",F667*L667)</f>
        <v/>
      </c>
      <c r="N667" s="15">
        <f>IF(OR(M667="",$G$1279=0),"",M667/$G$1279*100)</f>
      </c>
      <c r="O667" s="12">
        <v>14.4</v>
      </c>
      <c r="P667" s="14">
        <f>F667*O667</f>
        <v>701722.08</v>
      </c>
      <c r="Q667" s="15">
        <f>IF($P$1279=0,0,P667/$P$1279*100)</f>
      </c>
      <c r="R667" s="10" t="str">
        <f>IF(O667=C667,"TETAP",IF(C667=0,"BARU",IF(O667=0,"HAPUS",IF(O667&gt;C667,"TAMBAH","KURANG"))))</f>
        <v>TETAP</v>
      </c>
    </row>
    <row r="668" spans="1:18" x14ac:dyDescent="0.25">
      <c r="A668" s="10" t="s">
        <v>167</v>
      </c>
      <c r="B668" s="18" t="s">
        <v>350</v>
      </c>
      <c r="C668" s="12">
        <v>0.84</v>
      </c>
      <c r="D668" s="12">
        <v>0</v>
      </c>
      <c r="E668" s="10" t="s">
        <v>159</v>
      </c>
      <c r="F668" s="14">
        <v>342654.98</v>
      </c>
      <c r="G668" s="14">
        <f>F668*C668</f>
        <v>287830.18319999997</v>
      </c>
      <c r="H668" s="15">
        <f>IF($G$1279=0,0,G668/$G$1279*100)</f>
      </c>
      <c r="I668" s="12" t="str">
        <f>IF(O668-C668&gt;0,O668-C668,"")</f>
        <v/>
      </c>
      <c r="J668" s="14" t="str">
        <f>IF(I668="","",F668*I668)</f>
        <v/>
      </c>
      <c r="K668" s="15">
        <f>IF(OR(J668="",$G$1279=0),"",J668/$G$1279*100)</f>
      </c>
      <c r="L668" s="12" t="str">
        <f>IF(C668-O668&gt;0,C668-O668,"")</f>
        <v/>
      </c>
      <c r="M668" s="14" t="str">
        <f>IF(L668="","",F668*L668)</f>
        <v/>
      </c>
      <c r="N668" s="15">
        <f>IF(OR(M668="",$G$1279=0),"",M668/$G$1279*100)</f>
      </c>
      <c r="O668" s="12">
        <v>0.84</v>
      </c>
      <c r="P668" s="14">
        <f>F668*O668</f>
        <v>287830.18319999997</v>
      </c>
      <c r="Q668" s="15">
        <f>IF($P$1279=0,0,P668/$P$1279*100)</f>
      </c>
      <c r="R668" s="10" t="str">
        <f>IF(O668=C668,"TETAP",IF(C668=0,"BARU",IF(O668=0,"HAPUS",IF(O668&gt;C668,"TAMBAH","KURANG"))))</f>
        <v>TETAP</v>
      </c>
    </row>
    <row r="669" spans="1:18" x14ac:dyDescent="0.25">
      <c r="A669" s="10" t="s">
        <v>170</v>
      </c>
      <c r="B669" s="18" t="s">
        <v>351</v>
      </c>
      <c r="C669" s="12">
        <v>0.36</v>
      </c>
      <c r="D669" s="12">
        <v>0</v>
      </c>
      <c r="E669" s="10" t="s">
        <v>159</v>
      </c>
      <c r="F669" s="14">
        <v>1243301.43</v>
      </c>
      <c r="G669" s="14">
        <f>F669*C669</f>
        <v>447588.51479999995</v>
      </c>
      <c r="H669" s="15">
        <f>IF($G$1279=0,0,G669/$G$1279*100)</f>
      </c>
      <c r="I669" s="12" t="str">
        <f>IF(O669-C669&gt;0,O669-C669,"")</f>
        <v/>
      </c>
      <c r="J669" s="14" t="str">
        <f>IF(I669="","",F669*I669)</f>
        <v/>
      </c>
      <c r="K669" s="15">
        <f>IF(OR(J669="",$G$1279=0),"",J669/$G$1279*100)</f>
      </c>
      <c r="L669" s="12" t="str">
        <f>IF(C669-O669&gt;0,C669-O669,"")</f>
        <v/>
      </c>
      <c r="M669" s="14" t="str">
        <f>IF(L669="","",F669*L669)</f>
        <v/>
      </c>
      <c r="N669" s="15">
        <f>IF(OR(M669="",$G$1279=0),"",M669/$G$1279*100)</f>
      </c>
      <c r="O669" s="12">
        <v>0.36</v>
      </c>
      <c r="P669" s="14">
        <f>F669*O669</f>
        <v>447588.51479999995</v>
      </c>
      <c r="Q669" s="15">
        <f>IF($P$1279=0,0,P669/$P$1279*100)</f>
      </c>
      <c r="R669" s="10" t="str">
        <f>IF(O669=C669,"TETAP",IF(C669=0,"BARU",IF(O669=0,"HAPUS",IF(O669&gt;C669,"TAMBAH","KURANG"))))</f>
        <v>TETAP</v>
      </c>
    </row>
    <row r="670" spans="1:18" x14ac:dyDescent="0.25">
      <c r="A670" s="10" t="s">
        <v>172</v>
      </c>
      <c r="B670" s="18" t="s">
        <v>352</v>
      </c>
      <c r="C670" s="12">
        <v>14.4</v>
      </c>
      <c r="D670" s="12">
        <v>0</v>
      </c>
      <c r="E670" s="10" t="s">
        <v>159</v>
      </c>
      <c r="F670" s="14">
        <v>184387.03</v>
      </c>
      <c r="G670" s="14">
        <f>F670*C670</f>
        <v>2655173.232</v>
      </c>
      <c r="H670" s="15">
        <f>IF($G$1279=0,0,G670/$G$1279*100)</f>
      </c>
      <c r="I670" s="12" t="str">
        <f>IF(O670-C670&gt;0,O670-C670,"")</f>
        <v/>
      </c>
      <c r="J670" s="14" t="str">
        <f>IF(I670="","",F670*I670)</f>
        <v/>
      </c>
      <c r="K670" s="15">
        <f>IF(OR(J670="",$G$1279=0),"",J670/$G$1279*100)</f>
      </c>
      <c r="L670" s="12" t="str">
        <f>IF(C670-O670&gt;0,C670-O670,"")</f>
        <v/>
      </c>
      <c r="M670" s="14" t="str">
        <f>IF(L670="","",F670*L670)</f>
        <v/>
      </c>
      <c r="N670" s="15">
        <f>IF(OR(M670="",$G$1279=0),"",M670/$G$1279*100)</f>
      </c>
      <c r="O670" s="12">
        <v>14.4</v>
      </c>
      <c r="P670" s="14">
        <f>F670*O670</f>
        <v>2655173.232</v>
      </c>
      <c r="Q670" s="15">
        <f>IF($P$1279=0,0,P670/$P$1279*100)</f>
      </c>
      <c r="R670" s="10" t="str">
        <f>IF(O670=C670,"TETAP",IF(C670=0,"BARU",IF(O670=0,"HAPUS",IF(O670&gt;C670,"TAMBAH","KURANG"))))</f>
        <v>TETAP</v>
      </c>
    </row>
    <row r="671" spans="1:18" x14ac:dyDescent="0.25">
      <c r="A671" s="10" t="s">
        <v>255</v>
      </c>
      <c r="B671" s="18" t="s">
        <v>473</v>
      </c>
      <c r="C671" s="12">
        <v>66.58</v>
      </c>
      <c r="D671" s="12">
        <v>0</v>
      </c>
      <c r="E671" s="10" t="s">
        <v>169</v>
      </c>
      <c r="F671" s="14">
        <v>19252.39</v>
      </c>
      <c r="G671" s="14">
        <f>F671*C671</f>
        <v>1281824.1261999998</v>
      </c>
      <c r="H671" s="15">
        <f>IF($G$1279=0,0,G671/$G$1279*100)</f>
      </c>
      <c r="I671" s="12" t="str">
        <f>IF(O671-C671&gt;0,O671-C671,"")</f>
        <v/>
      </c>
      <c r="J671" s="14" t="str">
        <f>IF(I671="","",F671*I671)</f>
        <v/>
      </c>
      <c r="K671" s="15">
        <f>IF(OR(J671="",$G$1279=0),"",J671/$G$1279*100)</f>
      </c>
      <c r="L671" s="12" t="str">
        <f>IF(C671-O671&gt;0,C671-O671,"")</f>
        <v/>
      </c>
      <c r="M671" s="14" t="str">
        <f>IF(L671="","",F671*L671)</f>
        <v/>
      </c>
      <c r="N671" s="15">
        <f>IF(OR(M671="",$G$1279=0),"",M671/$G$1279*100)</f>
      </c>
      <c r="O671" s="12">
        <v>66.58</v>
      </c>
      <c r="P671" s="14">
        <f>F671*O671</f>
        <v>1281824.1261999998</v>
      </c>
      <c r="Q671" s="15">
        <f>IF($P$1279=0,0,P671/$P$1279*100)</f>
      </c>
      <c r="R671" s="10" t="str">
        <f>IF(O671=C671,"TETAP",IF(C671=0,"BARU",IF(O671=0,"HAPUS",IF(O671&gt;C671,"TAMBAH","KURANG"))))</f>
        <v>TETAP</v>
      </c>
    </row>
    <row r="672" spans="1:18" x14ac:dyDescent="0.25">
      <c r="A672" s="10" t="s">
        <v>256</v>
      </c>
      <c r="B672" s="18" t="s">
        <v>354</v>
      </c>
      <c r="C672" s="12">
        <v>2.3</v>
      </c>
      <c r="D672" s="12">
        <v>0</v>
      </c>
      <c r="E672" s="10" t="s">
        <v>159</v>
      </c>
      <c r="F672" s="14">
        <v>1399567.05</v>
      </c>
      <c r="G672" s="14">
        <f>F672*C672</f>
        <v>3219004.215</v>
      </c>
      <c r="H672" s="15">
        <f>IF($G$1279=0,0,G672/$G$1279*100)</f>
      </c>
      <c r="I672" s="12" t="str">
        <f>IF(O672-C672&gt;0,O672-C672,"")</f>
        <v/>
      </c>
      <c r="J672" s="14" t="str">
        <f>IF(I672="","",F672*I672)</f>
        <v/>
      </c>
      <c r="K672" s="15">
        <f>IF(OR(J672="",$G$1279=0),"",J672/$G$1279*100)</f>
      </c>
      <c r="L672" s="12" t="str">
        <f>IF(C672-O672&gt;0,C672-O672,"")</f>
        <v/>
      </c>
      <c r="M672" s="14" t="str">
        <f>IF(L672="","",F672*L672)</f>
        <v/>
      </c>
      <c r="N672" s="15">
        <f>IF(OR(M672="",$G$1279=0),"",M672/$G$1279*100)</f>
      </c>
      <c r="O672" s="12">
        <v>2.3</v>
      </c>
      <c r="P672" s="14">
        <f>F672*O672</f>
        <v>3219004.215</v>
      </c>
      <c r="Q672" s="15">
        <f>IF($P$1279=0,0,P672/$P$1279*100)</f>
      </c>
      <c r="R672" s="10" t="str">
        <f>IF(O672=C672,"TETAP",IF(C672=0,"BARU",IF(O672=0,"HAPUS",IF(O672&gt;C672,"TAMBAH","KURANG"))))</f>
        <v>TETAP</v>
      </c>
    </row>
    <row r="673" spans="1:18" x14ac:dyDescent="0.25">
      <c r="A673" s="10" t="s">
        <v>355</v>
      </c>
      <c r="B673" s="18" t="s">
        <v>194</v>
      </c>
      <c r="C673" s="12">
        <v>240</v>
      </c>
      <c r="D673" s="12">
        <v>0</v>
      </c>
      <c r="E673" s="10" t="s">
        <v>37</v>
      </c>
      <c r="F673" s="14">
        <v>28117.52</v>
      </c>
      <c r="G673" s="14">
        <f>F673*C673</f>
        <v>6748204.8</v>
      </c>
      <c r="H673" s="15">
        <f>IF($G$1279=0,0,G673/$G$1279*100)</f>
      </c>
      <c r="I673" s="12" t="str">
        <f>IF(O673-C673&gt;0,O673-C673,"")</f>
        <v/>
      </c>
      <c r="J673" s="14" t="str">
        <f>IF(I673="","",F673*I673)</f>
        <v/>
      </c>
      <c r="K673" s="15">
        <f>IF(OR(J673="",$G$1279=0),"",J673/$G$1279*100)</f>
      </c>
      <c r="L673" s="12" t="str">
        <f>IF(C673-O673&gt;0,C673-O673,"")</f>
        <v/>
      </c>
      <c r="M673" s="14" t="str">
        <f>IF(L673="","",F673*L673)</f>
        <v/>
      </c>
      <c r="N673" s="15">
        <f>IF(OR(M673="",$G$1279=0),"",M673/$G$1279*100)</f>
      </c>
      <c r="O673" s="12">
        <v>240</v>
      </c>
      <c r="P673" s="14">
        <f>F673*O673</f>
        <v>6748204.8</v>
      </c>
      <c r="Q673" s="15">
        <f>IF($P$1279=0,0,P673/$P$1279*100)</f>
      </c>
      <c r="R673" s="10" t="str">
        <f>IF(O673=C673,"TETAP",IF(C673=0,"BARU",IF(O673=0,"HAPUS",IF(O673&gt;C673,"TAMBAH","KURANG"))))</f>
        <v>TETAP</v>
      </c>
    </row>
    <row r="674" spans="1:18" x14ac:dyDescent="0.25">
      <c r="A674" s="5" t="s">
        <v>30</v>
      </c>
      <c r="B674" s="17" t="s">
        <v>492</v>
      </c>
      <c r="C674" s="7"/>
      <c r="D674" s="7"/>
      <c r="E674" s="5"/>
      <c r="F674" s="8"/>
      <c r="G674" s="8"/>
      <c r="H674" s="9"/>
      <c r="I674" s="7"/>
      <c r="J674" s="8"/>
      <c r="K674" s="9"/>
      <c r="L674" s="7"/>
      <c r="M674" s="8"/>
      <c r="N674" s="9"/>
      <c r="O674" s="7"/>
      <c r="P674" s="8"/>
      <c r="Q674" s="9"/>
      <c r="R674" s="5"/>
    </row>
    <row r="675" spans="1:18" x14ac:dyDescent="0.25">
      <c r="A675" s="10" t="s">
        <v>175</v>
      </c>
      <c r="B675" s="18" t="s">
        <v>201</v>
      </c>
      <c r="C675" s="12">
        <v>28.19</v>
      </c>
      <c r="D675" s="12">
        <v>0</v>
      </c>
      <c r="E675" s="10" t="s">
        <v>159</v>
      </c>
      <c r="F675" s="14">
        <v>48730.7</v>
      </c>
      <c r="G675" s="14">
        <f>F675*C675</f>
        <v>1373718.433</v>
      </c>
      <c r="H675" s="15">
        <f>IF($G$1279=0,0,G675/$G$1279*100)</f>
      </c>
      <c r="I675" s="12" t="str">
        <f>IF(O675-C675&gt;0,O675-C675,"")</f>
        <v/>
      </c>
      <c r="J675" s="14" t="str">
        <f>IF(I675="","",F675*I675)</f>
        <v/>
      </c>
      <c r="K675" s="15">
        <f>IF(OR(J675="",$G$1279=0),"",J675/$G$1279*100)</f>
      </c>
      <c r="L675" s="12" t="str">
        <f>IF(C675-O675&gt;0,C675-O675,"")</f>
        <v/>
      </c>
      <c r="M675" s="14" t="str">
        <f>IF(L675="","",F675*L675)</f>
        <v/>
      </c>
      <c r="N675" s="15">
        <f>IF(OR(M675="",$G$1279=0),"",M675/$G$1279*100)</f>
      </c>
      <c r="O675" s="12">
        <v>28.19</v>
      </c>
      <c r="P675" s="14">
        <f>F675*O675</f>
        <v>1373718.433</v>
      </c>
      <c r="Q675" s="15">
        <f>IF($P$1279=0,0,P675/$P$1279*100)</f>
      </c>
      <c r="R675" s="10" t="str">
        <f>IF(O675=C675,"TETAP",IF(C675=0,"BARU",IF(O675=0,"HAPUS",IF(O675&gt;C675,"TAMBAH","KURANG"))))</f>
        <v>TETAP</v>
      </c>
    </row>
    <row r="676" spans="1:18" x14ac:dyDescent="0.25">
      <c r="A676" s="10" t="s">
        <v>176</v>
      </c>
      <c r="B676" s="18" t="s">
        <v>358</v>
      </c>
      <c r="C676" s="12">
        <v>0</v>
      </c>
      <c r="D676" s="12">
        <v>0</v>
      </c>
      <c r="E676" s="10"/>
      <c r="F676" s="14">
        <v>28117.52</v>
      </c>
      <c r="G676" s="14">
        <f>F676*C676</f>
        <v>0</v>
      </c>
      <c r="H676" s="15">
        <f>IF($G$1279=0,0,G676/$G$1279*100)</f>
      </c>
      <c r="I676" s="12" t="str">
        <f>IF(O676-C676&gt;0,O676-C676,"")</f>
        <v/>
      </c>
      <c r="J676" s="14" t="str">
        <f>IF(I676="","",F676*I676)</f>
        <v/>
      </c>
      <c r="K676" s="15">
        <f>IF(OR(J676="",$G$1279=0),"",J676/$G$1279*100)</f>
      </c>
      <c r="L676" s="12" t="str">
        <f>IF(C676-O676&gt;0,C676-O676,"")</f>
        <v/>
      </c>
      <c r="M676" s="14" t="str">
        <f>IF(L676="","",F676*L676)</f>
        <v/>
      </c>
      <c r="N676" s="15">
        <f>IF(OR(M676="",$G$1279=0),"",M676/$G$1279*100)</f>
      </c>
      <c r="O676" s="12">
        <v>0</v>
      </c>
      <c r="P676" s="14">
        <f>F676*O676</f>
        <v>0</v>
      </c>
      <c r="Q676" s="15">
        <f>IF($P$1279=0,0,P676/$P$1279*100)</f>
      </c>
      <c r="R676" s="10" t="str">
        <f>IF(O676=C676,"TETAP",IF(C676=0,"BARU",IF(O676=0,"HAPUS",IF(O676&gt;C676,"TAMBAH","KURANG"))))</f>
        <v>TETAP</v>
      </c>
    </row>
    <row r="677" spans="1:18" x14ac:dyDescent="0.25">
      <c r="A677" s="10" t="s">
        <v>178</v>
      </c>
      <c r="B677" s="18" t="s">
        <v>586</v>
      </c>
      <c r="C677" s="12">
        <v>2.27</v>
      </c>
      <c r="D677" s="12">
        <v>0</v>
      </c>
      <c r="E677" s="10" t="s">
        <v>159</v>
      </c>
      <c r="F677" s="14">
        <v>342654.98</v>
      </c>
      <c r="G677" s="14">
        <f>F677*C677</f>
        <v>777826.8045999999</v>
      </c>
      <c r="H677" s="15">
        <f>IF($G$1279=0,0,G677/$G$1279*100)</f>
      </c>
      <c r="I677" s="12" t="str">
        <f>IF(O677-C677&gt;0,O677-C677,"")</f>
        <v/>
      </c>
      <c r="J677" s="14" t="str">
        <f>IF(I677="","",F677*I677)</f>
        <v/>
      </c>
      <c r="K677" s="15">
        <f>IF(OR(J677="",$G$1279=0),"",J677/$G$1279*100)</f>
      </c>
      <c r="L677" s="12" t="str">
        <f>IF(C677-O677&gt;0,C677-O677,"")</f>
        <v/>
      </c>
      <c r="M677" s="14" t="str">
        <f>IF(L677="","",F677*L677)</f>
        <v/>
      </c>
      <c r="N677" s="15">
        <f>IF(OR(M677="",$G$1279=0),"",M677/$G$1279*100)</f>
      </c>
      <c r="O677" s="12">
        <v>2.27</v>
      </c>
      <c r="P677" s="14">
        <f>F677*O677</f>
        <v>777826.8045999999</v>
      </c>
      <c r="Q677" s="15">
        <f>IF($P$1279=0,0,P677/$P$1279*100)</f>
      </c>
      <c r="R677" s="10" t="str">
        <f>IF(O677=C677,"TETAP",IF(C677=0,"BARU",IF(O677=0,"HAPUS",IF(O677&gt;C677,"TAMBAH","KURANG"))))</f>
        <v>TETAP</v>
      </c>
    </row>
    <row r="678" spans="1:18" x14ac:dyDescent="0.25">
      <c r="A678" s="10" t="s">
        <v>180</v>
      </c>
      <c r="B678" s="18" t="s">
        <v>356</v>
      </c>
      <c r="C678" s="12">
        <v>17.82</v>
      </c>
      <c r="D678" s="12">
        <v>0</v>
      </c>
      <c r="E678" s="10" t="s">
        <v>159</v>
      </c>
      <c r="F678" s="14">
        <v>1204293.02</v>
      </c>
      <c r="G678" s="14">
        <f>F678*C678</f>
        <v>21460501.6164</v>
      </c>
      <c r="H678" s="15">
        <f>IF($G$1279=0,0,G678/$G$1279*100)</f>
      </c>
      <c r="I678" s="12" t="str">
        <f>IF(O678-C678&gt;0,O678-C678,"")</f>
        <v/>
      </c>
      <c r="J678" s="14" t="str">
        <f>IF(I678="","",F678*I678)</f>
        <v/>
      </c>
      <c r="K678" s="15">
        <f>IF(OR(J678="",$G$1279=0),"",J678/$G$1279*100)</f>
      </c>
      <c r="L678" s="12" t="str">
        <f>IF(C678-O678&gt;0,C678-O678,"")</f>
        <v/>
      </c>
      <c r="M678" s="14" t="str">
        <f>IF(L678="","",F678*L678)</f>
        <v/>
      </c>
      <c r="N678" s="15">
        <f>IF(OR(M678="",$G$1279=0),"",M678/$G$1279*100)</f>
      </c>
      <c r="O678" s="12">
        <v>17.82</v>
      </c>
      <c r="P678" s="14">
        <f>F678*O678</f>
        <v>21460501.6164</v>
      </c>
      <c r="Q678" s="15">
        <f>IF($P$1279=0,0,P678/$P$1279*100)</f>
      </c>
      <c r="R678" s="10" t="str">
        <f>IF(O678=C678,"TETAP",IF(C678=0,"BARU",IF(O678=0,"HAPUS",IF(O678&gt;C678,"TAMBAH","KURANG"))))</f>
        <v>TETAP</v>
      </c>
    </row>
    <row r="679" spans="1:18" x14ac:dyDescent="0.25">
      <c r="A679" s="10" t="s">
        <v>33</v>
      </c>
      <c r="B679" s="20" t="s">
        <v>361</v>
      </c>
      <c r="C679" s="12">
        <v>12.48</v>
      </c>
      <c r="D679" s="12">
        <v>0</v>
      </c>
      <c r="E679" s="10" t="s">
        <v>169</v>
      </c>
      <c r="F679" s="14">
        <v>19252.39</v>
      </c>
      <c r="G679" s="14">
        <f>F679*C679</f>
        <v>240269.8272</v>
      </c>
      <c r="H679" s="15">
        <f>IF($G$1279=0,0,G679/$G$1279*100)</f>
      </c>
      <c r="I679" s="12" t="str">
        <f>IF(O679-C679&gt;0,O679-C679,"")</f>
        <v/>
      </c>
      <c r="J679" s="14" t="str">
        <f>IF(I679="","",F679*I679)</f>
        <v/>
      </c>
      <c r="K679" s="15">
        <f>IF(OR(J679="",$G$1279=0),"",J679/$G$1279*100)</f>
      </c>
      <c r="L679" s="12" t="str">
        <f>IF(C679-O679&gt;0,C679-O679,"")</f>
        <v/>
      </c>
      <c r="M679" s="14" t="str">
        <f>IF(L679="","",F679*L679)</f>
        <v/>
      </c>
      <c r="N679" s="15">
        <f>IF(OR(M679="",$G$1279=0),"",M679/$G$1279*100)</f>
      </c>
      <c r="O679" s="12">
        <v>12.48</v>
      </c>
      <c r="P679" s="14">
        <f>F679*O679</f>
        <v>240269.8272</v>
      </c>
      <c r="Q679" s="15">
        <f>IF($P$1279=0,0,P679/$P$1279*100)</f>
      </c>
      <c r="R679" s="10" t="str">
        <f>IF(O679=C679,"TETAP",IF(C679=0,"BARU",IF(O679=0,"HAPUS",IF(O679&gt;C679,"TAMBAH","KURANG"))))</f>
        <v>TETAP</v>
      </c>
    </row>
    <row r="680" spans="1:18" x14ac:dyDescent="0.25">
      <c r="A680" s="5" t="s">
        <v>35</v>
      </c>
      <c r="B680" s="17" t="s">
        <v>362</v>
      </c>
      <c r="C680" s="7"/>
      <c r="D680" s="7"/>
      <c r="E680" s="5"/>
      <c r="F680" s="8"/>
      <c r="G680" s="8"/>
      <c r="H680" s="9"/>
      <c r="I680" s="7"/>
      <c r="J680" s="8"/>
      <c r="K680" s="9"/>
      <c r="L680" s="7"/>
      <c r="M680" s="8"/>
      <c r="N680" s="9"/>
      <c r="O680" s="7"/>
      <c r="P680" s="8"/>
      <c r="Q680" s="9"/>
      <c r="R680" s="5"/>
    </row>
    <row r="681" spans="1:18" x14ac:dyDescent="0.25">
      <c r="A681" s="10" t="s">
        <v>193</v>
      </c>
      <c r="B681" s="18" t="s">
        <v>187</v>
      </c>
      <c r="C681" s="12">
        <v>24.3</v>
      </c>
      <c r="D681" s="12">
        <v>0</v>
      </c>
      <c r="E681" s="10" t="s">
        <v>26</v>
      </c>
      <c r="F681" s="14">
        <v>218225.13</v>
      </c>
      <c r="G681" s="14">
        <f>F681*C681</f>
        <v>5302870.659</v>
      </c>
      <c r="H681" s="15">
        <f>IF($G$1279=0,0,G681/$G$1279*100)</f>
      </c>
      <c r="I681" s="12" t="str">
        <f>IF(O681-C681&gt;0,O681-C681,"")</f>
        <v/>
      </c>
      <c r="J681" s="14" t="str">
        <f>IF(I681="","",F681*I681)</f>
        <v/>
      </c>
      <c r="K681" s="15">
        <f>IF(OR(J681="",$G$1279=0),"",J681/$G$1279*100)</f>
      </c>
      <c r="L681" s="12" t="str">
        <f>IF(C681-O681&gt;0,C681-O681,"")</f>
        <v/>
      </c>
      <c r="M681" s="14" t="str">
        <f>IF(L681="","",F681*L681)</f>
        <v/>
      </c>
      <c r="N681" s="15">
        <f>IF(OR(M681="",$G$1279=0),"",M681/$G$1279*100)</f>
      </c>
      <c r="O681" s="12">
        <v>24.3</v>
      </c>
      <c r="P681" s="14">
        <f>F681*O681</f>
        <v>5302870.659</v>
      </c>
      <c r="Q681" s="15">
        <f>IF($P$1279=0,0,P681/$P$1279*100)</f>
      </c>
      <c r="R681" s="10" t="str">
        <f>IF(O681=C681,"TETAP",IF(C681=0,"BARU",IF(O681=0,"HAPUS",IF(O681&gt;C681,"TAMBAH","KURANG"))))</f>
        <v>TETAP</v>
      </c>
    </row>
    <row r="682" spans="1:18" x14ac:dyDescent="0.25">
      <c r="A682" s="10" t="s">
        <v>195</v>
      </c>
      <c r="B682" s="18" t="s">
        <v>363</v>
      </c>
      <c r="C682" s="12">
        <v>124.84</v>
      </c>
      <c r="D682" s="12">
        <v>0</v>
      </c>
      <c r="E682" s="10" t="s">
        <v>169</v>
      </c>
      <c r="F682" s="14">
        <v>19252.39</v>
      </c>
      <c r="G682" s="14">
        <f>F682*C682</f>
        <v>2403468.3676</v>
      </c>
      <c r="H682" s="15">
        <f>IF($G$1279=0,0,G682/$G$1279*100)</f>
      </c>
      <c r="I682" s="12" t="str">
        <f>IF(O682-C682&gt;0,O682-C682,"")</f>
        <v/>
      </c>
      <c r="J682" s="14" t="str">
        <f>IF(I682="","",F682*I682)</f>
        <v/>
      </c>
      <c r="K682" s="15">
        <f>IF(OR(J682="",$G$1279=0),"",J682/$G$1279*100)</f>
      </c>
      <c r="L682" s="12" t="str">
        <f>IF(C682-O682&gt;0,C682-O682,"")</f>
        <v/>
      </c>
      <c r="M682" s="14" t="str">
        <f>IF(L682="","",F682*L682)</f>
        <v/>
      </c>
      <c r="N682" s="15">
        <f>IF(OR(M682="",$G$1279=0),"",M682/$G$1279*100)</f>
      </c>
      <c r="O682" s="12">
        <v>124.84</v>
      </c>
      <c r="P682" s="14">
        <f>F682*O682</f>
        <v>2403468.3676</v>
      </c>
      <c r="Q682" s="15">
        <f>IF($P$1279=0,0,P682/$P$1279*100)</f>
      </c>
      <c r="R682" s="10" t="str">
        <f>IF(O682=C682,"TETAP",IF(C682=0,"BARU",IF(O682=0,"HAPUS",IF(O682&gt;C682,"TAMBAH","KURANG"))))</f>
        <v>TETAP</v>
      </c>
    </row>
    <row r="683" spans="1:18" x14ac:dyDescent="0.25">
      <c r="A683" s="10" t="s">
        <v>197</v>
      </c>
      <c r="B683" s="18" t="s">
        <v>364</v>
      </c>
      <c r="C683" s="12">
        <v>112.5</v>
      </c>
      <c r="D683" s="12">
        <v>0</v>
      </c>
      <c r="E683" s="10" t="s">
        <v>169</v>
      </c>
      <c r="F683" s="14">
        <v>19252.39</v>
      </c>
      <c r="G683" s="14">
        <f>F683*C683</f>
        <v>2165893.875</v>
      </c>
      <c r="H683" s="15">
        <f>IF($G$1279=0,0,G683/$G$1279*100)</f>
      </c>
      <c r="I683" s="12" t="str">
        <f>IF(O683-C683&gt;0,O683-C683,"")</f>
        <v/>
      </c>
      <c r="J683" s="14" t="str">
        <f>IF(I683="","",F683*I683)</f>
        <v/>
      </c>
      <c r="K683" s="15">
        <f>IF(OR(J683="",$G$1279=0),"",J683/$G$1279*100)</f>
      </c>
      <c r="L683" s="12" t="str">
        <f>IF(C683-O683&gt;0,C683-O683,"")</f>
        <v/>
      </c>
      <c r="M683" s="14" t="str">
        <f>IF(L683="","",F683*L683)</f>
        <v/>
      </c>
      <c r="N683" s="15">
        <f>IF(OR(M683="",$G$1279=0),"",M683/$G$1279*100)</f>
      </c>
      <c r="O683" s="12">
        <v>112.5</v>
      </c>
      <c r="P683" s="14">
        <f>F683*O683</f>
        <v>2165893.875</v>
      </c>
      <c r="Q683" s="15">
        <f>IF($P$1279=0,0,P683/$P$1279*100)</f>
      </c>
      <c r="R683" s="10" t="str">
        <f>IF(O683=C683,"TETAP",IF(C683=0,"BARU",IF(O683=0,"HAPUS",IF(O683&gt;C683,"TAMBAH","KURANG"))))</f>
        <v>TETAP</v>
      </c>
    </row>
    <row r="684" spans="1:18" x14ac:dyDescent="0.25">
      <c r="A684" s="10" t="s">
        <v>198</v>
      </c>
      <c r="B684" s="18" t="s">
        <v>354</v>
      </c>
      <c r="C684" s="12">
        <v>3.04</v>
      </c>
      <c r="D684" s="12">
        <v>0</v>
      </c>
      <c r="E684" s="10" t="s">
        <v>159</v>
      </c>
      <c r="F684" s="14">
        <v>1399567.05</v>
      </c>
      <c r="G684" s="14">
        <f>F684*C684</f>
        <v>4254683.832</v>
      </c>
      <c r="H684" s="15">
        <f>IF($G$1279=0,0,G684/$G$1279*100)</f>
      </c>
      <c r="I684" s="12" t="str">
        <f>IF(O684-C684&gt;0,O684-C684,"")</f>
        <v/>
      </c>
      <c r="J684" s="14" t="str">
        <f>IF(I684="","",F684*I684)</f>
        <v/>
      </c>
      <c r="K684" s="15">
        <f>IF(OR(J684="",$G$1279=0),"",J684/$G$1279*100)</f>
      </c>
      <c r="L684" s="12" t="str">
        <f>IF(C684-O684&gt;0,C684-O684,"")</f>
        <v/>
      </c>
      <c r="M684" s="14" t="str">
        <f>IF(L684="","",F684*L684)</f>
        <v/>
      </c>
      <c r="N684" s="15">
        <f>IF(OR(M684="",$G$1279=0),"",M684/$G$1279*100)</f>
      </c>
      <c r="O684" s="12">
        <v>3.04</v>
      </c>
      <c r="P684" s="14">
        <f>F684*O684</f>
        <v>4254683.832</v>
      </c>
      <c r="Q684" s="15">
        <f>IF($P$1279=0,0,P684/$P$1279*100)</f>
      </c>
      <c r="R684" s="10" t="str">
        <f>IF(O684=C684,"TETAP",IF(C684=0,"BARU",IF(O684=0,"HAPUS",IF(O684&gt;C684,"TAMBAH","KURANG"))))</f>
        <v>TETAP</v>
      </c>
    </row>
    <row r="685" spans="1:18" x14ac:dyDescent="0.25">
      <c r="A685" s="5" t="s">
        <v>38</v>
      </c>
      <c r="B685" s="17" t="s">
        <v>370</v>
      </c>
      <c r="C685" s="7"/>
      <c r="D685" s="7"/>
      <c r="E685" s="5"/>
      <c r="F685" s="8"/>
      <c r="G685" s="8"/>
      <c r="H685" s="9"/>
      <c r="I685" s="7"/>
      <c r="J685" s="8"/>
      <c r="K685" s="9"/>
      <c r="L685" s="7"/>
      <c r="M685" s="8"/>
      <c r="N685" s="9"/>
      <c r="O685" s="7"/>
      <c r="P685" s="8"/>
      <c r="Q685" s="9"/>
      <c r="R685" s="5"/>
    </row>
    <row r="686" spans="1:18" x14ac:dyDescent="0.25">
      <c r="A686" s="10" t="s">
        <v>200</v>
      </c>
      <c r="B686" s="18" t="s">
        <v>371</v>
      </c>
      <c r="C686" s="12">
        <v>9.6</v>
      </c>
      <c r="D686" s="12">
        <v>0</v>
      </c>
      <c r="E686" s="10" t="s">
        <v>26</v>
      </c>
      <c r="F686" s="14">
        <v>229284.3</v>
      </c>
      <c r="G686" s="14">
        <f>F686*C686</f>
        <v>2201129.28</v>
      </c>
      <c r="H686" s="15">
        <f>IF($G$1279=0,0,G686/$G$1279*100)</f>
      </c>
      <c r="I686" s="12" t="str">
        <f>IF(O686-C686&gt;0,O686-C686,"")</f>
        <v/>
      </c>
      <c r="J686" s="14" t="str">
        <f>IF(I686="","",F686*I686)</f>
        <v/>
      </c>
      <c r="K686" s="15">
        <f>IF(OR(J686="",$G$1279=0),"",J686/$G$1279*100)</f>
      </c>
      <c r="L686" s="12" t="str">
        <f>IF(C686-O686&gt;0,C686-O686,"")</f>
        <v/>
      </c>
      <c r="M686" s="14" t="str">
        <f>IF(L686="","",F686*L686)</f>
        <v/>
      </c>
      <c r="N686" s="15">
        <f>IF(OR(M686="",$G$1279=0),"",M686/$G$1279*100)</f>
      </c>
      <c r="O686" s="12">
        <v>9.6</v>
      </c>
      <c r="P686" s="14">
        <f>F686*O686</f>
        <v>2201129.28</v>
      </c>
      <c r="Q686" s="15">
        <f>IF($P$1279=0,0,P686/$P$1279*100)</f>
      </c>
      <c r="R686" s="10" t="str">
        <f>IF(O686=C686,"TETAP",IF(C686=0,"BARU",IF(O686=0,"HAPUS",IF(O686&gt;C686,"TAMBAH","KURANG"))))</f>
        <v>TETAP</v>
      </c>
    </row>
    <row r="687" spans="1:18" x14ac:dyDescent="0.25">
      <c r="A687" s="10" t="s">
        <v>202</v>
      </c>
      <c r="B687" s="18" t="s">
        <v>372</v>
      </c>
      <c r="C687" s="12">
        <v>62.14</v>
      </c>
      <c r="D687" s="12">
        <v>0</v>
      </c>
      <c r="E687" s="10" t="s">
        <v>169</v>
      </c>
      <c r="F687" s="14">
        <v>19252.39</v>
      </c>
      <c r="G687" s="14">
        <f>F687*C687</f>
        <v>1196343.5145999999</v>
      </c>
      <c r="H687" s="15">
        <f>IF($G$1279=0,0,G687/$G$1279*100)</f>
      </c>
      <c r="I687" s="12" t="str">
        <f>IF(O687-C687&gt;0,O687-C687,"")</f>
        <v/>
      </c>
      <c r="J687" s="14" t="str">
        <f>IF(I687="","",F687*I687)</f>
        <v/>
      </c>
      <c r="K687" s="15">
        <f>IF(OR(J687="",$G$1279=0),"",J687/$G$1279*100)</f>
      </c>
      <c r="L687" s="12" t="str">
        <f>IF(C687-O687&gt;0,C687-O687,"")</f>
        <v/>
      </c>
      <c r="M687" s="14" t="str">
        <f>IF(L687="","",F687*L687)</f>
        <v/>
      </c>
      <c r="N687" s="15">
        <f>IF(OR(M687="",$G$1279=0),"",M687/$G$1279*100)</f>
      </c>
      <c r="O687" s="12">
        <v>62.14</v>
      </c>
      <c r="P687" s="14">
        <f>F687*O687</f>
        <v>1196343.5145999999</v>
      </c>
      <c r="Q687" s="15">
        <f>IF($P$1279=0,0,P687/$P$1279*100)</f>
      </c>
      <c r="R687" s="10" t="str">
        <f>IF(O687=C687,"TETAP",IF(C687=0,"BARU",IF(O687=0,"HAPUS",IF(O687&gt;C687,"TAMBAH","KURANG"))))</f>
        <v>TETAP</v>
      </c>
    </row>
    <row r="688" spans="1:18" x14ac:dyDescent="0.25">
      <c r="A688" s="10" t="s">
        <v>203</v>
      </c>
      <c r="B688" s="18" t="s">
        <v>373</v>
      </c>
      <c r="C688" s="12">
        <v>22.16</v>
      </c>
      <c r="D688" s="12">
        <v>0</v>
      </c>
      <c r="E688" s="10" t="s">
        <v>169</v>
      </c>
      <c r="F688" s="14">
        <v>19252.39</v>
      </c>
      <c r="G688" s="14">
        <f>F688*C688</f>
        <v>426632.9624</v>
      </c>
      <c r="H688" s="15">
        <f>IF($G$1279=0,0,G688/$G$1279*100)</f>
      </c>
      <c r="I688" s="12" t="str">
        <f>IF(O688-C688&gt;0,O688-C688,"")</f>
        <v/>
      </c>
      <c r="J688" s="14" t="str">
        <f>IF(I688="","",F688*I688)</f>
        <v/>
      </c>
      <c r="K688" s="15">
        <f>IF(OR(J688="",$G$1279=0),"",J688/$G$1279*100)</f>
      </c>
      <c r="L688" s="12" t="str">
        <f>IF(C688-O688&gt;0,C688-O688,"")</f>
        <v/>
      </c>
      <c r="M688" s="14" t="str">
        <f>IF(L688="","",F688*L688)</f>
        <v/>
      </c>
      <c r="N688" s="15">
        <f>IF(OR(M688="",$G$1279=0),"",M688/$G$1279*100)</f>
      </c>
      <c r="O688" s="12">
        <v>22.16</v>
      </c>
      <c r="P688" s="14">
        <f>F688*O688</f>
        <v>426632.9624</v>
      </c>
      <c r="Q688" s="15">
        <f>IF($P$1279=0,0,P688/$P$1279*100)</f>
      </c>
      <c r="R688" s="10" t="str">
        <f>IF(O688=C688,"TETAP",IF(C688=0,"BARU",IF(O688=0,"HAPUS",IF(O688&gt;C688,"TAMBAH","KURANG"))))</f>
        <v>TETAP</v>
      </c>
    </row>
    <row r="689" spans="1:18" x14ac:dyDescent="0.25">
      <c r="A689" s="10" t="s">
        <v>204</v>
      </c>
      <c r="B689" s="18" t="s">
        <v>374</v>
      </c>
      <c r="C689" s="12">
        <v>0.6</v>
      </c>
      <c r="D689" s="12">
        <v>0</v>
      </c>
      <c r="E689" s="10" t="s">
        <v>159</v>
      </c>
      <c r="F689" s="14">
        <v>1399567.05</v>
      </c>
      <c r="G689" s="14">
        <f>F689*C689</f>
        <v>839740.23</v>
      </c>
      <c r="H689" s="15">
        <f>IF($G$1279=0,0,G689/$G$1279*100)</f>
      </c>
      <c r="I689" s="12" t="str">
        <f>IF(O689-C689&gt;0,O689-C689,"")</f>
        <v/>
      </c>
      <c r="J689" s="14" t="str">
        <f>IF(I689="","",F689*I689)</f>
        <v/>
      </c>
      <c r="K689" s="15">
        <f>IF(OR(J689="",$G$1279=0),"",J689/$G$1279*100)</f>
      </c>
      <c r="L689" s="12" t="str">
        <f>IF(C689-O689&gt;0,C689-O689,"")</f>
        <v/>
      </c>
      <c r="M689" s="14" t="str">
        <f>IF(L689="","",F689*L689)</f>
        <v/>
      </c>
      <c r="N689" s="15">
        <f>IF(OR(M689="",$G$1279=0),"",M689/$G$1279*100)</f>
      </c>
      <c r="O689" s="12">
        <v>0.6</v>
      </c>
      <c r="P689" s="14">
        <f>F689*O689</f>
        <v>839740.23</v>
      </c>
      <c r="Q689" s="15">
        <f>IF($P$1279=0,0,P689/$P$1279*100)</f>
      </c>
      <c r="R689" s="10" t="str">
        <f>IF(O689=C689,"TETAP",IF(C689=0,"BARU",IF(O689=0,"HAPUS",IF(O689&gt;C689,"TAMBAH","KURANG"))))</f>
        <v>TETAP</v>
      </c>
    </row>
    <row r="690" spans="1:18" x14ac:dyDescent="0.25">
      <c r="A690" s="5" t="s">
        <v>108</v>
      </c>
      <c r="B690" s="17" t="s">
        <v>375</v>
      </c>
      <c r="C690" s="7"/>
      <c r="D690" s="7"/>
      <c r="E690" s="5"/>
      <c r="F690" s="8"/>
      <c r="G690" s="8"/>
      <c r="H690" s="9"/>
      <c r="I690" s="7"/>
      <c r="J690" s="8"/>
      <c r="K690" s="9"/>
      <c r="L690" s="7"/>
      <c r="M690" s="8"/>
      <c r="N690" s="9"/>
      <c r="O690" s="7"/>
      <c r="P690" s="8"/>
      <c r="Q690" s="9"/>
      <c r="R690" s="5"/>
    </row>
    <row r="691" spans="1:18" x14ac:dyDescent="0.25">
      <c r="A691" s="10" t="s">
        <v>212</v>
      </c>
      <c r="B691" s="18" t="s">
        <v>371</v>
      </c>
      <c r="C691" s="12">
        <v>40.2</v>
      </c>
      <c r="D691" s="12">
        <v>0</v>
      </c>
      <c r="E691" s="10" t="s">
        <v>26</v>
      </c>
      <c r="F691" s="14">
        <v>229284.3</v>
      </c>
      <c r="G691" s="14">
        <f>F691*C691</f>
        <v>9217228.86</v>
      </c>
      <c r="H691" s="15">
        <f>IF($G$1279=0,0,G691/$G$1279*100)</f>
      </c>
      <c r="I691" s="12" t="str">
        <f>IF(O691-C691&gt;0,O691-C691,"")</f>
        <v/>
      </c>
      <c r="J691" s="14" t="str">
        <f>IF(I691="","",F691*I691)</f>
        <v/>
      </c>
      <c r="K691" s="15">
        <f>IF(OR(J691="",$G$1279=0),"",J691/$G$1279*100)</f>
      </c>
      <c r="L691" s="12" t="str">
        <f>IF(C691-O691&gt;0,C691-O691,"")</f>
        <v/>
      </c>
      <c r="M691" s="14" t="str">
        <f>IF(L691="","",F691*L691)</f>
        <v/>
      </c>
      <c r="N691" s="15">
        <f>IF(OR(M691="",$G$1279=0),"",M691/$G$1279*100)</f>
      </c>
      <c r="O691" s="12">
        <v>40.2</v>
      </c>
      <c r="P691" s="14">
        <f>F691*O691</f>
        <v>9217228.86</v>
      </c>
      <c r="Q691" s="15">
        <f>IF($P$1279=0,0,P691/$P$1279*100)</f>
      </c>
      <c r="R691" s="10" t="str">
        <f>IF(O691=C691,"TETAP",IF(C691=0,"BARU",IF(O691=0,"HAPUS",IF(O691&gt;C691,"TAMBAH","KURANG"))))</f>
        <v>TETAP</v>
      </c>
    </row>
    <row r="692" spans="1:18" x14ac:dyDescent="0.25">
      <c r="A692" s="10" t="s">
        <v>214</v>
      </c>
      <c r="B692" s="18" t="s">
        <v>372</v>
      </c>
      <c r="C692" s="12">
        <v>213.06</v>
      </c>
      <c r="D692" s="12">
        <v>0</v>
      </c>
      <c r="E692" s="10" t="s">
        <v>169</v>
      </c>
      <c r="F692" s="14">
        <v>19252.39</v>
      </c>
      <c r="G692" s="14">
        <f>F692*C692</f>
        <v>4101914.2134</v>
      </c>
      <c r="H692" s="15">
        <f>IF($G$1279=0,0,G692/$G$1279*100)</f>
      </c>
      <c r="I692" s="12" t="str">
        <f>IF(O692-C692&gt;0,O692-C692,"")</f>
        <v/>
      </c>
      <c r="J692" s="14" t="str">
        <f>IF(I692="","",F692*I692)</f>
        <v/>
      </c>
      <c r="K692" s="15">
        <f>IF(OR(J692="",$G$1279=0),"",J692/$G$1279*100)</f>
      </c>
      <c r="L692" s="12" t="str">
        <f>IF(C692-O692&gt;0,C692-O692,"")</f>
        <v/>
      </c>
      <c r="M692" s="14" t="str">
        <f>IF(L692="","",F692*L692)</f>
        <v/>
      </c>
      <c r="N692" s="15">
        <f>IF(OR(M692="",$G$1279=0),"",M692/$G$1279*100)</f>
      </c>
      <c r="O692" s="12">
        <v>213.06</v>
      </c>
      <c r="P692" s="14">
        <f>F692*O692</f>
        <v>4101914.2134</v>
      </c>
      <c r="Q692" s="15">
        <f>IF($P$1279=0,0,P692/$P$1279*100)</f>
      </c>
      <c r="R692" s="10" t="str">
        <f>IF(O692=C692,"TETAP",IF(C692=0,"BARU",IF(O692=0,"HAPUS",IF(O692&gt;C692,"TAMBAH","KURANG"))))</f>
        <v>TETAP</v>
      </c>
    </row>
    <row r="693" spans="1:18" x14ac:dyDescent="0.25">
      <c r="A693" s="10" t="s">
        <v>216</v>
      </c>
      <c r="B693" s="18" t="s">
        <v>373</v>
      </c>
      <c r="C693" s="12">
        <v>84.94</v>
      </c>
      <c r="D693" s="12">
        <v>0</v>
      </c>
      <c r="E693" s="10" t="s">
        <v>169</v>
      </c>
      <c r="F693" s="14">
        <v>19252.39</v>
      </c>
      <c r="G693" s="14">
        <f>F693*C693</f>
        <v>1635298.0066</v>
      </c>
      <c r="H693" s="15">
        <f>IF($G$1279=0,0,G693/$G$1279*100)</f>
      </c>
      <c r="I693" s="12" t="str">
        <f>IF(O693-C693&gt;0,O693-C693,"")</f>
        <v/>
      </c>
      <c r="J693" s="14" t="str">
        <f>IF(I693="","",F693*I693)</f>
        <v/>
      </c>
      <c r="K693" s="15">
        <f>IF(OR(J693="",$G$1279=0),"",J693/$G$1279*100)</f>
      </c>
      <c r="L693" s="12" t="str">
        <f>IF(C693-O693&gt;0,C693-O693,"")</f>
        <v/>
      </c>
      <c r="M693" s="14" t="str">
        <f>IF(L693="","",F693*L693)</f>
        <v/>
      </c>
      <c r="N693" s="15">
        <f>IF(OR(M693="",$G$1279=0),"",M693/$G$1279*100)</f>
      </c>
      <c r="O693" s="12">
        <v>84.94</v>
      </c>
      <c r="P693" s="14">
        <f>F693*O693</f>
        <v>1635298.0066</v>
      </c>
      <c r="Q693" s="15">
        <f>IF($P$1279=0,0,P693/$P$1279*100)</f>
      </c>
      <c r="R693" s="10" t="str">
        <f>IF(O693=C693,"TETAP",IF(C693=0,"BARU",IF(O693=0,"HAPUS",IF(O693&gt;C693,"TAMBAH","KURANG"))))</f>
        <v>TETAP</v>
      </c>
    </row>
    <row r="694" spans="1:18" x14ac:dyDescent="0.25">
      <c r="A694" s="10" t="s">
        <v>218</v>
      </c>
      <c r="B694" s="18" t="s">
        <v>374</v>
      </c>
      <c r="C694" s="12">
        <v>2.51</v>
      </c>
      <c r="D694" s="12">
        <v>0</v>
      </c>
      <c r="E694" s="10" t="s">
        <v>159</v>
      </c>
      <c r="F694" s="14">
        <v>1399567.05</v>
      </c>
      <c r="G694" s="14">
        <f>F694*C694</f>
        <v>3512913.2955</v>
      </c>
      <c r="H694" s="15">
        <f>IF($G$1279=0,0,G694/$G$1279*100)</f>
      </c>
      <c r="I694" s="12" t="str">
        <f>IF(O694-C694&gt;0,O694-C694,"")</f>
        <v/>
      </c>
      <c r="J694" s="14" t="str">
        <f>IF(I694="","",F694*I694)</f>
        <v/>
      </c>
      <c r="K694" s="15">
        <f>IF(OR(J694="",$G$1279=0),"",J694/$G$1279*100)</f>
      </c>
      <c r="L694" s="12" t="str">
        <f>IF(C694-O694&gt;0,C694-O694,"")</f>
        <v/>
      </c>
      <c r="M694" s="14" t="str">
        <f>IF(L694="","",F694*L694)</f>
        <v/>
      </c>
      <c r="N694" s="15">
        <f>IF(OR(M694="",$G$1279=0),"",M694/$G$1279*100)</f>
      </c>
      <c r="O694" s="12">
        <v>2.51</v>
      </c>
      <c r="P694" s="14">
        <f>F694*O694</f>
        <v>3512913.2955</v>
      </c>
      <c r="Q694" s="15">
        <f>IF($P$1279=0,0,P694/$P$1279*100)</f>
      </c>
      <c r="R694" s="10" t="str">
        <f>IF(O694=C694,"TETAP",IF(C694=0,"BARU",IF(O694=0,"HAPUS",IF(O694&gt;C694,"TAMBAH","KURANG"))))</f>
        <v>TETAP</v>
      </c>
    </row>
    <row r="695" spans="1:18" x14ac:dyDescent="0.25">
      <c r="A695" s="5" t="s">
        <v>110</v>
      </c>
      <c r="B695" s="17" t="s">
        <v>493</v>
      </c>
      <c r="C695" s="7"/>
      <c r="D695" s="7"/>
      <c r="E695" s="5"/>
      <c r="F695" s="8"/>
      <c r="G695" s="8"/>
      <c r="H695" s="9"/>
      <c r="I695" s="7"/>
      <c r="J695" s="8"/>
      <c r="K695" s="9"/>
      <c r="L695" s="7"/>
      <c r="M695" s="8"/>
      <c r="N695" s="9"/>
      <c r="O695" s="7"/>
      <c r="P695" s="8"/>
      <c r="Q695" s="9"/>
      <c r="R695" s="5"/>
    </row>
    <row r="696" spans="1:18" x14ac:dyDescent="0.25">
      <c r="A696" s="10" t="s">
        <v>275</v>
      </c>
      <c r="B696" s="18" t="s">
        <v>242</v>
      </c>
      <c r="C696" s="12">
        <v>3.35</v>
      </c>
      <c r="D696" s="12">
        <v>0</v>
      </c>
      <c r="E696" s="10" t="s">
        <v>26</v>
      </c>
      <c r="F696" s="14">
        <v>229284.3</v>
      </c>
      <c r="G696" s="14">
        <f>F696*C696</f>
        <v>768102.405</v>
      </c>
      <c r="H696" s="15">
        <f>IF($G$1279=0,0,G696/$G$1279*100)</f>
      </c>
      <c r="I696" s="12" t="str">
        <f>IF(O696-C696&gt;0,O696-C696,"")</f>
        <v/>
      </c>
      <c r="J696" s="14" t="str">
        <f>IF(I696="","",F696*I696)</f>
        <v/>
      </c>
      <c r="K696" s="15">
        <f>IF(OR(J696="",$G$1279=0),"",J696/$G$1279*100)</f>
      </c>
      <c r="L696" s="12" t="str">
        <f>IF(C696-O696&gt;0,C696-O696,"")</f>
        <v/>
      </c>
      <c r="M696" s="14" t="str">
        <f>IF(L696="","",F696*L696)</f>
        <v/>
      </c>
      <c r="N696" s="15">
        <f>IF(OR(M696="",$G$1279=0),"",M696/$G$1279*100)</f>
      </c>
      <c r="O696" s="12">
        <v>3.35</v>
      </c>
      <c r="P696" s="14">
        <f>F696*O696</f>
        <v>768102.405</v>
      </c>
      <c r="Q696" s="15">
        <f>IF($P$1279=0,0,P696/$P$1279*100)</f>
      </c>
      <c r="R696" s="10" t="str">
        <f>IF(O696=C696,"TETAP",IF(C696=0,"BARU",IF(O696=0,"HAPUS",IF(O696&gt;C696,"TAMBAH","KURANG"))))</f>
        <v>TETAP</v>
      </c>
    </row>
    <row r="697" spans="1:18" x14ac:dyDescent="0.25">
      <c r="A697" s="10" t="s">
        <v>276</v>
      </c>
      <c r="B697" s="18" t="s">
        <v>380</v>
      </c>
      <c r="C697" s="12">
        <v>17.76</v>
      </c>
      <c r="D697" s="12">
        <v>0</v>
      </c>
      <c r="E697" s="10" t="s">
        <v>169</v>
      </c>
      <c r="F697" s="14">
        <v>19252.39</v>
      </c>
      <c r="G697" s="14">
        <f>F697*C697</f>
        <v>341922.4464</v>
      </c>
      <c r="H697" s="15">
        <f>IF($G$1279=0,0,G697/$G$1279*100)</f>
      </c>
      <c r="I697" s="12" t="str">
        <f>IF(O697-C697&gt;0,O697-C697,"")</f>
        <v/>
      </c>
      <c r="J697" s="14" t="str">
        <f>IF(I697="","",F697*I697)</f>
        <v/>
      </c>
      <c r="K697" s="15">
        <f>IF(OR(J697="",$G$1279=0),"",J697/$G$1279*100)</f>
      </c>
      <c r="L697" s="12" t="str">
        <f>IF(C697-O697&gt;0,C697-O697,"")</f>
        <v/>
      </c>
      <c r="M697" s="14" t="str">
        <f>IF(L697="","",F697*L697)</f>
        <v/>
      </c>
      <c r="N697" s="15">
        <f>IF(OR(M697="",$G$1279=0),"",M697/$G$1279*100)</f>
      </c>
      <c r="O697" s="12">
        <v>17.76</v>
      </c>
      <c r="P697" s="14">
        <f>F697*O697</f>
        <v>341922.4464</v>
      </c>
      <c r="Q697" s="15">
        <f>IF($P$1279=0,0,P697/$P$1279*100)</f>
      </c>
      <c r="R697" s="10" t="str">
        <f>IF(O697=C697,"TETAP",IF(C697=0,"BARU",IF(O697=0,"HAPUS",IF(O697&gt;C697,"TAMBAH","KURANG"))))</f>
        <v>TETAP</v>
      </c>
    </row>
    <row r="698" spans="1:18" x14ac:dyDescent="0.25">
      <c r="A698" s="10" t="s">
        <v>278</v>
      </c>
      <c r="B698" s="18" t="s">
        <v>364</v>
      </c>
      <c r="C698" s="12">
        <v>10.65</v>
      </c>
      <c r="D698" s="12">
        <v>0</v>
      </c>
      <c r="E698" s="10" t="s">
        <v>169</v>
      </c>
      <c r="F698" s="14">
        <v>19252.39</v>
      </c>
      <c r="G698" s="14">
        <f>F698*C698</f>
        <v>205037.9535</v>
      </c>
      <c r="H698" s="15">
        <f>IF($G$1279=0,0,G698/$G$1279*100)</f>
      </c>
      <c r="I698" s="12" t="str">
        <f>IF(O698-C698&gt;0,O698-C698,"")</f>
        <v/>
      </c>
      <c r="J698" s="14" t="str">
        <f>IF(I698="","",F698*I698)</f>
        <v/>
      </c>
      <c r="K698" s="15">
        <f>IF(OR(J698="",$G$1279=0),"",J698/$G$1279*100)</f>
      </c>
      <c r="L698" s="12" t="str">
        <f>IF(C698-O698&gt;0,C698-O698,"")</f>
        <v/>
      </c>
      <c r="M698" s="14" t="str">
        <f>IF(L698="","",F698*L698)</f>
        <v/>
      </c>
      <c r="N698" s="15">
        <f>IF(OR(M698="",$G$1279=0),"",M698/$G$1279*100)</f>
      </c>
      <c r="O698" s="12">
        <v>10.65</v>
      </c>
      <c r="P698" s="14">
        <f>F698*O698</f>
        <v>205037.9535</v>
      </c>
      <c r="Q698" s="15">
        <f>IF($P$1279=0,0,P698/$P$1279*100)</f>
      </c>
      <c r="R698" s="10" t="str">
        <f>IF(O698=C698,"TETAP",IF(C698=0,"BARU",IF(O698=0,"HAPUS",IF(O698&gt;C698,"TAMBAH","KURANG"))))</f>
        <v>TETAP</v>
      </c>
    </row>
    <row r="699" spans="1:18" x14ac:dyDescent="0.25">
      <c r="A699" s="10" t="s">
        <v>279</v>
      </c>
      <c r="B699" s="18" t="s">
        <v>374</v>
      </c>
      <c r="C699" s="12">
        <v>0.42</v>
      </c>
      <c r="D699" s="12">
        <v>0</v>
      </c>
      <c r="E699" s="10" t="s">
        <v>159</v>
      </c>
      <c r="F699" s="14">
        <v>1399567.05</v>
      </c>
      <c r="G699" s="14">
        <f>F699*C699</f>
        <v>587818.161</v>
      </c>
      <c r="H699" s="15">
        <f>IF($G$1279=0,0,G699/$G$1279*100)</f>
      </c>
      <c r="I699" s="12" t="str">
        <f>IF(O699-C699&gt;0,O699-C699,"")</f>
        <v/>
      </c>
      <c r="J699" s="14" t="str">
        <f>IF(I699="","",F699*I699)</f>
        <v/>
      </c>
      <c r="K699" s="15">
        <f>IF(OR(J699="",$G$1279=0),"",J699/$G$1279*100)</f>
      </c>
      <c r="L699" s="12" t="str">
        <f>IF(C699-O699&gt;0,C699-O699,"")</f>
        <v/>
      </c>
      <c r="M699" s="14" t="str">
        <f>IF(L699="","",F699*L699)</f>
        <v/>
      </c>
      <c r="N699" s="15">
        <f>IF(OR(M699="",$G$1279=0),"",M699/$G$1279*100)</f>
      </c>
      <c r="O699" s="12">
        <v>0.42</v>
      </c>
      <c r="P699" s="14">
        <f>F699*O699</f>
        <v>587818.161</v>
      </c>
      <c r="Q699" s="15">
        <f>IF($P$1279=0,0,P699/$P$1279*100)</f>
      </c>
      <c r="R699" s="10" t="str">
        <f>IF(O699=C699,"TETAP",IF(C699=0,"BARU",IF(O699=0,"HAPUS",IF(O699&gt;C699,"TAMBAH","KURANG"))))</f>
        <v>TETAP</v>
      </c>
    </row>
    <row r="700" spans="1:18" x14ac:dyDescent="0.25">
      <c r="A700" s="5" t="s">
        <v>112</v>
      </c>
      <c r="B700" s="17" t="s">
        <v>376</v>
      </c>
      <c r="C700" s="7"/>
      <c r="D700" s="7"/>
      <c r="E700" s="5"/>
      <c r="F700" s="8"/>
      <c r="G700" s="8"/>
      <c r="H700" s="9"/>
      <c r="I700" s="7"/>
      <c r="J700" s="8"/>
      <c r="K700" s="9"/>
      <c r="L700" s="7"/>
      <c r="M700" s="8"/>
      <c r="N700" s="9"/>
      <c r="O700" s="7"/>
      <c r="P700" s="8"/>
      <c r="Q700" s="9"/>
      <c r="R700" s="5"/>
    </row>
    <row r="701" spans="1:18" x14ac:dyDescent="0.25">
      <c r="A701" s="10" t="s">
        <v>287</v>
      </c>
      <c r="B701" s="18" t="s">
        <v>252</v>
      </c>
      <c r="C701" s="12">
        <v>21.6</v>
      </c>
      <c r="D701" s="12">
        <v>0</v>
      </c>
      <c r="E701" s="10" t="s">
        <v>26</v>
      </c>
      <c r="F701" s="14">
        <v>236600.08</v>
      </c>
      <c r="G701" s="14">
        <f>F701*C701</f>
        <v>5110561.728</v>
      </c>
      <c r="H701" s="15">
        <f>IF($G$1279=0,0,G701/$G$1279*100)</f>
      </c>
      <c r="I701" s="12" t="str">
        <f>IF(O701-C701&gt;0,O701-C701,"")</f>
        <v/>
      </c>
      <c r="J701" s="14" t="str">
        <f>IF(I701="","",F701*I701)</f>
        <v/>
      </c>
      <c r="K701" s="15">
        <f>IF(OR(J701="",$G$1279=0),"",J701/$G$1279*100)</f>
      </c>
      <c r="L701" s="12" t="str">
        <f>IF(C701-O701&gt;0,C701-O701,"")</f>
        <v/>
      </c>
      <c r="M701" s="14" t="str">
        <f>IF(L701="","",F701*L701)</f>
        <v/>
      </c>
      <c r="N701" s="15">
        <f>IF(OR(M701="",$G$1279=0),"",M701/$G$1279*100)</f>
      </c>
      <c r="O701" s="12">
        <v>21.6</v>
      </c>
      <c r="P701" s="14">
        <f>F701*O701</f>
        <v>5110561.728</v>
      </c>
      <c r="Q701" s="15">
        <f>IF($P$1279=0,0,P701/$P$1279*100)</f>
      </c>
      <c r="R701" s="10" t="str">
        <f>IF(O701=C701,"TETAP",IF(C701=0,"BARU",IF(O701=0,"HAPUS",IF(O701&gt;C701,"TAMBAH","KURANG"))))</f>
        <v>TETAP</v>
      </c>
    </row>
    <row r="702" spans="1:18" x14ac:dyDescent="0.25">
      <c r="A702" s="10" t="s">
        <v>288</v>
      </c>
      <c r="B702" s="18" t="s">
        <v>363</v>
      </c>
      <c r="C702" s="12">
        <v>73.98</v>
      </c>
      <c r="D702" s="12">
        <v>0</v>
      </c>
      <c r="E702" s="10" t="s">
        <v>169</v>
      </c>
      <c r="F702" s="14">
        <v>19252.39</v>
      </c>
      <c r="G702" s="14">
        <f>F702*C702</f>
        <v>1424291.8122</v>
      </c>
      <c r="H702" s="15">
        <f>IF($G$1279=0,0,G702/$G$1279*100)</f>
      </c>
      <c r="I702" s="12" t="str">
        <f>IF(O702-C702&gt;0,O702-C702,"")</f>
        <v/>
      </c>
      <c r="J702" s="14" t="str">
        <f>IF(I702="","",F702*I702)</f>
        <v/>
      </c>
      <c r="K702" s="15">
        <f>IF(OR(J702="",$G$1279=0),"",J702/$G$1279*100)</f>
      </c>
      <c r="L702" s="12" t="str">
        <f>IF(C702-O702&gt;0,C702-O702,"")</f>
        <v/>
      </c>
      <c r="M702" s="14" t="str">
        <f>IF(L702="","",F702*L702)</f>
        <v/>
      </c>
      <c r="N702" s="15">
        <f>IF(OR(M702="",$G$1279=0),"",M702/$G$1279*100)</f>
      </c>
      <c r="O702" s="12">
        <v>73.98</v>
      </c>
      <c r="P702" s="14">
        <f>F702*O702</f>
        <v>1424291.8122</v>
      </c>
      <c r="Q702" s="15">
        <f>IF($P$1279=0,0,P702/$P$1279*100)</f>
      </c>
      <c r="R702" s="10" t="str">
        <f>IF(O702=C702,"TETAP",IF(C702=0,"BARU",IF(O702=0,"HAPUS",IF(O702&gt;C702,"TAMBAH","KURANG"))))</f>
        <v>TETAP</v>
      </c>
    </row>
    <row r="703" spans="1:18" x14ac:dyDescent="0.25">
      <c r="A703" s="10" t="s">
        <v>289</v>
      </c>
      <c r="B703" s="18" t="s">
        <v>364</v>
      </c>
      <c r="C703" s="12">
        <v>66.66</v>
      </c>
      <c r="D703" s="12">
        <v>0</v>
      </c>
      <c r="E703" s="10" t="s">
        <v>169</v>
      </c>
      <c r="F703" s="14">
        <v>19252.39</v>
      </c>
      <c r="G703" s="14">
        <f>F703*C703</f>
        <v>1283364.3173999998</v>
      </c>
      <c r="H703" s="15">
        <f>IF($G$1279=0,0,G703/$G$1279*100)</f>
      </c>
      <c r="I703" s="12" t="str">
        <f>IF(O703-C703&gt;0,O703-C703,"")</f>
        <v/>
      </c>
      <c r="J703" s="14" t="str">
        <f>IF(I703="","",F703*I703)</f>
        <v/>
      </c>
      <c r="K703" s="15">
        <f>IF(OR(J703="",$G$1279=0),"",J703/$G$1279*100)</f>
      </c>
      <c r="L703" s="12" t="str">
        <f>IF(C703-O703&gt;0,C703-O703,"")</f>
        <v/>
      </c>
      <c r="M703" s="14" t="str">
        <f>IF(L703="","",F703*L703)</f>
        <v/>
      </c>
      <c r="N703" s="15">
        <f>IF(OR(M703="",$G$1279=0),"",M703/$G$1279*100)</f>
      </c>
      <c r="O703" s="12">
        <v>66.66</v>
      </c>
      <c r="P703" s="14">
        <f>F703*O703</f>
        <v>1283364.3173999998</v>
      </c>
      <c r="Q703" s="15">
        <f>IF($P$1279=0,0,P703/$P$1279*100)</f>
      </c>
      <c r="R703" s="10" t="str">
        <f>IF(O703=C703,"TETAP",IF(C703=0,"BARU",IF(O703=0,"HAPUS",IF(O703&gt;C703,"TAMBAH","KURANG"))))</f>
        <v>TETAP</v>
      </c>
    </row>
    <row r="704" spans="1:18" x14ac:dyDescent="0.25">
      <c r="A704" s="10" t="s">
        <v>290</v>
      </c>
      <c r="B704" s="18" t="s">
        <v>587</v>
      </c>
      <c r="C704" s="12">
        <v>1.68</v>
      </c>
      <c r="D704" s="12">
        <v>0</v>
      </c>
      <c r="E704" s="10" t="s">
        <v>159</v>
      </c>
      <c r="F704" s="14">
        <v>1399567.05</v>
      </c>
      <c r="G704" s="14">
        <f>F704*C704</f>
        <v>2351272.644</v>
      </c>
      <c r="H704" s="15">
        <f>IF($G$1279=0,0,G704/$G$1279*100)</f>
      </c>
      <c r="I704" s="12" t="str">
        <f>IF(O704-C704&gt;0,O704-C704,"")</f>
        <v/>
      </c>
      <c r="J704" s="14" t="str">
        <f>IF(I704="","",F704*I704)</f>
        <v/>
      </c>
      <c r="K704" s="15">
        <f>IF(OR(J704="",$G$1279=0),"",J704/$G$1279*100)</f>
      </c>
      <c r="L704" s="12" t="str">
        <f>IF(C704-O704&gt;0,C704-O704,"")</f>
        <v/>
      </c>
      <c r="M704" s="14" t="str">
        <f>IF(L704="","",F704*L704)</f>
        <v/>
      </c>
      <c r="N704" s="15">
        <f>IF(OR(M704="",$G$1279=0),"",M704/$G$1279*100)</f>
      </c>
      <c r="O704" s="12">
        <v>1.68</v>
      </c>
      <c r="P704" s="14">
        <f>F704*O704</f>
        <v>2351272.644</v>
      </c>
      <c r="Q704" s="15">
        <f>IF($P$1279=0,0,P704/$P$1279*100)</f>
      </c>
      <c r="R704" s="10" t="str">
        <f>IF(O704=C704,"TETAP",IF(C704=0,"BARU",IF(O704=0,"HAPUS",IF(O704&gt;C704,"TAMBAH","KURANG"))))</f>
        <v>TETAP</v>
      </c>
    </row>
    <row r="705" spans="1:18" x14ac:dyDescent="0.25">
      <c r="A705" s="5" t="s">
        <v>115</v>
      </c>
      <c r="B705" s="17" t="s">
        <v>378</v>
      </c>
      <c r="C705" s="7"/>
      <c r="D705" s="7"/>
      <c r="E705" s="5"/>
      <c r="F705" s="8"/>
      <c r="G705" s="8"/>
      <c r="H705" s="9"/>
      <c r="I705" s="7"/>
      <c r="J705" s="8"/>
      <c r="K705" s="9"/>
      <c r="L705" s="7"/>
      <c r="M705" s="8"/>
      <c r="N705" s="9"/>
      <c r="O705" s="7"/>
      <c r="P705" s="8"/>
      <c r="Q705" s="9"/>
      <c r="R705" s="5"/>
    </row>
    <row r="706" spans="1:18" x14ac:dyDescent="0.25">
      <c r="A706" s="10" t="s">
        <v>117</v>
      </c>
      <c r="B706" s="18" t="s">
        <v>252</v>
      </c>
      <c r="C706" s="12">
        <v>14.85</v>
      </c>
      <c r="D706" s="12">
        <v>0</v>
      </c>
      <c r="E706" s="10" t="s">
        <v>26</v>
      </c>
      <c r="F706" s="14">
        <v>236600.08</v>
      </c>
      <c r="G706" s="14">
        <f>F706*C706</f>
        <v>3513511.1879999996</v>
      </c>
      <c r="H706" s="15">
        <f>IF($G$1279=0,0,G706/$G$1279*100)</f>
      </c>
      <c r="I706" s="12" t="str">
        <f>IF(O706-C706&gt;0,O706-C706,"")</f>
        <v/>
      </c>
      <c r="J706" s="14" t="str">
        <f>IF(I706="","",F706*I706)</f>
        <v/>
      </c>
      <c r="K706" s="15">
        <f>IF(OR(J706="",$G$1279=0),"",J706/$G$1279*100)</f>
      </c>
      <c r="L706" s="12" t="str">
        <f>IF(C706-O706&gt;0,C706-O706,"")</f>
        <v/>
      </c>
      <c r="M706" s="14" t="str">
        <f>IF(L706="","",F706*L706)</f>
        <v/>
      </c>
      <c r="N706" s="15">
        <f>IF(OR(M706="",$G$1279=0),"",M706/$G$1279*100)</f>
      </c>
      <c r="O706" s="12">
        <v>14.85</v>
      </c>
      <c r="P706" s="14">
        <f>F706*O706</f>
        <v>3513511.1879999996</v>
      </c>
      <c r="Q706" s="15">
        <f>IF($P$1279=0,0,P706/$P$1279*100)</f>
      </c>
      <c r="R706" s="10" t="str">
        <f>IF(O706=C706,"TETAP",IF(C706=0,"BARU",IF(O706=0,"HAPUS",IF(O706&gt;C706,"TAMBAH","KURANG"))))</f>
        <v>TETAP</v>
      </c>
    </row>
    <row r="707" spans="1:18" x14ac:dyDescent="0.25">
      <c r="A707" s="10" t="s">
        <v>120</v>
      </c>
      <c r="B707" s="18" t="s">
        <v>363</v>
      </c>
      <c r="C707" s="12">
        <v>50.86</v>
      </c>
      <c r="D707" s="12">
        <v>0</v>
      </c>
      <c r="E707" s="10" t="s">
        <v>169</v>
      </c>
      <c r="F707" s="14">
        <v>19252.39</v>
      </c>
      <c r="G707" s="14">
        <f>F707*C707</f>
        <v>979176.5554</v>
      </c>
      <c r="H707" s="15">
        <f>IF($G$1279=0,0,G707/$G$1279*100)</f>
      </c>
      <c r="I707" s="12" t="str">
        <f>IF(O707-C707&gt;0,O707-C707,"")</f>
        <v/>
      </c>
      <c r="J707" s="14" t="str">
        <f>IF(I707="","",F707*I707)</f>
        <v/>
      </c>
      <c r="K707" s="15">
        <f>IF(OR(J707="",$G$1279=0),"",J707/$G$1279*100)</f>
      </c>
      <c r="L707" s="12" t="str">
        <f>IF(C707-O707&gt;0,C707-O707,"")</f>
        <v/>
      </c>
      <c r="M707" s="14" t="str">
        <f>IF(L707="","",F707*L707)</f>
        <v/>
      </c>
      <c r="N707" s="15">
        <f>IF(OR(M707="",$G$1279=0),"",M707/$G$1279*100)</f>
      </c>
      <c r="O707" s="12">
        <v>50.86</v>
      </c>
      <c r="P707" s="14">
        <f>F707*O707</f>
        <v>979176.5554</v>
      </c>
      <c r="Q707" s="15">
        <f>IF($P$1279=0,0,P707/$P$1279*100)</f>
      </c>
      <c r="R707" s="10" t="str">
        <f>IF(O707=C707,"TETAP",IF(C707=0,"BARU",IF(O707=0,"HAPUS",IF(O707&gt;C707,"TAMBAH","KURANG"))))</f>
        <v>TETAP</v>
      </c>
    </row>
    <row r="708" spans="1:18" x14ac:dyDescent="0.25">
      <c r="A708" s="10" t="s">
        <v>122</v>
      </c>
      <c r="B708" s="18" t="s">
        <v>364</v>
      </c>
      <c r="C708" s="12">
        <v>45.83</v>
      </c>
      <c r="D708" s="12">
        <v>0</v>
      </c>
      <c r="E708" s="10" t="s">
        <v>169</v>
      </c>
      <c r="F708" s="14">
        <v>19252.39</v>
      </c>
      <c r="G708" s="14">
        <f>F708*C708</f>
        <v>882337.0336999999</v>
      </c>
      <c r="H708" s="15">
        <f>IF($G$1279=0,0,G708/$G$1279*100)</f>
      </c>
      <c r="I708" s="12" t="str">
        <f>IF(O708-C708&gt;0,O708-C708,"")</f>
        <v/>
      </c>
      <c r="J708" s="14" t="str">
        <f>IF(I708="","",F708*I708)</f>
        <v/>
      </c>
      <c r="K708" s="15">
        <f>IF(OR(J708="",$G$1279=0),"",J708/$G$1279*100)</f>
      </c>
      <c r="L708" s="12" t="str">
        <f>IF(C708-O708&gt;0,C708-O708,"")</f>
        <v/>
      </c>
      <c r="M708" s="14" t="str">
        <f>IF(L708="","",F708*L708)</f>
        <v/>
      </c>
      <c r="N708" s="15">
        <f>IF(OR(M708="",$G$1279=0),"",M708/$G$1279*100)</f>
      </c>
      <c r="O708" s="12">
        <v>45.83</v>
      </c>
      <c r="P708" s="14">
        <f>F708*O708</f>
        <v>882337.0336999999</v>
      </c>
      <c r="Q708" s="15">
        <f>IF($P$1279=0,0,P708/$P$1279*100)</f>
      </c>
      <c r="R708" s="10" t="str">
        <f>IF(O708=C708,"TETAP",IF(C708=0,"BARU",IF(O708=0,"HAPUS",IF(O708&gt;C708,"TAMBAH","KURANG"))))</f>
        <v>TETAP</v>
      </c>
    </row>
    <row r="709" spans="1:18" x14ac:dyDescent="0.25">
      <c r="A709" s="10" t="s">
        <v>124</v>
      </c>
      <c r="B709" s="18" t="s">
        <v>587</v>
      </c>
      <c r="C709" s="12">
        <v>1.16</v>
      </c>
      <c r="D709" s="12">
        <v>0</v>
      </c>
      <c r="E709" s="10" t="s">
        <v>159</v>
      </c>
      <c r="F709" s="14">
        <v>1399567.05</v>
      </c>
      <c r="G709" s="14">
        <f>F709*C709</f>
        <v>1623497.778</v>
      </c>
      <c r="H709" s="15">
        <f>IF($G$1279=0,0,G709/$G$1279*100)</f>
      </c>
      <c r="I709" s="12" t="str">
        <f>IF(O709-C709&gt;0,O709-C709,"")</f>
        <v/>
      </c>
      <c r="J709" s="14" t="str">
        <f>IF(I709="","",F709*I709)</f>
        <v/>
      </c>
      <c r="K709" s="15">
        <f>IF(OR(J709="",$G$1279=0),"",J709/$G$1279*100)</f>
      </c>
      <c r="L709" s="12" t="str">
        <f>IF(C709-O709&gt;0,C709-O709,"")</f>
        <v/>
      </c>
      <c r="M709" s="14" t="str">
        <f>IF(L709="","",F709*L709)</f>
        <v/>
      </c>
      <c r="N709" s="15">
        <f>IF(OR(M709="",$G$1279=0),"",M709/$G$1279*100)</f>
      </c>
      <c r="O709" s="12">
        <v>1.16</v>
      </c>
      <c r="P709" s="14">
        <f>F709*O709</f>
        <v>1623497.778</v>
      </c>
      <c r="Q709" s="15">
        <f>IF($P$1279=0,0,P709/$P$1279*100)</f>
      </c>
      <c r="R709" s="10" t="str">
        <f>IF(O709=C709,"TETAP",IF(C709=0,"BARU",IF(O709=0,"HAPUS",IF(O709&gt;C709,"TAMBAH","KURANG"))))</f>
        <v>TETAP</v>
      </c>
    </row>
    <row r="710" spans="1:18" x14ac:dyDescent="0.25">
      <c r="A710" s="5" t="s">
        <v>132</v>
      </c>
      <c r="B710" s="17" t="s">
        <v>379</v>
      </c>
      <c r="C710" s="7"/>
      <c r="D710" s="7"/>
      <c r="E710" s="5"/>
      <c r="F710" s="8"/>
      <c r="G710" s="8"/>
      <c r="H710" s="9"/>
      <c r="I710" s="7"/>
      <c r="J710" s="8"/>
      <c r="K710" s="9"/>
      <c r="L710" s="7"/>
      <c r="M710" s="8"/>
      <c r="N710" s="9"/>
      <c r="O710" s="7"/>
      <c r="P710" s="8"/>
      <c r="Q710" s="9"/>
      <c r="R710" s="5"/>
    </row>
    <row r="711" spans="1:18" x14ac:dyDescent="0.25">
      <c r="A711" s="10" t="s">
        <v>134</v>
      </c>
      <c r="B711" s="18" t="s">
        <v>252</v>
      </c>
      <c r="C711" s="12">
        <v>8.1</v>
      </c>
      <c r="D711" s="12">
        <v>0</v>
      </c>
      <c r="E711" s="10" t="s">
        <v>26</v>
      </c>
      <c r="F711" s="14">
        <v>236600.08</v>
      </c>
      <c r="G711" s="14">
        <f>F711*C711</f>
        <v>1916460.6479999998</v>
      </c>
      <c r="H711" s="15">
        <f>IF($G$1279=0,0,G711/$G$1279*100)</f>
      </c>
      <c r="I711" s="12" t="str">
        <f>IF(O711-C711&gt;0,O711-C711,"")</f>
        <v/>
      </c>
      <c r="J711" s="14" t="str">
        <f>IF(I711="","",F711*I711)</f>
        <v/>
      </c>
      <c r="K711" s="15">
        <f>IF(OR(J711="",$G$1279=0),"",J711/$G$1279*100)</f>
      </c>
      <c r="L711" s="12" t="str">
        <f>IF(C711-O711&gt;0,C711-O711,"")</f>
        <v/>
      </c>
      <c r="M711" s="14" t="str">
        <f>IF(L711="","",F711*L711)</f>
        <v/>
      </c>
      <c r="N711" s="15">
        <f>IF(OR(M711="",$G$1279=0),"",M711/$G$1279*100)</f>
      </c>
      <c r="O711" s="12">
        <v>8.1</v>
      </c>
      <c r="P711" s="14">
        <f>F711*O711</f>
        <v>1916460.6479999998</v>
      </c>
      <c r="Q711" s="15">
        <f>IF($P$1279=0,0,P711/$P$1279*100)</f>
      </c>
      <c r="R711" s="10" t="str">
        <f>IF(O711=C711,"TETAP",IF(C711=0,"BARU",IF(O711=0,"HAPUS",IF(O711&gt;C711,"TAMBAH","KURANG"))))</f>
        <v>TETAP</v>
      </c>
    </row>
    <row r="712" spans="1:18" x14ac:dyDescent="0.25">
      <c r="A712" s="10" t="s">
        <v>136</v>
      </c>
      <c r="B712" s="18" t="s">
        <v>363</v>
      </c>
      <c r="C712" s="12">
        <v>44.39</v>
      </c>
      <c r="D712" s="12">
        <v>0</v>
      </c>
      <c r="E712" s="10" t="s">
        <v>169</v>
      </c>
      <c r="F712" s="14">
        <v>19252.39</v>
      </c>
      <c r="G712" s="14">
        <f>F712*C712</f>
        <v>854613.5921</v>
      </c>
      <c r="H712" s="15">
        <f>IF($G$1279=0,0,G712/$G$1279*100)</f>
      </c>
      <c r="I712" s="12" t="str">
        <f>IF(O712-C712&gt;0,O712-C712,"")</f>
        <v/>
      </c>
      <c r="J712" s="14" t="str">
        <f>IF(I712="","",F712*I712)</f>
        <v/>
      </c>
      <c r="K712" s="15">
        <f>IF(OR(J712="",$G$1279=0),"",J712/$G$1279*100)</f>
      </c>
      <c r="L712" s="12" t="str">
        <f>IF(C712-O712&gt;0,C712-O712,"")</f>
        <v/>
      </c>
      <c r="M712" s="14" t="str">
        <f>IF(L712="","",F712*L712)</f>
        <v/>
      </c>
      <c r="N712" s="15">
        <f>IF(OR(M712="",$G$1279=0),"",M712/$G$1279*100)</f>
      </c>
      <c r="O712" s="12">
        <v>44.39</v>
      </c>
      <c r="P712" s="14">
        <f>F712*O712</f>
        <v>854613.5921</v>
      </c>
      <c r="Q712" s="15">
        <f>IF($P$1279=0,0,P712/$P$1279*100)</f>
      </c>
      <c r="R712" s="10" t="str">
        <f>IF(O712=C712,"TETAP",IF(C712=0,"BARU",IF(O712=0,"HAPUS",IF(O712&gt;C712,"TAMBAH","KURANG"))))</f>
        <v>TETAP</v>
      </c>
    </row>
    <row r="713" spans="1:18" x14ac:dyDescent="0.25">
      <c r="A713" s="10" t="s">
        <v>381</v>
      </c>
      <c r="B713" s="18" t="s">
        <v>364</v>
      </c>
      <c r="C713" s="12">
        <v>28.41</v>
      </c>
      <c r="D713" s="12">
        <v>0</v>
      </c>
      <c r="E713" s="10" t="s">
        <v>169</v>
      </c>
      <c r="F713" s="14">
        <v>19252.39</v>
      </c>
      <c r="G713" s="14">
        <f>F713*C713</f>
        <v>546960.3999</v>
      </c>
      <c r="H713" s="15">
        <f>IF($G$1279=0,0,G713/$G$1279*100)</f>
      </c>
      <c r="I713" s="12" t="str">
        <f>IF(O713-C713&gt;0,O713-C713,"")</f>
        <v/>
      </c>
      <c r="J713" s="14" t="str">
        <f>IF(I713="","",F713*I713)</f>
        <v/>
      </c>
      <c r="K713" s="15">
        <f>IF(OR(J713="",$G$1279=0),"",J713/$G$1279*100)</f>
      </c>
      <c r="L713" s="12" t="str">
        <f>IF(C713-O713&gt;0,C713-O713,"")</f>
        <v/>
      </c>
      <c r="M713" s="14" t="str">
        <f>IF(L713="","",F713*L713)</f>
        <v/>
      </c>
      <c r="N713" s="15">
        <f>IF(OR(M713="",$G$1279=0),"",M713/$G$1279*100)</f>
      </c>
      <c r="O713" s="12">
        <v>28.41</v>
      </c>
      <c r="P713" s="14">
        <f>F713*O713</f>
        <v>546960.3999</v>
      </c>
      <c r="Q713" s="15">
        <f>IF($P$1279=0,0,P713/$P$1279*100)</f>
      </c>
      <c r="R713" s="10" t="str">
        <f>IF(O713=C713,"TETAP",IF(C713=0,"BARU",IF(O713=0,"HAPUS",IF(O713&gt;C713,"TAMBAH","KURANG"))))</f>
        <v>TETAP</v>
      </c>
    </row>
    <row r="714" spans="1:18" x14ac:dyDescent="0.25">
      <c r="A714" s="10" t="s">
        <v>382</v>
      </c>
      <c r="B714" s="18" t="s">
        <v>587</v>
      </c>
      <c r="C714" s="12">
        <v>0.41</v>
      </c>
      <c r="D714" s="12">
        <v>0</v>
      </c>
      <c r="E714" s="10" t="s">
        <v>159</v>
      </c>
      <c r="F714" s="14">
        <v>1399567.05</v>
      </c>
      <c r="G714" s="14">
        <f>F714*C714</f>
        <v>573822.4905</v>
      </c>
      <c r="H714" s="15">
        <f>IF($G$1279=0,0,G714/$G$1279*100)</f>
      </c>
      <c r="I714" s="12" t="str">
        <f>IF(O714-C714&gt;0,O714-C714,"")</f>
        <v/>
      </c>
      <c r="J714" s="14" t="str">
        <f>IF(I714="","",F714*I714)</f>
        <v/>
      </c>
      <c r="K714" s="15">
        <f>IF(OR(J714="",$G$1279=0),"",J714/$G$1279*100)</f>
      </c>
      <c r="L714" s="12" t="str">
        <f>IF(C714-O714&gt;0,C714-O714,"")</f>
        <v/>
      </c>
      <c r="M714" s="14" t="str">
        <f>IF(L714="","",F714*L714)</f>
        <v/>
      </c>
      <c r="N714" s="15">
        <f>IF(OR(M714="",$G$1279=0),"",M714/$G$1279*100)</f>
      </c>
      <c r="O714" s="12">
        <v>0.41</v>
      </c>
      <c r="P714" s="14">
        <f>F714*O714</f>
        <v>573822.4905</v>
      </c>
      <c r="Q714" s="15">
        <f>IF($P$1279=0,0,P714/$P$1279*100)</f>
      </c>
      <c r="R714" s="10" t="str">
        <f>IF(O714=C714,"TETAP",IF(C714=0,"BARU",IF(O714=0,"HAPUS",IF(O714&gt;C714,"TAMBAH","KURANG"))))</f>
        <v>TETAP</v>
      </c>
    </row>
    <row r="715" spans="1:18" x14ac:dyDescent="0.25">
      <c r="A715" s="5" t="s">
        <v>138</v>
      </c>
      <c r="B715" s="17" t="s">
        <v>365</v>
      </c>
      <c r="C715" s="7"/>
      <c r="D715" s="7"/>
      <c r="E715" s="5"/>
      <c r="F715" s="8"/>
      <c r="G715" s="8"/>
      <c r="H715" s="9"/>
      <c r="I715" s="7"/>
      <c r="J715" s="8"/>
      <c r="K715" s="9"/>
      <c r="L715" s="7"/>
      <c r="M715" s="8"/>
      <c r="N715" s="9"/>
      <c r="O715" s="7"/>
      <c r="P715" s="8"/>
      <c r="Q715" s="9"/>
      <c r="R715" s="5"/>
    </row>
    <row r="716" spans="1:18" x14ac:dyDescent="0.25">
      <c r="A716" s="10" t="s">
        <v>140</v>
      </c>
      <c r="B716" s="18" t="s">
        <v>366</v>
      </c>
      <c r="C716" s="12">
        <v>4.95</v>
      </c>
      <c r="D716" s="12">
        <v>0</v>
      </c>
      <c r="E716" s="10" t="s">
        <v>159</v>
      </c>
      <c r="F716" s="14">
        <v>211003.3</v>
      </c>
      <c r="G716" s="14">
        <f>F716*C716</f>
        <v>1044466.335</v>
      </c>
      <c r="H716" s="15">
        <f>IF($G$1279=0,0,G716/$G$1279*100)</f>
      </c>
      <c r="I716" s="12" t="str">
        <f>IF(O716-C716&gt;0,O716-C716,"")</f>
        <v/>
      </c>
      <c r="J716" s="14" t="str">
        <f>IF(I716="","",F716*I716)</f>
        <v/>
      </c>
      <c r="K716" s="15">
        <f>IF(OR(J716="",$G$1279=0),"",J716/$G$1279*100)</f>
      </c>
      <c r="L716" s="12" t="str">
        <f>IF(C716-O716&gt;0,C716-O716,"")</f>
        <v/>
      </c>
      <c r="M716" s="14" t="str">
        <f>IF(L716="","",F716*L716)</f>
        <v/>
      </c>
      <c r="N716" s="15">
        <f>IF(OR(M716="",$G$1279=0),"",M716/$G$1279*100)</f>
      </c>
      <c r="O716" s="12">
        <v>4.95</v>
      </c>
      <c r="P716" s="14">
        <f>F716*O716</f>
        <v>1044466.335</v>
      </c>
      <c r="Q716" s="15">
        <f>IF($P$1279=0,0,P716/$P$1279*100)</f>
      </c>
      <c r="R716" s="10" t="str">
        <f>IF(O716=C716,"TETAP",IF(C716=0,"BARU",IF(O716=0,"HAPUS",IF(O716&gt;C716,"TAMBAH","KURANG"))))</f>
        <v>TETAP</v>
      </c>
    </row>
    <row r="717" spans="1:18" x14ac:dyDescent="0.25">
      <c r="A717" s="10" t="s">
        <v>142</v>
      </c>
      <c r="B717" s="18" t="s">
        <v>367</v>
      </c>
      <c r="C717" s="12">
        <v>4.95</v>
      </c>
      <c r="D717" s="12">
        <v>0</v>
      </c>
      <c r="E717" s="10" t="s">
        <v>159</v>
      </c>
      <c r="F717" s="14">
        <v>39994.39</v>
      </c>
      <c r="G717" s="14">
        <f>F717*C717</f>
        <v>197972.2305</v>
      </c>
      <c r="H717" s="15">
        <f>IF($G$1279=0,0,G717/$G$1279*100)</f>
      </c>
      <c r="I717" s="12" t="str">
        <f>IF(O717-C717&gt;0,O717-C717,"")</f>
        <v/>
      </c>
      <c r="J717" s="14" t="str">
        <f>IF(I717="","",F717*I717)</f>
        <v/>
      </c>
      <c r="K717" s="15">
        <f>IF(OR(J717="",$G$1279=0),"",J717/$G$1279*100)</f>
      </c>
      <c r="L717" s="12" t="str">
        <f>IF(C717-O717&gt;0,C717-O717,"")</f>
        <v/>
      </c>
      <c r="M717" s="14" t="str">
        <f>IF(L717="","",F717*L717)</f>
        <v/>
      </c>
      <c r="N717" s="15">
        <f>IF(OR(M717="",$G$1279=0),"",M717/$G$1279*100)</f>
      </c>
      <c r="O717" s="12">
        <v>4.95</v>
      </c>
      <c r="P717" s="14">
        <f>F717*O717</f>
        <v>197972.2305</v>
      </c>
      <c r="Q717" s="15">
        <f>IF($P$1279=0,0,P717/$P$1279*100)</f>
      </c>
      <c r="R717" s="10" t="str">
        <f>IF(O717=C717,"TETAP",IF(C717=0,"BARU",IF(O717=0,"HAPUS",IF(O717&gt;C717,"TAMBAH","KURANG"))))</f>
        <v>TETAP</v>
      </c>
    </row>
    <row r="718" spans="1:18" x14ac:dyDescent="0.25">
      <c r="A718" s="10" t="s">
        <v>512</v>
      </c>
      <c r="B718" s="18" t="s">
        <v>368</v>
      </c>
      <c r="C718" s="12">
        <v>1.8</v>
      </c>
      <c r="D718" s="12">
        <v>0</v>
      </c>
      <c r="E718" s="10" t="s">
        <v>159</v>
      </c>
      <c r="F718" s="14">
        <v>342654.98</v>
      </c>
      <c r="G718" s="14">
        <f>F718*C718</f>
        <v>616778.964</v>
      </c>
      <c r="H718" s="15">
        <f>IF($G$1279=0,0,G718/$G$1279*100)</f>
      </c>
      <c r="I718" s="12" t="str">
        <f>IF(O718-C718&gt;0,O718-C718,"")</f>
        <v/>
      </c>
      <c r="J718" s="14" t="str">
        <f>IF(I718="","",F718*I718)</f>
        <v/>
      </c>
      <c r="K718" s="15">
        <f>IF(OR(J718="",$G$1279=0),"",J718/$G$1279*100)</f>
      </c>
      <c r="L718" s="12" t="str">
        <f>IF(C718-O718&gt;0,C718-O718,"")</f>
        <v/>
      </c>
      <c r="M718" s="14" t="str">
        <f>IF(L718="","",F718*L718)</f>
        <v/>
      </c>
      <c r="N718" s="15">
        <f>IF(OR(M718="",$G$1279=0),"",M718/$G$1279*100)</f>
      </c>
      <c r="O718" s="12">
        <v>1.8</v>
      </c>
      <c r="P718" s="14">
        <f>F718*O718</f>
        <v>616778.964</v>
      </c>
      <c r="Q718" s="15">
        <f>IF($P$1279=0,0,P718/$P$1279*100)</f>
      </c>
      <c r="R718" s="10" t="str">
        <f>IF(O718=C718,"TETAP",IF(C718=0,"BARU",IF(O718=0,"HAPUS",IF(O718&gt;C718,"TAMBAH","KURANG"))))</f>
        <v>TETAP</v>
      </c>
    </row>
    <row r="719" spans="1:18" x14ac:dyDescent="0.25">
      <c r="A719" s="10" t="s">
        <v>514</v>
      </c>
      <c r="B719" s="18" t="s">
        <v>465</v>
      </c>
      <c r="C719" s="12">
        <v>1.8</v>
      </c>
      <c r="D719" s="12">
        <v>0</v>
      </c>
      <c r="E719" s="10" t="s">
        <v>159</v>
      </c>
      <c r="F719" s="14">
        <v>1243301.43</v>
      </c>
      <c r="G719" s="14">
        <f>F719*C719</f>
        <v>2237942.574</v>
      </c>
      <c r="H719" s="15">
        <f>IF($G$1279=0,0,G719/$G$1279*100)</f>
      </c>
      <c r="I719" s="12" t="str">
        <f>IF(O719-C719&gt;0,O719-C719,"")</f>
        <v/>
      </c>
      <c r="J719" s="14" t="str">
        <f>IF(I719="","",F719*I719)</f>
        <v/>
      </c>
      <c r="K719" s="15">
        <f>IF(OR(J719="",$G$1279=0),"",J719/$G$1279*100)</f>
      </c>
      <c r="L719" s="12" t="str">
        <f>IF(C719-O719&gt;0,C719-O719,"")</f>
        <v/>
      </c>
      <c r="M719" s="14" t="str">
        <f>IF(L719="","",F719*L719)</f>
        <v/>
      </c>
      <c r="N719" s="15">
        <f>IF(OR(M719="",$G$1279=0),"",M719/$G$1279*100)</f>
      </c>
      <c r="O719" s="12">
        <v>1.8</v>
      </c>
      <c r="P719" s="14">
        <f>F719*O719</f>
        <v>2237942.574</v>
      </c>
      <c r="Q719" s="15">
        <f>IF($P$1279=0,0,P719/$P$1279*100)</f>
      </c>
      <c r="R719" s="10" t="str">
        <f>IF(O719=C719,"TETAP",IF(C719=0,"BARU",IF(O719=0,"HAPUS",IF(O719&gt;C719,"TAMBAH","KURANG"))))</f>
        <v>TETAP</v>
      </c>
    </row>
    <row r="720" spans="1:18" x14ac:dyDescent="0.25">
      <c r="A720" s="5" t="s">
        <v>144</v>
      </c>
      <c r="B720" s="17" t="s">
        <v>588</v>
      </c>
      <c r="C720" s="7"/>
      <c r="D720" s="7"/>
      <c r="E720" s="5"/>
      <c r="F720" s="8"/>
      <c r="G720" s="8"/>
      <c r="H720" s="9"/>
      <c r="I720" s="7"/>
      <c r="J720" s="8"/>
      <c r="K720" s="9"/>
      <c r="L720" s="7"/>
      <c r="M720" s="8"/>
      <c r="N720" s="9"/>
      <c r="O720" s="7"/>
      <c r="P720" s="8"/>
      <c r="Q720" s="9"/>
      <c r="R720" s="5"/>
    </row>
    <row r="721" spans="1:18" x14ac:dyDescent="0.25">
      <c r="A721" s="10" t="s">
        <v>146</v>
      </c>
      <c r="B721" s="18" t="s">
        <v>406</v>
      </c>
      <c r="C721" s="12">
        <v>0.77</v>
      </c>
      <c r="D721" s="12">
        <v>0</v>
      </c>
      <c r="E721" s="10" t="s">
        <v>159</v>
      </c>
      <c r="F721" s="14">
        <v>48730.7</v>
      </c>
      <c r="G721" s="14">
        <f>F721*C721</f>
        <v>37522.638999999996</v>
      </c>
      <c r="H721" s="15">
        <f>IF($G$1279=0,0,G721/$G$1279*100)</f>
      </c>
      <c r="I721" s="12" t="str">
        <f>IF(O721-C721&gt;0,O721-C721,"")</f>
        <v/>
      </c>
      <c r="J721" s="14" t="str">
        <f>IF(I721="","",F721*I721)</f>
        <v/>
      </c>
      <c r="K721" s="15">
        <f>IF(OR(J721="",$G$1279=0),"",J721/$G$1279*100)</f>
      </c>
      <c r="L721" s="12" t="str">
        <f>IF(C721-O721&gt;0,C721-O721,"")</f>
        <v/>
      </c>
      <c r="M721" s="14" t="str">
        <f>IF(L721="","",F721*L721)</f>
        <v/>
      </c>
      <c r="N721" s="15">
        <f>IF(OR(M721="",$G$1279=0),"",M721/$G$1279*100)</f>
      </c>
      <c r="O721" s="12">
        <v>0.77</v>
      </c>
      <c r="P721" s="14">
        <f>F721*O721</f>
        <v>37522.638999999996</v>
      </c>
      <c r="Q721" s="15">
        <f>IF($P$1279=0,0,P721/$P$1279*100)</f>
      </c>
      <c r="R721" s="10" t="str">
        <f>IF(O721=C721,"TETAP",IF(C721=0,"BARU",IF(O721=0,"HAPUS",IF(O721&gt;C721,"TAMBAH","KURANG"))))</f>
        <v>TETAP</v>
      </c>
    </row>
    <row r="722" spans="1:18" x14ac:dyDescent="0.25">
      <c r="A722" s="10" t="s">
        <v>148</v>
      </c>
      <c r="B722" s="18" t="s">
        <v>407</v>
      </c>
      <c r="C722" s="12">
        <v>11.2</v>
      </c>
      <c r="D722" s="12">
        <v>0</v>
      </c>
      <c r="E722" s="10" t="s">
        <v>26</v>
      </c>
      <c r="F722" s="14">
        <v>164501.03</v>
      </c>
      <c r="G722" s="14">
        <f>F722*C722</f>
        <v>1842411.5359999998</v>
      </c>
      <c r="H722" s="15">
        <f>IF($G$1279=0,0,G722/$G$1279*100)</f>
      </c>
      <c r="I722" s="12" t="str">
        <f>IF(O722-C722&gt;0,O722-C722,"")</f>
        <v/>
      </c>
      <c r="J722" s="14" t="str">
        <f>IF(I722="","",F722*I722)</f>
        <v/>
      </c>
      <c r="K722" s="15">
        <f>IF(OR(J722="",$G$1279=0),"",J722/$G$1279*100)</f>
      </c>
      <c r="L722" s="12" t="str">
        <f>IF(C722-O722&gt;0,C722-O722,"")</f>
        <v/>
      </c>
      <c r="M722" s="14" t="str">
        <f>IF(L722="","",F722*L722)</f>
        <v/>
      </c>
      <c r="N722" s="15">
        <f>IF(OR(M722="",$G$1279=0),"",M722/$G$1279*100)</f>
      </c>
      <c r="O722" s="12">
        <v>11.2</v>
      </c>
      <c r="P722" s="14">
        <f>F722*O722</f>
        <v>1842411.5359999998</v>
      </c>
      <c r="Q722" s="15">
        <f>IF($P$1279=0,0,P722/$P$1279*100)</f>
      </c>
      <c r="R722" s="10" t="str">
        <f>IF(O722=C722,"TETAP",IF(C722=0,"BARU",IF(O722=0,"HAPUS",IF(O722&gt;C722,"TAMBAH","KURANG"))))</f>
        <v>TETAP</v>
      </c>
    </row>
    <row r="723" spans="1:18" x14ac:dyDescent="0.25">
      <c r="A723" s="10" t="s">
        <v>496</v>
      </c>
      <c r="B723" s="18" t="s">
        <v>366</v>
      </c>
      <c r="C723" s="12">
        <v>1.4</v>
      </c>
      <c r="D723" s="12">
        <v>0</v>
      </c>
      <c r="E723" s="10" t="s">
        <v>159</v>
      </c>
      <c r="F723" s="14">
        <v>211003.3</v>
      </c>
      <c r="G723" s="14">
        <f>F723*C723</f>
        <v>295404.61999999994</v>
      </c>
      <c r="H723" s="15">
        <f>IF($G$1279=0,0,G723/$G$1279*100)</f>
      </c>
      <c r="I723" s="12" t="str">
        <f>IF(O723-C723&gt;0,O723-C723,"")</f>
        <v/>
      </c>
      <c r="J723" s="14" t="str">
        <f>IF(I723="","",F723*I723)</f>
        <v/>
      </c>
      <c r="K723" s="15">
        <f>IF(OR(J723="",$G$1279=0),"",J723/$G$1279*100)</f>
      </c>
      <c r="L723" s="12" t="str">
        <f>IF(C723-O723&gt;0,C723-O723,"")</f>
        <v/>
      </c>
      <c r="M723" s="14" t="str">
        <f>IF(L723="","",F723*L723)</f>
        <v/>
      </c>
      <c r="N723" s="15">
        <f>IF(OR(M723="",$G$1279=0),"",M723/$G$1279*100)</f>
      </c>
      <c r="O723" s="12">
        <v>1.4</v>
      </c>
      <c r="P723" s="14">
        <f>F723*O723</f>
        <v>295404.61999999994</v>
      </c>
      <c r="Q723" s="15">
        <f>IF($P$1279=0,0,P723/$P$1279*100)</f>
      </c>
      <c r="R723" s="10" t="str">
        <f>IF(O723=C723,"TETAP",IF(C723=0,"BARU",IF(O723=0,"HAPUS",IF(O723&gt;C723,"TAMBAH","KURANG"))))</f>
        <v>TETAP</v>
      </c>
    </row>
    <row r="724" spans="1:18" x14ac:dyDescent="0.25">
      <c r="A724" s="10" t="s">
        <v>497</v>
      </c>
      <c r="B724" s="18" t="s">
        <v>367</v>
      </c>
      <c r="C724" s="12">
        <v>1.4</v>
      </c>
      <c r="D724" s="12">
        <v>0</v>
      </c>
      <c r="E724" s="10" t="s">
        <v>159</v>
      </c>
      <c r="F724" s="14">
        <v>39994.39</v>
      </c>
      <c r="G724" s="14">
        <f>F724*C724</f>
        <v>55992.14599999999</v>
      </c>
      <c r="H724" s="15">
        <f>IF($G$1279=0,0,G724/$G$1279*100)</f>
      </c>
      <c r="I724" s="12" t="str">
        <f>IF(O724-C724&gt;0,O724-C724,"")</f>
        <v/>
      </c>
      <c r="J724" s="14" t="str">
        <f>IF(I724="","",F724*I724)</f>
        <v/>
      </c>
      <c r="K724" s="15">
        <f>IF(OR(J724="",$G$1279=0),"",J724/$G$1279*100)</f>
      </c>
      <c r="L724" s="12" t="str">
        <f>IF(C724-O724&gt;0,C724-O724,"")</f>
        <v/>
      </c>
      <c r="M724" s="14" t="str">
        <f>IF(L724="","",F724*L724)</f>
        <v/>
      </c>
      <c r="N724" s="15">
        <f>IF(OR(M724="",$G$1279=0),"",M724/$G$1279*100)</f>
      </c>
      <c r="O724" s="12">
        <v>1.4</v>
      </c>
      <c r="P724" s="14">
        <f>F724*O724</f>
        <v>55992.14599999999</v>
      </c>
      <c r="Q724" s="15">
        <f>IF($P$1279=0,0,P724/$P$1279*100)</f>
      </c>
      <c r="R724" s="10" t="str">
        <f>IF(O724=C724,"TETAP",IF(C724=0,"BARU",IF(O724=0,"HAPUS",IF(O724&gt;C724,"TAMBAH","KURANG"))))</f>
        <v>TETAP</v>
      </c>
    </row>
    <row r="725" spans="1:18" x14ac:dyDescent="0.25">
      <c r="A725" s="10" t="s">
        <v>498</v>
      </c>
      <c r="B725" s="18" t="s">
        <v>409</v>
      </c>
      <c r="C725" s="12">
        <v>0.84</v>
      </c>
      <c r="D725" s="12">
        <v>0</v>
      </c>
      <c r="E725" s="10" t="s">
        <v>159</v>
      </c>
      <c r="F725" s="14">
        <v>342654.98</v>
      </c>
      <c r="G725" s="14">
        <f>F725*C725</f>
        <v>287830.18319999997</v>
      </c>
      <c r="H725" s="15">
        <f>IF($G$1279=0,0,G725/$G$1279*100)</f>
      </c>
      <c r="I725" s="12" t="str">
        <f>IF(O725-C725&gt;0,O725-C725,"")</f>
        <v/>
      </c>
      <c r="J725" s="14" t="str">
        <f>IF(I725="","",F725*I725)</f>
        <v/>
      </c>
      <c r="K725" s="15">
        <f>IF(OR(J725="",$G$1279=0),"",J725/$G$1279*100)</f>
      </c>
      <c r="L725" s="12" t="str">
        <f>IF(C725-O725&gt;0,C725-O725,"")</f>
        <v/>
      </c>
      <c r="M725" s="14" t="str">
        <f>IF(L725="","",F725*L725)</f>
        <v/>
      </c>
      <c r="N725" s="15">
        <f>IF(OR(M725="",$G$1279=0),"",M725/$G$1279*100)</f>
      </c>
      <c r="O725" s="12">
        <v>0.84</v>
      </c>
      <c r="P725" s="14">
        <f>F725*O725</f>
        <v>287830.18319999997</v>
      </c>
      <c r="Q725" s="15">
        <f>IF($P$1279=0,0,P725/$P$1279*100)</f>
      </c>
      <c r="R725" s="10" t="str">
        <f>IF(O725=C725,"TETAP",IF(C725=0,"BARU",IF(O725=0,"HAPUS",IF(O725&gt;C725,"TAMBAH","KURANG"))))</f>
        <v>TETAP</v>
      </c>
    </row>
    <row r="726" spans="1:18" x14ac:dyDescent="0.25">
      <c r="A726" s="10" t="s">
        <v>499</v>
      </c>
      <c r="B726" s="18" t="s">
        <v>589</v>
      </c>
      <c r="C726" s="12">
        <v>1.96</v>
      </c>
      <c r="D726" s="12">
        <v>0</v>
      </c>
      <c r="E726" s="10" t="s">
        <v>159</v>
      </c>
      <c r="F726" s="14">
        <v>1243301.43</v>
      </c>
      <c r="G726" s="14">
        <f>F726*C726</f>
        <v>2436870.8027999997</v>
      </c>
      <c r="H726" s="15">
        <f>IF($G$1279=0,0,G726/$G$1279*100)</f>
      </c>
      <c r="I726" s="12" t="str">
        <f>IF(O726-C726&gt;0,O726-C726,"")</f>
        <v/>
      </c>
      <c r="J726" s="14" t="str">
        <f>IF(I726="","",F726*I726)</f>
        <v/>
      </c>
      <c r="K726" s="15">
        <f>IF(OR(J726="",$G$1279=0),"",J726/$G$1279*100)</f>
      </c>
      <c r="L726" s="12" t="str">
        <f>IF(C726-O726&gt;0,C726-O726,"")</f>
        <v/>
      </c>
      <c r="M726" s="14" t="str">
        <f>IF(L726="","",F726*L726)</f>
        <v/>
      </c>
      <c r="N726" s="15">
        <f>IF(OR(M726="",$G$1279=0),"",M726/$G$1279*100)</f>
      </c>
      <c r="O726" s="12">
        <v>1.96</v>
      </c>
      <c r="P726" s="14">
        <f>F726*O726</f>
        <v>2436870.8027999997</v>
      </c>
      <c r="Q726" s="15">
        <f>IF($P$1279=0,0,P726/$P$1279*100)</f>
      </c>
      <c r="R726" s="10" t="str">
        <f>IF(O726=C726,"TETAP",IF(C726=0,"BARU",IF(O726=0,"HAPUS",IF(O726&gt;C726,"TAMBAH","KURANG"))))</f>
        <v>TETAP</v>
      </c>
    </row>
    <row r="727" spans="1:18" x14ac:dyDescent="0.25">
      <c r="A727" s="5" t="s">
        <v>144</v>
      </c>
      <c r="B727" s="17" t="s">
        <v>590</v>
      </c>
      <c r="C727" s="7"/>
      <c r="D727" s="7"/>
      <c r="E727" s="5"/>
      <c r="F727" s="8"/>
      <c r="G727" s="8"/>
      <c r="H727" s="9"/>
      <c r="I727" s="7"/>
      <c r="J727" s="8"/>
      <c r="K727" s="9"/>
      <c r="L727" s="7"/>
      <c r="M727" s="8"/>
      <c r="N727" s="9"/>
      <c r="O727" s="7"/>
      <c r="P727" s="8"/>
      <c r="Q727" s="9"/>
      <c r="R727" s="5"/>
    </row>
    <row r="728" spans="1:18" x14ac:dyDescent="0.25">
      <c r="A728" s="10" t="s">
        <v>146</v>
      </c>
      <c r="B728" s="18" t="s">
        <v>267</v>
      </c>
      <c r="C728" s="12">
        <v>4.46</v>
      </c>
      <c r="D728" s="12">
        <v>0</v>
      </c>
      <c r="E728" s="10" t="s">
        <v>26</v>
      </c>
      <c r="F728" s="14">
        <v>243079.61</v>
      </c>
      <c r="G728" s="14">
        <f>F728*C728</f>
        <v>1084135.0606</v>
      </c>
      <c r="H728" s="15">
        <f>IF($G$1279=0,0,G728/$G$1279*100)</f>
      </c>
      <c r="I728" s="12" t="str">
        <f>IF(O728-C728&gt;0,O728-C728,"")</f>
        <v/>
      </c>
      <c r="J728" s="14" t="str">
        <f>IF(I728="","",F728*I728)</f>
        <v/>
      </c>
      <c r="K728" s="15">
        <f>IF(OR(J728="",$G$1279=0),"",J728/$G$1279*100)</f>
      </c>
      <c r="L728" s="12" t="str">
        <f>IF(C728-O728&gt;0,C728-O728,"")</f>
        <v/>
      </c>
      <c r="M728" s="14" t="str">
        <f>IF(L728="","",F728*L728)</f>
        <v/>
      </c>
      <c r="N728" s="15">
        <f>IF(OR(M728="",$G$1279=0),"",M728/$G$1279*100)</f>
      </c>
      <c r="O728" s="12">
        <v>4.46</v>
      </c>
      <c r="P728" s="14">
        <f>F728*O728</f>
        <v>1084135.0606</v>
      </c>
      <c r="Q728" s="15">
        <f>IF($P$1279=0,0,P728/$P$1279*100)</f>
      </c>
      <c r="R728" s="10" t="str">
        <f>IF(O728=C728,"TETAP",IF(C728=0,"BARU",IF(O728=0,"HAPUS",IF(O728&gt;C728,"TAMBAH","KURANG"))))</f>
        <v>TETAP</v>
      </c>
    </row>
    <row r="729" spans="1:18" x14ac:dyDescent="0.25">
      <c r="A729" s="10" t="s">
        <v>148</v>
      </c>
      <c r="B729" s="18" t="s">
        <v>373</v>
      </c>
      <c r="C729" s="12">
        <v>22.23</v>
      </c>
      <c r="D729" s="12">
        <v>0</v>
      </c>
      <c r="E729" s="10" t="s">
        <v>169</v>
      </c>
      <c r="F729" s="14">
        <v>19252.39</v>
      </c>
      <c r="G729" s="14">
        <f>F729*C729</f>
        <v>427980.6297</v>
      </c>
      <c r="H729" s="15">
        <f>IF($G$1279=0,0,G729/$G$1279*100)</f>
      </c>
      <c r="I729" s="12" t="str">
        <f>IF(O729-C729&gt;0,O729-C729,"")</f>
        <v/>
      </c>
      <c r="J729" s="14" t="str">
        <f>IF(I729="","",F729*I729)</f>
        <v/>
      </c>
      <c r="K729" s="15">
        <f>IF(OR(J729="",$G$1279=0),"",J729/$G$1279*100)</f>
      </c>
      <c r="L729" s="12" t="str">
        <f>IF(C729-O729&gt;0,C729-O729,"")</f>
        <v/>
      </c>
      <c r="M729" s="14" t="str">
        <f>IF(L729="","",F729*L729)</f>
        <v/>
      </c>
      <c r="N729" s="15">
        <f>IF(OR(M729="",$G$1279=0),"",M729/$G$1279*100)</f>
      </c>
      <c r="O729" s="12">
        <v>22.23</v>
      </c>
      <c r="P729" s="14">
        <f>F729*O729</f>
        <v>427980.6297</v>
      </c>
      <c r="Q729" s="15">
        <f>IF($P$1279=0,0,P729/$P$1279*100)</f>
      </c>
      <c r="R729" s="10" t="str">
        <f>IF(O729=C729,"TETAP",IF(C729=0,"BARU",IF(O729=0,"HAPUS",IF(O729&gt;C729,"TAMBAH","KURANG"))))</f>
        <v>TETAP</v>
      </c>
    </row>
    <row r="730" spans="1:18" x14ac:dyDescent="0.25">
      <c r="A730" s="10" t="s">
        <v>496</v>
      </c>
      <c r="B730" s="18" t="s">
        <v>374</v>
      </c>
      <c r="C730" s="12">
        <v>0.32</v>
      </c>
      <c r="D730" s="12">
        <v>0</v>
      </c>
      <c r="E730" s="10" t="s">
        <v>159</v>
      </c>
      <c r="F730" s="14">
        <v>1399567.05</v>
      </c>
      <c r="G730" s="14">
        <f>F730*C730</f>
        <v>447861.456</v>
      </c>
      <c r="H730" s="15">
        <f>IF($G$1279=0,0,G730/$G$1279*100)</f>
      </c>
      <c r="I730" s="12" t="str">
        <f>IF(O730-C730&gt;0,O730-C730,"")</f>
        <v/>
      </c>
      <c r="J730" s="14" t="str">
        <f>IF(I730="","",F730*I730)</f>
        <v/>
      </c>
      <c r="K730" s="15">
        <f>IF(OR(J730="",$G$1279=0),"",J730/$G$1279*100)</f>
      </c>
      <c r="L730" s="12" t="str">
        <f>IF(C730-O730&gt;0,C730-O730,"")</f>
        <v/>
      </c>
      <c r="M730" s="14" t="str">
        <f>IF(L730="","",F730*L730)</f>
        <v/>
      </c>
      <c r="N730" s="15">
        <f>IF(OR(M730="",$G$1279=0),"",M730/$G$1279*100)</f>
      </c>
      <c r="O730" s="12">
        <v>0.32</v>
      </c>
      <c r="P730" s="14">
        <f>F730*O730</f>
        <v>447861.456</v>
      </c>
      <c r="Q730" s="15">
        <f>IF($P$1279=0,0,P730/$P$1279*100)</f>
      </c>
      <c r="R730" s="10" t="str">
        <f>IF(O730=C730,"TETAP",IF(C730=0,"BARU",IF(O730=0,"HAPUS",IF(O730&gt;C730,"TAMBAH","KURANG"))))</f>
        <v>TETAP</v>
      </c>
    </row>
    <row r="731" spans="1:18" x14ac:dyDescent="0.25">
      <c r="A731" s="10" t="s">
        <v>497</v>
      </c>
      <c r="B731" s="18" t="s">
        <v>455</v>
      </c>
      <c r="C731" s="12">
        <v>3.23</v>
      </c>
      <c r="D731" s="12">
        <v>0</v>
      </c>
      <c r="E731" s="10" t="s">
        <v>26</v>
      </c>
      <c r="F731" s="14">
        <v>60093.87</v>
      </c>
      <c r="G731" s="14">
        <f>F731*C731</f>
        <v>194103.20010000002</v>
      </c>
      <c r="H731" s="15">
        <f>IF($G$1279=0,0,G731/$G$1279*100)</f>
      </c>
      <c r="I731" s="12" t="str">
        <f>IF(O731-C731&gt;0,O731-C731,"")</f>
        <v/>
      </c>
      <c r="J731" s="14" t="str">
        <f>IF(I731="","",F731*I731)</f>
        <v/>
      </c>
      <c r="K731" s="15">
        <f>IF(OR(J731="",$G$1279=0),"",J731/$G$1279*100)</f>
      </c>
      <c r="L731" s="12" t="str">
        <f>IF(C731-O731&gt;0,C731-O731,"")</f>
        <v/>
      </c>
      <c r="M731" s="14" t="str">
        <f>IF(L731="","",F731*L731)</f>
        <v/>
      </c>
      <c r="N731" s="15">
        <f>IF(OR(M731="",$G$1279=0),"",M731/$G$1279*100)</f>
      </c>
      <c r="O731" s="12">
        <v>3.23</v>
      </c>
      <c r="P731" s="14">
        <f>F731*O731</f>
        <v>194103.20010000002</v>
      </c>
      <c r="Q731" s="15">
        <f>IF($P$1279=0,0,P731/$P$1279*100)</f>
      </c>
      <c r="R731" s="10" t="str">
        <f>IF(O731=C731,"TETAP",IF(C731=0,"BARU",IF(O731=0,"HAPUS",IF(O731&gt;C731,"TAMBAH","KURANG"))))</f>
        <v>TETAP</v>
      </c>
    </row>
    <row r="732" spans="1:18" x14ac:dyDescent="0.25">
      <c r="A732" s="10" t="s">
        <v>498</v>
      </c>
      <c r="B732" s="18" t="s">
        <v>591</v>
      </c>
      <c r="C732" s="12">
        <v>3.23</v>
      </c>
      <c r="D732" s="12">
        <v>0</v>
      </c>
      <c r="E732" s="10" t="s">
        <v>26</v>
      </c>
      <c r="F732" s="14">
        <v>141562.17</v>
      </c>
      <c r="G732" s="14">
        <f>F732*C732</f>
        <v>457245.8091</v>
      </c>
      <c r="H732" s="15">
        <f>IF($G$1279=0,0,G732/$G$1279*100)</f>
      </c>
      <c r="I732" s="12" t="str">
        <f>IF(O732-C732&gt;0,O732-C732,"")</f>
        <v/>
      </c>
      <c r="J732" s="14" t="str">
        <f>IF(I732="","",F732*I732)</f>
        <v/>
      </c>
      <c r="K732" s="15">
        <f>IF(OR(J732="",$G$1279=0),"",J732/$G$1279*100)</f>
      </c>
      <c r="L732" s="12" t="str">
        <f>IF(C732-O732&gt;0,C732-O732,"")</f>
        <v/>
      </c>
      <c r="M732" s="14" t="str">
        <f>IF(L732="","",F732*L732)</f>
        <v/>
      </c>
      <c r="N732" s="15">
        <f>IF(OR(M732="",$G$1279=0),"",M732/$G$1279*100)</f>
      </c>
      <c r="O732" s="12">
        <v>3.23</v>
      </c>
      <c r="P732" s="14">
        <f>F732*O732</f>
        <v>457245.8091</v>
      </c>
      <c r="Q732" s="15">
        <f>IF($P$1279=0,0,P732/$P$1279*100)</f>
      </c>
      <c r="R732" s="10" t="str">
        <f>IF(O732=C732,"TETAP",IF(C732=0,"BARU",IF(O732=0,"HAPUS",IF(O732&gt;C732,"TAMBAH","KURANG"))))</f>
        <v>TETAP</v>
      </c>
    </row>
    <row r="733" spans="1:18" x14ac:dyDescent="0.25">
      <c r="A733" s="5" t="s">
        <v>592</v>
      </c>
      <c r="B733" s="16" t="s">
        <v>593</v>
      </c>
      <c r="C733" s="7"/>
      <c r="D733" s="7"/>
      <c r="E733" s="5"/>
      <c r="F733" s="8"/>
      <c r="G733" s="8"/>
      <c r="H733" s="9"/>
      <c r="I733" s="7"/>
      <c r="J733" s="8"/>
      <c r="K733" s="9"/>
      <c r="L733" s="7"/>
      <c r="M733" s="8"/>
      <c r="N733" s="9"/>
      <c r="O733" s="7"/>
      <c r="P733" s="8"/>
      <c r="Q733" s="9"/>
      <c r="R733" s="5"/>
    </row>
    <row r="734" spans="1:18" x14ac:dyDescent="0.25">
      <c r="A734" s="10" t="s">
        <v>24</v>
      </c>
      <c r="B734" s="20" t="s">
        <v>594</v>
      </c>
      <c r="C734" s="12">
        <v>61.65</v>
      </c>
      <c r="D734" s="12">
        <v>0</v>
      </c>
      <c r="E734" s="10" t="s">
        <v>26</v>
      </c>
      <c r="F734" s="14">
        <v>164501.03</v>
      </c>
      <c r="G734" s="14">
        <f>F734*C734</f>
        <v>10141488.499499999</v>
      </c>
      <c r="H734" s="15">
        <f>IF($G$1279=0,0,G734/$G$1279*100)</f>
      </c>
      <c r="I734" s="12" t="str">
        <f>IF(O734-C734&gt;0,O734-C734,"")</f>
        <v/>
      </c>
      <c r="J734" s="14" t="str">
        <f>IF(I734="","",F734*I734)</f>
        <v/>
      </c>
      <c r="K734" s="15">
        <f>IF(OR(J734="",$G$1279=0),"",J734/$G$1279*100)</f>
      </c>
      <c r="L734" s="12" t="str">
        <f>IF(C734-O734&gt;0,C734-O734,"")</f>
        <v/>
      </c>
      <c r="M734" s="14" t="str">
        <f>IF(L734="","",F734*L734)</f>
        <v/>
      </c>
      <c r="N734" s="15">
        <f>IF(OR(M734="",$G$1279=0),"",M734/$G$1279*100)</f>
      </c>
      <c r="O734" s="12">
        <v>61.65</v>
      </c>
      <c r="P734" s="14">
        <f>F734*O734</f>
        <v>10141488.499499999</v>
      </c>
      <c r="Q734" s="15">
        <f>IF($P$1279=0,0,P734/$P$1279*100)</f>
      </c>
      <c r="R734" s="10" t="str">
        <f>IF(O734=C734,"TETAP",IF(C734=0,"BARU",IF(O734=0,"HAPUS",IF(O734&gt;C734,"TAMBAH","KURANG"))))</f>
        <v>TETAP</v>
      </c>
    </row>
    <row r="735" spans="1:18" x14ac:dyDescent="0.25">
      <c r="A735" s="10" t="s">
        <v>27</v>
      </c>
      <c r="B735" s="20" t="s">
        <v>595</v>
      </c>
      <c r="C735" s="12">
        <v>123.3</v>
      </c>
      <c r="D735" s="12">
        <v>0</v>
      </c>
      <c r="E735" s="10" t="s">
        <v>26</v>
      </c>
      <c r="F735" s="14">
        <v>60093.87</v>
      </c>
      <c r="G735" s="14">
        <f>F735*C735</f>
        <v>7409574.171</v>
      </c>
      <c r="H735" s="15">
        <f>IF($G$1279=0,0,G735/$G$1279*100)</f>
      </c>
      <c r="I735" s="12" t="str">
        <f>IF(O735-C735&gt;0,O735-C735,"")</f>
        <v/>
      </c>
      <c r="J735" s="14" t="str">
        <f>IF(I735="","",F735*I735)</f>
        <v/>
      </c>
      <c r="K735" s="15">
        <f>IF(OR(J735="",$G$1279=0),"",J735/$G$1279*100)</f>
      </c>
      <c r="L735" s="12" t="str">
        <f>IF(C735-O735&gt;0,C735-O735,"")</f>
        <v/>
      </c>
      <c r="M735" s="14" t="str">
        <f>IF(L735="","",F735*L735)</f>
        <v/>
      </c>
      <c r="N735" s="15">
        <f>IF(OR(M735="",$G$1279=0),"",M735/$G$1279*100)</f>
      </c>
      <c r="O735" s="12">
        <v>123.3</v>
      </c>
      <c r="P735" s="14">
        <f>F735*O735</f>
        <v>7409574.171</v>
      </c>
      <c r="Q735" s="15">
        <f>IF($P$1279=0,0,P735/$P$1279*100)</f>
      </c>
      <c r="R735" s="10" t="str">
        <f>IF(O735=C735,"TETAP",IF(C735=0,"BARU",IF(O735=0,"HAPUS",IF(O735&gt;C735,"TAMBAH","KURANG"))))</f>
        <v>TETAP</v>
      </c>
    </row>
    <row r="736" spans="1:18" x14ac:dyDescent="0.25">
      <c r="A736" s="10" t="s">
        <v>30</v>
      </c>
      <c r="B736" s="20" t="s">
        <v>596</v>
      </c>
      <c r="C736" s="12">
        <v>107.57</v>
      </c>
      <c r="D736" s="12">
        <v>0</v>
      </c>
      <c r="E736" s="10" t="s">
        <v>26</v>
      </c>
      <c r="F736" s="14">
        <v>44344.2</v>
      </c>
      <c r="G736" s="14">
        <f>F736*C736</f>
        <v>4770105.594</v>
      </c>
      <c r="H736" s="15">
        <f>IF($G$1279=0,0,G736/$G$1279*100)</f>
      </c>
      <c r="I736" s="12" t="str">
        <f>IF(O736-C736&gt;0,O736-C736,"")</f>
        <v/>
      </c>
      <c r="J736" s="14" t="str">
        <f>IF(I736="","",F736*I736)</f>
        <v/>
      </c>
      <c r="K736" s="15">
        <f>IF(OR(J736="",$G$1279=0),"",J736/$G$1279*100)</f>
      </c>
      <c r="L736" s="12" t="str">
        <f>IF(C736-O736&gt;0,C736-O736,"")</f>
        <v/>
      </c>
      <c r="M736" s="14" t="str">
        <f>IF(L736="","",F736*L736)</f>
        <v/>
      </c>
      <c r="N736" s="15">
        <f>IF(OR(M736="",$G$1279=0),"",M736/$G$1279*100)</f>
      </c>
      <c r="O736" s="12">
        <v>107.57</v>
      </c>
      <c r="P736" s="14">
        <f>F736*O736</f>
        <v>4770105.594</v>
      </c>
      <c r="Q736" s="15">
        <f>IF($P$1279=0,0,P736/$P$1279*100)</f>
      </c>
      <c r="R736" s="10" t="str">
        <f>IF(O736=C736,"TETAP",IF(C736=0,"BARU",IF(O736=0,"HAPUS",IF(O736&gt;C736,"TAMBAH","KURANG"))))</f>
        <v>TETAP</v>
      </c>
    </row>
    <row r="737" spans="1:18" x14ac:dyDescent="0.25">
      <c r="A737" s="5" t="s">
        <v>33</v>
      </c>
      <c r="B737" s="17" t="s">
        <v>597</v>
      </c>
      <c r="C737" s="7"/>
      <c r="D737" s="7"/>
      <c r="E737" s="5"/>
      <c r="F737" s="8"/>
      <c r="G737" s="8"/>
      <c r="H737" s="9"/>
      <c r="I737" s="7"/>
      <c r="J737" s="8"/>
      <c r="K737" s="9"/>
      <c r="L737" s="7"/>
      <c r="M737" s="8"/>
      <c r="N737" s="9"/>
      <c r="O737" s="7"/>
      <c r="P737" s="8"/>
      <c r="Q737" s="9"/>
      <c r="R737" s="5"/>
    </row>
    <row r="738" spans="1:18" x14ac:dyDescent="0.25">
      <c r="A738" s="5" t="s">
        <v>598</v>
      </c>
      <c r="B738" s="19" t="s">
        <v>599</v>
      </c>
      <c r="C738" s="7"/>
      <c r="D738" s="7"/>
      <c r="E738" s="5"/>
      <c r="F738" s="8"/>
      <c r="G738" s="8"/>
      <c r="H738" s="9"/>
      <c r="I738" s="7"/>
      <c r="J738" s="8"/>
      <c r="K738" s="9"/>
      <c r="L738" s="7"/>
      <c r="M738" s="8"/>
      <c r="N738" s="9"/>
      <c r="O738" s="7"/>
      <c r="P738" s="8"/>
      <c r="Q738" s="9"/>
      <c r="R738" s="5"/>
    </row>
    <row r="739" spans="1:18" x14ac:dyDescent="0.25">
      <c r="A739" s="10" t="s">
        <v>600</v>
      </c>
      <c r="B739" s="21" t="s">
        <v>507</v>
      </c>
      <c r="C739" s="12">
        <v>5.16</v>
      </c>
      <c r="D739" s="12">
        <v>0</v>
      </c>
      <c r="E739" s="10" t="s">
        <v>37</v>
      </c>
      <c r="F739" s="14">
        <v>288449.54</v>
      </c>
      <c r="G739" s="14">
        <f>F739*C739</f>
        <v>1488399.6264</v>
      </c>
      <c r="H739" s="15">
        <f>IF($G$1279=0,0,G739/$G$1279*100)</f>
      </c>
      <c r="I739" s="12" t="str">
        <f>IF(O739-C739&gt;0,O739-C739,"")</f>
        <v/>
      </c>
      <c r="J739" s="14" t="str">
        <f>IF(I739="","",F739*I739)</f>
        <v/>
      </c>
      <c r="K739" s="15">
        <f>IF(OR(J739="",$G$1279=0),"",J739/$G$1279*100)</f>
      </c>
      <c r="L739" s="12" t="str">
        <f>IF(C739-O739&gt;0,C739-O739,"")</f>
        <v/>
      </c>
      <c r="M739" s="14" t="str">
        <f>IF(L739="","",F739*L739)</f>
        <v/>
      </c>
      <c r="N739" s="15">
        <f>IF(OR(M739="",$G$1279=0),"",M739/$G$1279*100)</f>
      </c>
      <c r="O739" s="12">
        <v>5.16</v>
      </c>
      <c r="P739" s="14">
        <f>F739*O739</f>
        <v>1488399.6264</v>
      </c>
      <c r="Q739" s="15">
        <f>IF($P$1279=0,0,P739/$P$1279*100)</f>
      </c>
      <c r="R739" s="10" t="str">
        <f>IF(O739=C739,"TETAP",IF(C739=0,"BARU",IF(O739=0,"HAPUS",IF(O739&gt;C739,"TAMBAH","KURANG"))))</f>
        <v>TETAP</v>
      </c>
    </row>
    <row r="740" spans="1:18" x14ac:dyDescent="0.25">
      <c r="A740" s="10" t="s">
        <v>601</v>
      </c>
      <c r="B740" s="21" t="s">
        <v>602</v>
      </c>
      <c r="C740" s="12">
        <v>2</v>
      </c>
      <c r="D740" s="12">
        <v>0</v>
      </c>
      <c r="E740" s="10" t="s">
        <v>26</v>
      </c>
      <c r="F740" s="14">
        <v>963000.45</v>
      </c>
      <c r="G740" s="14">
        <f>F740*C740</f>
        <v>1926000.9</v>
      </c>
      <c r="H740" s="15">
        <f>IF($G$1279=0,0,G740/$G$1279*100)</f>
      </c>
      <c r="I740" s="12" t="str">
        <f>IF(O740-C740&gt;0,O740-C740,"")</f>
        <v/>
      </c>
      <c r="J740" s="14" t="str">
        <f>IF(I740="","",F740*I740)</f>
        <v/>
      </c>
      <c r="K740" s="15">
        <f>IF(OR(J740="",$G$1279=0),"",J740/$G$1279*100)</f>
      </c>
      <c r="L740" s="12" t="str">
        <f>IF(C740-O740&gt;0,C740-O740,"")</f>
        <v/>
      </c>
      <c r="M740" s="14" t="str">
        <f>IF(L740="","",F740*L740)</f>
        <v/>
      </c>
      <c r="N740" s="15">
        <f>IF(OR(M740="",$G$1279=0),"",M740/$G$1279*100)</f>
      </c>
      <c r="O740" s="12">
        <v>2</v>
      </c>
      <c r="P740" s="14">
        <f>F740*O740</f>
        <v>1926000.9</v>
      </c>
      <c r="Q740" s="15">
        <f>IF($P$1279=0,0,P740/$P$1279*100)</f>
      </c>
      <c r="R740" s="10" t="str">
        <f>IF(O740=C740,"TETAP",IF(C740=0,"BARU",IF(O740=0,"HAPUS",IF(O740&gt;C740,"TAMBAH","KURANG"))))</f>
        <v>TETAP</v>
      </c>
    </row>
    <row r="741" spans="1:18" x14ac:dyDescent="0.25">
      <c r="A741" s="10" t="s">
        <v>603</v>
      </c>
      <c r="B741" s="21" t="s">
        <v>604</v>
      </c>
      <c r="C741" s="12">
        <v>1.5</v>
      </c>
      <c r="D741" s="12">
        <v>0</v>
      </c>
      <c r="E741" s="10" t="s">
        <v>67</v>
      </c>
      <c r="F741" s="14">
        <v>55000.1</v>
      </c>
      <c r="G741" s="14">
        <f>F741*C741</f>
        <v>82500.15</v>
      </c>
      <c r="H741" s="15">
        <f>IF($G$1279=0,0,G741/$G$1279*100)</f>
      </c>
      <c r="I741" s="12" t="str">
        <f>IF(O741-C741&gt;0,O741-C741,"")</f>
        <v/>
      </c>
      <c r="J741" s="14" t="str">
        <f>IF(I741="","",F741*I741)</f>
        <v/>
      </c>
      <c r="K741" s="15">
        <f>IF(OR(J741="",$G$1279=0),"",J741/$G$1279*100)</f>
      </c>
      <c r="L741" s="12" t="str">
        <f>IF(C741-O741&gt;0,C741-O741,"")</f>
        <v/>
      </c>
      <c r="M741" s="14" t="str">
        <f>IF(L741="","",F741*L741)</f>
        <v/>
      </c>
      <c r="N741" s="15">
        <f>IF(OR(M741="",$G$1279=0),"",M741/$G$1279*100)</f>
      </c>
      <c r="O741" s="12">
        <v>1.5</v>
      </c>
      <c r="P741" s="14">
        <f>F741*O741</f>
        <v>82500.15</v>
      </c>
      <c r="Q741" s="15">
        <f>IF($P$1279=0,0,P741/$P$1279*100)</f>
      </c>
      <c r="R741" s="10" t="str">
        <f>IF(O741=C741,"TETAP",IF(C741=0,"BARU",IF(O741=0,"HAPUS",IF(O741&gt;C741,"TAMBAH","KURANG"))))</f>
        <v>TETAP</v>
      </c>
    </row>
    <row r="742" spans="1:18" x14ac:dyDescent="0.25">
      <c r="A742" s="10" t="s">
        <v>605</v>
      </c>
      <c r="B742" s="21" t="s">
        <v>606</v>
      </c>
      <c r="C742" s="12">
        <v>1</v>
      </c>
      <c r="D742" s="12">
        <v>0</v>
      </c>
      <c r="E742" s="10" t="s">
        <v>44</v>
      </c>
      <c r="F742" s="14">
        <v>404320.4</v>
      </c>
      <c r="G742" s="14">
        <f>F742*C742</f>
        <v>404320.4</v>
      </c>
      <c r="H742" s="15">
        <f>IF($G$1279=0,0,G742/$G$1279*100)</f>
      </c>
      <c r="I742" s="12" t="str">
        <f>IF(O742-C742&gt;0,O742-C742,"")</f>
        <v/>
      </c>
      <c r="J742" s="14" t="str">
        <f>IF(I742="","",F742*I742)</f>
        <v/>
      </c>
      <c r="K742" s="15">
        <f>IF(OR(J742="",$G$1279=0),"",J742/$G$1279*100)</f>
      </c>
      <c r="L742" s="12" t="str">
        <f>IF(C742-O742&gt;0,C742-O742,"")</f>
        <v/>
      </c>
      <c r="M742" s="14" t="str">
        <f>IF(L742="","",F742*L742)</f>
        <v/>
      </c>
      <c r="N742" s="15">
        <f>IF(OR(M742="",$G$1279=0),"",M742/$G$1279*100)</f>
      </c>
      <c r="O742" s="12">
        <v>1</v>
      </c>
      <c r="P742" s="14">
        <f>F742*O742</f>
        <v>404320.4</v>
      </c>
      <c r="Q742" s="15">
        <f>IF($P$1279=0,0,P742/$P$1279*100)</f>
      </c>
      <c r="R742" s="10" t="str">
        <f>IF(O742=C742,"TETAP",IF(C742=0,"BARU",IF(O742=0,"HAPUS",IF(O742&gt;C742,"TAMBAH","KURANG"))))</f>
        <v>TETAP</v>
      </c>
    </row>
    <row r="743" spans="1:18" x14ac:dyDescent="0.25">
      <c r="A743" s="10" t="s">
        <v>607</v>
      </c>
      <c r="B743" s="21" t="s">
        <v>608</v>
      </c>
      <c r="C743" s="12">
        <v>1</v>
      </c>
      <c r="D743" s="12">
        <v>0</v>
      </c>
      <c r="E743" s="10" t="s">
        <v>44</v>
      </c>
      <c r="F743" s="14">
        <v>936787.03</v>
      </c>
      <c r="G743" s="14">
        <f>F743*C743</f>
        <v>936787.03</v>
      </c>
      <c r="H743" s="15">
        <f>IF($G$1279=0,0,G743/$G$1279*100)</f>
      </c>
      <c r="I743" s="12" t="str">
        <f>IF(O743-C743&gt;0,O743-C743,"")</f>
        <v/>
      </c>
      <c r="J743" s="14" t="str">
        <f>IF(I743="","",F743*I743)</f>
        <v/>
      </c>
      <c r="K743" s="15">
        <f>IF(OR(J743="",$G$1279=0),"",J743/$G$1279*100)</f>
      </c>
      <c r="L743" s="12" t="str">
        <f>IF(C743-O743&gt;0,C743-O743,"")</f>
        <v/>
      </c>
      <c r="M743" s="14" t="str">
        <f>IF(L743="","",F743*L743)</f>
        <v/>
      </c>
      <c r="N743" s="15">
        <f>IF(OR(M743="",$G$1279=0),"",M743/$G$1279*100)</f>
      </c>
      <c r="O743" s="12">
        <v>1</v>
      </c>
      <c r="P743" s="14">
        <f>F743*O743</f>
        <v>936787.03</v>
      </c>
      <c r="Q743" s="15">
        <f>IF($P$1279=0,0,P743/$P$1279*100)</f>
      </c>
      <c r="R743" s="10" t="str">
        <f>IF(O743=C743,"TETAP",IF(C743=0,"BARU",IF(O743=0,"HAPUS",IF(O743&gt;C743,"TAMBAH","KURANG"))))</f>
        <v>TETAP</v>
      </c>
    </row>
    <row r="744" spans="1:18" x14ac:dyDescent="0.25">
      <c r="A744" s="10" t="s">
        <v>609</v>
      </c>
      <c r="B744" s="18" t="s">
        <v>505</v>
      </c>
      <c r="C744" s="12">
        <v>2</v>
      </c>
      <c r="D744" s="12">
        <v>0</v>
      </c>
      <c r="E744" s="10" t="s">
        <v>119</v>
      </c>
      <c r="F744" s="14">
        <v>1760756.7</v>
      </c>
      <c r="G744" s="14">
        <f>F744*C744</f>
        <v>3521513.4</v>
      </c>
      <c r="H744" s="15">
        <f>IF($G$1279=0,0,G744/$G$1279*100)</f>
      </c>
      <c r="I744" s="12" t="str">
        <f>IF(O744-C744&gt;0,O744-C744,"")</f>
        <v/>
      </c>
      <c r="J744" s="14" t="str">
        <f>IF(I744="","",F744*I744)</f>
        <v/>
      </c>
      <c r="K744" s="15">
        <f>IF(OR(J744="",$G$1279=0),"",J744/$G$1279*100)</f>
      </c>
      <c r="L744" s="12" t="str">
        <f>IF(C744-O744&gt;0,C744-O744,"")</f>
        <v/>
      </c>
      <c r="M744" s="14" t="str">
        <f>IF(L744="","",F744*L744)</f>
        <v/>
      </c>
      <c r="N744" s="15">
        <f>IF(OR(M744="",$G$1279=0),"",M744/$G$1279*100)</f>
      </c>
      <c r="O744" s="12">
        <v>2</v>
      </c>
      <c r="P744" s="14">
        <f>F744*O744</f>
        <v>3521513.4</v>
      </c>
      <c r="Q744" s="15">
        <f>IF($P$1279=0,0,P744/$P$1279*100)</f>
      </c>
      <c r="R744" s="10" t="str">
        <f>IF(O744=C744,"TETAP",IF(C744=0,"BARU",IF(O744=0,"HAPUS",IF(O744&gt;C744,"TAMBAH","KURANG"))))</f>
        <v>TETAP</v>
      </c>
    </row>
    <row r="745" spans="1:18" x14ac:dyDescent="0.25">
      <c r="A745" s="5" t="s">
        <v>610</v>
      </c>
      <c r="B745" s="19" t="s">
        <v>611</v>
      </c>
      <c r="C745" s="7"/>
      <c r="D745" s="7"/>
      <c r="E745" s="5"/>
      <c r="F745" s="8"/>
      <c r="G745" s="8"/>
      <c r="H745" s="9"/>
      <c r="I745" s="7"/>
      <c r="J745" s="8"/>
      <c r="K745" s="9"/>
      <c r="L745" s="7"/>
      <c r="M745" s="8"/>
      <c r="N745" s="9"/>
      <c r="O745" s="7"/>
      <c r="P745" s="8"/>
      <c r="Q745" s="9"/>
      <c r="R745" s="5"/>
    </row>
    <row r="746" spans="1:18" x14ac:dyDescent="0.25">
      <c r="A746" s="10" t="s">
        <v>612</v>
      </c>
      <c r="B746" s="21" t="s">
        <v>507</v>
      </c>
      <c r="C746" s="12">
        <v>16.24</v>
      </c>
      <c r="D746" s="12">
        <v>0</v>
      </c>
      <c r="E746" s="10" t="s">
        <v>37</v>
      </c>
      <c r="F746" s="14">
        <v>288449.54</v>
      </c>
      <c r="G746" s="14">
        <f>F746*C746</f>
        <v>4684420.529599999</v>
      </c>
      <c r="H746" s="15">
        <f>IF($G$1279=0,0,G746/$G$1279*100)</f>
      </c>
      <c r="I746" s="12" t="str">
        <f>IF(O746-C746&gt;0,O746-C746,"")</f>
        <v/>
      </c>
      <c r="J746" s="14" t="str">
        <f>IF(I746="","",F746*I746)</f>
        <v/>
      </c>
      <c r="K746" s="15">
        <f>IF(OR(J746="",$G$1279=0),"",J746/$G$1279*100)</f>
      </c>
      <c r="L746" s="12" t="str">
        <f>IF(C746-O746&gt;0,C746-O746,"")</f>
        <v/>
      </c>
      <c r="M746" s="14" t="str">
        <f>IF(L746="","",F746*L746)</f>
        <v/>
      </c>
      <c r="N746" s="15">
        <f>IF(OR(M746="",$G$1279=0),"",M746/$G$1279*100)</f>
      </c>
      <c r="O746" s="12">
        <v>16.24</v>
      </c>
      <c r="P746" s="14">
        <f>F746*O746</f>
        <v>4684420.529599999</v>
      </c>
      <c r="Q746" s="15">
        <f>IF($P$1279=0,0,P746/$P$1279*100)</f>
      </c>
      <c r="R746" s="10" t="str">
        <f>IF(O746=C746,"TETAP",IF(C746=0,"BARU",IF(O746=0,"HAPUS",IF(O746&gt;C746,"TAMBAH","KURANG"))))</f>
        <v>TETAP</v>
      </c>
    </row>
    <row r="747" spans="1:18" x14ac:dyDescent="0.25">
      <c r="A747" s="10" t="s">
        <v>613</v>
      </c>
      <c r="B747" s="21" t="s">
        <v>614</v>
      </c>
      <c r="C747" s="12">
        <v>4.15</v>
      </c>
      <c r="D747" s="12">
        <v>0</v>
      </c>
      <c r="E747" s="10" t="s">
        <v>26</v>
      </c>
      <c r="F747" s="14">
        <v>670268.99</v>
      </c>
      <c r="G747" s="14">
        <f>F747*C747</f>
        <v>2781616.3085000003</v>
      </c>
      <c r="H747" s="15">
        <f>IF($G$1279=0,0,G747/$G$1279*100)</f>
      </c>
      <c r="I747" s="12" t="str">
        <f>IF(O747-C747&gt;0,O747-C747,"")</f>
        <v/>
      </c>
      <c r="J747" s="14" t="str">
        <f>IF(I747="","",F747*I747)</f>
        <v/>
      </c>
      <c r="K747" s="15">
        <f>IF(OR(J747="",$G$1279=0),"",J747/$G$1279*100)</f>
      </c>
      <c r="L747" s="12" t="str">
        <f>IF(C747-O747&gt;0,C747-O747,"")</f>
        <v/>
      </c>
      <c r="M747" s="14" t="str">
        <f>IF(L747="","",F747*L747)</f>
        <v/>
      </c>
      <c r="N747" s="15">
        <f>IF(OR(M747="",$G$1279=0),"",M747/$G$1279*100)</f>
      </c>
      <c r="O747" s="12">
        <v>4.15</v>
      </c>
      <c r="P747" s="14">
        <f>F747*O747</f>
        <v>2781616.3085000003</v>
      </c>
      <c r="Q747" s="15">
        <f>IF($P$1279=0,0,P747/$P$1279*100)</f>
      </c>
      <c r="R747" s="10" t="str">
        <f>IF(O747=C747,"TETAP",IF(C747=0,"BARU",IF(O747=0,"HAPUS",IF(O747&gt;C747,"TAMBAH","KURANG"))))</f>
        <v>TETAP</v>
      </c>
    </row>
    <row r="748" spans="1:18" x14ac:dyDescent="0.25">
      <c r="A748" s="10" t="s">
        <v>615</v>
      </c>
      <c r="B748" s="21" t="s">
        <v>616</v>
      </c>
      <c r="C748" s="12">
        <v>2.75</v>
      </c>
      <c r="D748" s="12">
        <v>0</v>
      </c>
      <c r="E748" s="10" t="s">
        <v>26</v>
      </c>
      <c r="F748" s="14">
        <v>468214.33</v>
      </c>
      <c r="G748" s="14">
        <f>F748*C748</f>
        <v>1287589.4075</v>
      </c>
      <c r="H748" s="15">
        <f>IF($G$1279=0,0,G748/$G$1279*100)</f>
      </c>
      <c r="I748" s="12" t="str">
        <f>IF(O748-C748&gt;0,O748-C748,"")</f>
        <v/>
      </c>
      <c r="J748" s="14" t="str">
        <f>IF(I748="","",F748*I748)</f>
        <v/>
      </c>
      <c r="K748" s="15">
        <f>IF(OR(J748="",$G$1279=0),"",J748/$G$1279*100)</f>
      </c>
      <c r="L748" s="12" t="str">
        <f>IF(C748-O748&gt;0,C748-O748,"")</f>
        <v/>
      </c>
      <c r="M748" s="14" t="str">
        <f>IF(L748="","",F748*L748)</f>
        <v/>
      </c>
      <c r="N748" s="15">
        <f>IF(OR(M748="",$G$1279=0),"",M748/$G$1279*100)</f>
      </c>
      <c r="O748" s="12">
        <v>2.75</v>
      </c>
      <c r="P748" s="14">
        <f>F748*O748</f>
        <v>1287589.4075</v>
      </c>
      <c r="Q748" s="15">
        <f>IF($P$1279=0,0,P748/$P$1279*100)</f>
      </c>
      <c r="R748" s="10" t="str">
        <f>IF(O748=C748,"TETAP",IF(C748=0,"BARU",IF(O748=0,"HAPUS",IF(O748&gt;C748,"TAMBAH","KURANG"))))</f>
        <v>TETAP</v>
      </c>
    </row>
    <row r="749" spans="1:18" x14ac:dyDescent="0.25">
      <c r="A749" s="10" t="s">
        <v>617</v>
      </c>
      <c r="B749" s="21" t="s">
        <v>618</v>
      </c>
      <c r="C749" s="12">
        <v>4</v>
      </c>
      <c r="D749" s="12">
        <v>0</v>
      </c>
      <c r="E749" s="10" t="s">
        <v>67</v>
      </c>
      <c r="F749" s="14">
        <v>91617.9</v>
      </c>
      <c r="G749" s="14">
        <f>F749*C749</f>
        <v>366471.6</v>
      </c>
      <c r="H749" s="15">
        <f>IF($G$1279=0,0,G749/$G$1279*100)</f>
      </c>
      <c r="I749" s="12" t="str">
        <f>IF(O749-C749&gt;0,O749-C749,"")</f>
        <v/>
      </c>
      <c r="J749" s="14" t="str">
        <f>IF(I749="","",F749*I749)</f>
        <v/>
      </c>
      <c r="K749" s="15">
        <f>IF(OR(J749="",$G$1279=0),"",J749/$G$1279*100)</f>
      </c>
      <c r="L749" s="12" t="str">
        <f>IF(C749-O749&gt;0,C749-O749,"")</f>
        <v/>
      </c>
      <c r="M749" s="14" t="str">
        <f>IF(L749="","",F749*L749)</f>
        <v/>
      </c>
      <c r="N749" s="15">
        <f>IF(OR(M749="",$G$1279=0),"",M749/$G$1279*100)</f>
      </c>
      <c r="O749" s="12">
        <v>4</v>
      </c>
      <c r="P749" s="14">
        <f>F749*O749</f>
        <v>366471.6</v>
      </c>
      <c r="Q749" s="15">
        <f>IF($P$1279=0,0,P749/$P$1279*100)</f>
      </c>
      <c r="R749" s="10" t="str">
        <f>IF(O749=C749,"TETAP",IF(C749=0,"BARU",IF(O749=0,"HAPUS",IF(O749&gt;C749,"TAMBAH","KURANG"))))</f>
        <v>TETAP</v>
      </c>
    </row>
    <row r="750" spans="1:18" x14ac:dyDescent="0.25">
      <c r="A750" s="10" t="s">
        <v>619</v>
      </c>
      <c r="B750" s="21" t="s">
        <v>620</v>
      </c>
      <c r="C750" s="12">
        <v>4</v>
      </c>
      <c r="D750" s="12">
        <v>0</v>
      </c>
      <c r="E750" s="10" t="s">
        <v>67</v>
      </c>
      <c r="F750" s="14">
        <v>339383.32</v>
      </c>
      <c r="G750" s="14">
        <f>F750*C750</f>
        <v>1357533.28</v>
      </c>
      <c r="H750" s="15">
        <f>IF($G$1279=0,0,G750/$G$1279*100)</f>
      </c>
      <c r="I750" s="12" t="str">
        <f>IF(O750-C750&gt;0,O750-C750,"")</f>
        <v/>
      </c>
      <c r="J750" s="14" t="str">
        <f>IF(I750="","",F750*I750)</f>
        <v/>
      </c>
      <c r="K750" s="15">
        <f>IF(OR(J750="",$G$1279=0),"",J750/$G$1279*100)</f>
      </c>
      <c r="L750" s="12" t="str">
        <f>IF(C750-O750&gt;0,C750-O750,"")</f>
        <v/>
      </c>
      <c r="M750" s="14" t="str">
        <f>IF(L750="","",F750*L750)</f>
        <v/>
      </c>
      <c r="N750" s="15">
        <f>IF(OR(M750="",$G$1279=0),"",M750/$G$1279*100)</f>
      </c>
      <c r="O750" s="12">
        <v>4</v>
      </c>
      <c r="P750" s="14">
        <f>F750*O750</f>
        <v>1357533.28</v>
      </c>
      <c r="Q750" s="15">
        <f>IF($P$1279=0,0,P750/$P$1279*100)</f>
      </c>
      <c r="R750" s="10" t="str">
        <f>IF(O750=C750,"TETAP",IF(C750=0,"BARU",IF(O750=0,"HAPUS",IF(O750&gt;C750,"TAMBAH","KURANG"))))</f>
        <v>TETAP</v>
      </c>
    </row>
    <row r="751" spans="1:18" x14ac:dyDescent="0.25">
      <c r="A751" s="10" t="s">
        <v>621</v>
      </c>
      <c r="B751" s="21" t="s">
        <v>622</v>
      </c>
      <c r="C751" s="12">
        <v>2</v>
      </c>
      <c r="D751" s="12">
        <v>0</v>
      </c>
      <c r="E751" s="10" t="s">
        <v>32</v>
      </c>
      <c r="F751" s="14">
        <v>55417.15</v>
      </c>
      <c r="G751" s="14">
        <f>F751*C751</f>
        <v>110834.3</v>
      </c>
      <c r="H751" s="15">
        <f>IF($G$1279=0,0,G751/$G$1279*100)</f>
      </c>
      <c r="I751" s="12" t="str">
        <f>IF(O751-C751&gt;0,O751-C751,"")</f>
        <v/>
      </c>
      <c r="J751" s="14" t="str">
        <f>IF(I751="","",F751*I751)</f>
        <v/>
      </c>
      <c r="K751" s="15">
        <f>IF(OR(J751="",$G$1279=0),"",J751/$G$1279*100)</f>
      </c>
      <c r="L751" s="12" t="str">
        <f>IF(C751-O751&gt;0,C751-O751,"")</f>
        <v/>
      </c>
      <c r="M751" s="14" t="str">
        <f>IF(L751="","",F751*L751)</f>
        <v/>
      </c>
      <c r="N751" s="15">
        <f>IF(OR(M751="",$G$1279=0),"",M751/$G$1279*100)</f>
      </c>
      <c r="O751" s="12">
        <v>2</v>
      </c>
      <c r="P751" s="14">
        <f>F751*O751</f>
        <v>110834.3</v>
      </c>
      <c r="Q751" s="15">
        <f>IF($P$1279=0,0,P751/$P$1279*100)</f>
      </c>
      <c r="R751" s="10" t="str">
        <f>IF(O751=C751,"TETAP",IF(C751=0,"BARU",IF(O751=0,"HAPUS",IF(O751&gt;C751,"TAMBAH","KURANG"))))</f>
        <v>TETAP</v>
      </c>
    </row>
    <row r="752" spans="1:18" x14ac:dyDescent="0.25">
      <c r="A752" s="5" t="s">
        <v>623</v>
      </c>
      <c r="B752" s="19" t="s">
        <v>624</v>
      </c>
      <c r="C752" s="7"/>
      <c r="D752" s="7"/>
      <c r="E752" s="5"/>
      <c r="F752" s="8"/>
      <c r="G752" s="8"/>
      <c r="H752" s="9"/>
      <c r="I752" s="7"/>
      <c r="J752" s="8"/>
      <c r="K752" s="9"/>
      <c r="L752" s="7"/>
      <c r="M752" s="8"/>
      <c r="N752" s="9"/>
      <c r="O752" s="7"/>
      <c r="P752" s="8"/>
      <c r="Q752" s="9"/>
      <c r="R752" s="5"/>
    </row>
    <row r="753" spans="1:18" x14ac:dyDescent="0.25">
      <c r="A753" s="10" t="s">
        <v>625</v>
      </c>
      <c r="B753" s="21" t="s">
        <v>507</v>
      </c>
      <c r="C753" s="12">
        <v>48.12</v>
      </c>
      <c r="D753" s="12">
        <v>0</v>
      </c>
      <c r="E753" s="10" t="s">
        <v>37</v>
      </c>
      <c r="F753" s="14">
        <v>288449.54</v>
      </c>
      <c r="G753" s="14">
        <f>F753*C753</f>
        <v>13880191.864799999</v>
      </c>
      <c r="H753" s="15">
        <f>IF($G$1279=0,0,G753/$G$1279*100)</f>
      </c>
      <c r="I753" s="12" t="str">
        <f>IF(O753-C753&gt;0,O753-C753,"")</f>
        <v/>
      </c>
      <c r="J753" s="14" t="str">
        <f>IF(I753="","",F753*I753)</f>
        <v/>
      </c>
      <c r="K753" s="15">
        <f>IF(OR(J753="",$G$1279=0),"",J753/$G$1279*100)</f>
      </c>
      <c r="L753" s="12" t="str">
        <f>IF(C753-O753&gt;0,C753-O753,"")</f>
        <v/>
      </c>
      <c r="M753" s="14" t="str">
        <f>IF(L753="","",F753*L753)</f>
        <v/>
      </c>
      <c r="N753" s="15">
        <f>IF(OR(M753="",$G$1279=0),"",M753/$G$1279*100)</f>
      </c>
      <c r="O753" s="12">
        <v>48.12</v>
      </c>
      <c r="P753" s="14">
        <f>F753*O753</f>
        <v>13880191.864799999</v>
      </c>
      <c r="Q753" s="15">
        <f>IF($P$1279=0,0,P753/$P$1279*100)</f>
      </c>
      <c r="R753" s="10" t="str">
        <f>IF(O753=C753,"TETAP",IF(C753=0,"BARU",IF(O753=0,"HAPUS",IF(O753&gt;C753,"TAMBAH","KURANG"))))</f>
        <v>TETAP</v>
      </c>
    </row>
    <row r="754" spans="1:18" x14ac:dyDescent="0.25">
      <c r="A754" s="10" t="s">
        <v>626</v>
      </c>
      <c r="B754" s="21" t="s">
        <v>614</v>
      </c>
      <c r="C754" s="12">
        <v>7.16</v>
      </c>
      <c r="D754" s="12">
        <v>0</v>
      </c>
      <c r="E754" s="10" t="s">
        <v>26</v>
      </c>
      <c r="F754" s="14">
        <v>670268.99</v>
      </c>
      <c r="G754" s="14">
        <f>F754*C754</f>
        <v>4799125.9684</v>
      </c>
      <c r="H754" s="15">
        <f>IF($G$1279=0,0,G754/$G$1279*100)</f>
      </c>
      <c r="I754" s="12" t="str">
        <f>IF(O754-C754&gt;0,O754-C754,"")</f>
        <v/>
      </c>
      <c r="J754" s="14" t="str">
        <f>IF(I754="","",F754*I754)</f>
        <v/>
      </c>
      <c r="K754" s="15">
        <f>IF(OR(J754="",$G$1279=0),"",J754/$G$1279*100)</f>
      </c>
      <c r="L754" s="12" t="str">
        <f>IF(C754-O754&gt;0,C754-O754,"")</f>
        <v/>
      </c>
      <c r="M754" s="14" t="str">
        <f>IF(L754="","",F754*L754)</f>
        <v/>
      </c>
      <c r="N754" s="15">
        <f>IF(OR(M754="",$G$1279=0),"",M754/$G$1279*100)</f>
      </c>
      <c r="O754" s="12">
        <v>7.16</v>
      </c>
      <c r="P754" s="14">
        <f>F754*O754</f>
        <v>4799125.9684</v>
      </c>
      <c r="Q754" s="15">
        <f>IF($P$1279=0,0,P754/$P$1279*100)</f>
      </c>
      <c r="R754" s="10" t="str">
        <f>IF(O754=C754,"TETAP",IF(C754=0,"BARU",IF(O754=0,"HAPUS",IF(O754&gt;C754,"TAMBAH","KURANG"))))</f>
        <v>TETAP</v>
      </c>
    </row>
    <row r="755" spans="1:18" x14ac:dyDescent="0.25">
      <c r="A755" s="10" t="s">
        <v>627</v>
      </c>
      <c r="B755" s="21" t="s">
        <v>616</v>
      </c>
      <c r="C755" s="12">
        <v>8.98</v>
      </c>
      <c r="D755" s="12">
        <v>0</v>
      </c>
      <c r="E755" s="10" t="s">
        <v>26</v>
      </c>
      <c r="F755" s="14">
        <v>468214.33</v>
      </c>
      <c r="G755" s="14">
        <f>F755*C755</f>
        <v>4204564.6834</v>
      </c>
      <c r="H755" s="15">
        <f>IF($G$1279=0,0,G755/$G$1279*100)</f>
      </c>
      <c r="I755" s="12" t="str">
        <f>IF(O755-C755&gt;0,O755-C755,"")</f>
        <v/>
      </c>
      <c r="J755" s="14" t="str">
        <f>IF(I755="","",F755*I755)</f>
        <v/>
      </c>
      <c r="K755" s="15">
        <f>IF(OR(J755="",$G$1279=0),"",J755/$G$1279*100)</f>
      </c>
      <c r="L755" s="12" t="str">
        <f>IF(C755-O755&gt;0,C755-O755,"")</f>
        <v/>
      </c>
      <c r="M755" s="14" t="str">
        <f>IF(L755="","",F755*L755)</f>
        <v/>
      </c>
      <c r="N755" s="15">
        <f>IF(OR(M755="",$G$1279=0),"",M755/$G$1279*100)</f>
      </c>
      <c r="O755" s="12">
        <v>8.98</v>
      </c>
      <c r="P755" s="14">
        <f>F755*O755</f>
        <v>4204564.6834</v>
      </c>
      <c r="Q755" s="15">
        <f>IF($P$1279=0,0,P755/$P$1279*100)</f>
      </c>
      <c r="R755" s="10" t="str">
        <f>IF(O755=C755,"TETAP",IF(C755=0,"BARU",IF(O755=0,"HAPUS",IF(O755&gt;C755,"TAMBAH","KURANG"))))</f>
        <v>TETAP</v>
      </c>
    </row>
    <row r="756" spans="1:18" x14ac:dyDescent="0.25">
      <c r="A756" s="10" t="s">
        <v>628</v>
      </c>
      <c r="B756" s="21" t="s">
        <v>618</v>
      </c>
      <c r="C756" s="12">
        <v>18</v>
      </c>
      <c r="D756" s="12">
        <v>0</v>
      </c>
      <c r="E756" s="10" t="s">
        <v>67</v>
      </c>
      <c r="F756" s="14">
        <v>91617.9</v>
      </c>
      <c r="G756" s="14">
        <f>F756*C756</f>
        <v>1649122.2</v>
      </c>
      <c r="H756" s="15">
        <f>IF($G$1279=0,0,G756/$G$1279*100)</f>
      </c>
      <c r="I756" s="12" t="str">
        <f>IF(O756-C756&gt;0,O756-C756,"")</f>
        <v/>
      </c>
      <c r="J756" s="14" t="str">
        <f>IF(I756="","",F756*I756)</f>
        <v/>
      </c>
      <c r="K756" s="15">
        <f>IF(OR(J756="",$G$1279=0),"",J756/$G$1279*100)</f>
      </c>
      <c r="L756" s="12" t="str">
        <f>IF(C756-O756&gt;0,C756-O756,"")</f>
        <v/>
      </c>
      <c r="M756" s="14" t="str">
        <f>IF(L756="","",F756*L756)</f>
        <v/>
      </c>
      <c r="N756" s="15">
        <f>IF(OR(M756="",$G$1279=0),"",M756/$G$1279*100)</f>
      </c>
      <c r="O756" s="12">
        <v>18</v>
      </c>
      <c r="P756" s="14">
        <f>F756*O756</f>
        <v>1649122.2</v>
      </c>
      <c r="Q756" s="15">
        <f>IF($P$1279=0,0,P756/$P$1279*100)</f>
      </c>
      <c r="R756" s="10" t="str">
        <f>IF(O756=C756,"TETAP",IF(C756=0,"BARU",IF(O756=0,"HAPUS",IF(O756&gt;C756,"TAMBAH","KURANG"))))</f>
        <v>TETAP</v>
      </c>
    </row>
    <row r="757" spans="1:18" x14ac:dyDescent="0.25">
      <c r="A757" s="10" t="s">
        <v>629</v>
      </c>
      <c r="B757" s="21" t="s">
        <v>620</v>
      </c>
      <c r="C757" s="12">
        <v>18</v>
      </c>
      <c r="D757" s="12">
        <v>0</v>
      </c>
      <c r="E757" s="10" t="s">
        <v>67</v>
      </c>
      <c r="F757" s="14">
        <v>339383.32</v>
      </c>
      <c r="G757" s="14">
        <f>F757*C757</f>
        <v>6108899.76</v>
      </c>
      <c r="H757" s="15">
        <f>IF($G$1279=0,0,G757/$G$1279*100)</f>
      </c>
      <c r="I757" s="12" t="str">
        <f>IF(O757-C757&gt;0,O757-C757,"")</f>
        <v/>
      </c>
      <c r="J757" s="14" t="str">
        <f>IF(I757="","",F757*I757)</f>
        <v/>
      </c>
      <c r="K757" s="15">
        <f>IF(OR(J757="",$G$1279=0),"",J757/$G$1279*100)</f>
      </c>
      <c r="L757" s="12" t="str">
        <f>IF(C757-O757&gt;0,C757-O757,"")</f>
        <v/>
      </c>
      <c r="M757" s="14" t="str">
        <f>IF(L757="","",F757*L757)</f>
        <v/>
      </c>
      <c r="N757" s="15">
        <f>IF(OR(M757="",$G$1279=0),"",M757/$G$1279*100)</f>
      </c>
      <c r="O757" s="12">
        <v>18</v>
      </c>
      <c r="P757" s="14">
        <f>F757*O757</f>
        <v>6108899.76</v>
      </c>
      <c r="Q757" s="15">
        <f>IF($P$1279=0,0,P757/$P$1279*100)</f>
      </c>
      <c r="R757" s="10" t="str">
        <f>IF(O757=C757,"TETAP",IF(C757=0,"BARU",IF(O757=0,"HAPUS",IF(O757&gt;C757,"TAMBAH","KURANG"))))</f>
        <v>TETAP</v>
      </c>
    </row>
    <row r="758" spans="1:18" x14ac:dyDescent="0.25">
      <c r="A758" s="10" t="s">
        <v>630</v>
      </c>
      <c r="B758" s="21" t="s">
        <v>622</v>
      </c>
      <c r="C758" s="12">
        <v>9</v>
      </c>
      <c r="D758" s="12">
        <v>0</v>
      </c>
      <c r="E758" s="10" t="s">
        <v>32</v>
      </c>
      <c r="F758" s="14">
        <v>55417.15</v>
      </c>
      <c r="G758" s="14">
        <f>F758*C758</f>
        <v>498754.35000000003</v>
      </c>
      <c r="H758" s="15">
        <f>IF($G$1279=0,0,G758/$G$1279*100)</f>
      </c>
      <c r="I758" s="12" t="str">
        <f>IF(O758-C758&gt;0,O758-C758,"")</f>
        <v/>
      </c>
      <c r="J758" s="14" t="str">
        <f>IF(I758="","",F758*I758)</f>
        <v/>
      </c>
      <c r="K758" s="15">
        <f>IF(OR(J758="",$G$1279=0),"",J758/$G$1279*100)</f>
      </c>
      <c r="L758" s="12" t="str">
        <f>IF(C758-O758&gt;0,C758-O758,"")</f>
        <v/>
      </c>
      <c r="M758" s="14" t="str">
        <f>IF(L758="","",F758*L758)</f>
        <v/>
      </c>
      <c r="N758" s="15">
        <f>IF(OR(M758="",$G$1279=0),"",M758/$G$1279*100)</f>
      </c>
      <c r="O758" s="12">
        <v>9</v>
      </c>
      <c r="P758" s="14">
        <f>F758*O758</f>
        <v>498754.35000000003</v>
      </c>
      <c r="Q758" s="15">
        <f>IF($P$1279=0,0,P758/$P$1279*100)</f>
      </c>
      <c r="R758" s="10" t="str">
        <f>IF(O758=C758,"TETAP",IF(C758=0,"BARU",IF(O758=0,"HAPUS",IF(O758&gt;C758,"TAMBAH","KURANG"))))</f>
        <v>TETAP</v>
      </c>
    </row>
    <row r="759" spans="1:18" x14ac:dyDescent="0.25">
      <c r="A759" s="5" t="s">
        <v>631</v>
      </c>
      <c r="B759" s="19" t="s">
        <v>632</v>
      </c>
      <c r="C759" s="7"/>
      <c r="D759" s="7"/>
      <c r="E759" s="5"/>
      <c r="F759" s="8"/>
      <c r="G759" s="8"/>
      <c r="H759" s="9"/>
      <c r="I759" s="7"/>
      <c r="J759" s="8"/>
      <c r="K759" s="9"/>
      <c r="L759" s="7"/>
      <c r="M759" s="8"/>
      <c r="N759" s="9"/>
      <c r="O759" s="7"/>
      <c r="P759" s="8"/>
      <c r="Q759" s="9"/>
      <c r="R759" s="5"/>
    </row>
    <row r="760" spans="1:18" x14ac:dyDescent="0.25">
      <c r="A760" s="10" t="s">
        <v>633</v>
      </c>
      <c r="B760" s="21" t="s">
        <v>507</v>
      </c>
      <c r="C760" s="12">
        <v>3.52</v>
      </c>
      <c r="D760" s="12">
        <v>0</v>
      </c>
      <c r="E760" s="10" t="s">
        <v>37</v>
      </c>
      <c r="F760" s="14">
        <v>288449.54</v>
      </c>
      <c r="G760" s="14">
        <f>F760*C760</f>
        <v>1015342.3807999999</v>
      </c>
      <c r="H760" s="15">
        <f>IF($G$1279=0,0,G760/$G$1279*100)</f>
      </c>
      <c r="I760" s="12" t="str">
        <f>IF(O760-C760&gt;0,O760-C760,"")</f>
        <v/>
      </c>
      <c r="J760" s="14" t="str">
        <f>IF(I760="","",F760*I760)</f>
        <v/>
      </c>
      <c r="K760" s="15">
        <f>IF(OR(J760="",$G$1279=0),"",J760/$G$1279*100)</f>
      </c>
      <c r="L760" s="12" t="str">
        <f>IF(C760-O760&gt;0,C760-O760,"")</f>
        <v/>
      </c>
      <c r="M760" s="14" t="str">
        <f>IF(L760="","",F760*L760)</f>
        <v/>
      </c>
      <c r="N760" s="15">
        <f>IF(OR(M760="",$G$1279=0),"",M760/$G$1279*100)</f>
      </c>
      <c r="O760" s="12">
        <v>3.52</v>
      </c>
      <c r="P760" s="14">
        <f>F760*O760</f>
        <v>1015342.3807999999</v>
      </c>
      <c r="Q760" s="15">
        <f>IF($P$1279=0,0,P760/$P$1279*100)</f>
      </c>
      <c r="R760" s="10" t="str">
        <f>IF(O760=C760,"TETAP",IF(C760=0,"BARU",IF(O760=0,"HAPUS",IF(O760&gt;C760,"TAMBAH","KURANG"))))</f>
        <v>TETAP</v>
      </c>
    </row>
    <row r="761" spans="1:18" x14ac:dyDescent="0.25">
      <c r="A761" s="10" t="s">
        <v>634</v>
      </c>
      <c r="B761" s="21" t="s">
        <v>508</v>
      </c>
      <c r="C761" s="12">
        <v>0.65</v>
      </c>
      <c r="D761" s="12">
        <v>0</v>
      </c>
      <c r="E761" s="10" t="s">
        <v>26</v>
      </c>
      <c r="F761" s="14">
        <v>463407.59</v>
      </c>
      <c r="G761" s="14">
        <f>F761*C761</f>
        <v>301214.93350000004</v>
      </c>
      <c r="H761" s="15">
        <f>IF($G$1279=0,0,G761/$G$1279*100)</f>
      </c>
      <c r="I761" s="12" t="str">
        <f>IF(O761-C761&gt;0,O761-C761,"")</f>
        <v/>
      </c>
      <c r="J761" s="14" t="str">
        <f>IF(I761="","",F761*I761)</f>
        <v/>
      </c>
      <c r="K761" s="15">
        <f>IF(OR(J761="",$G$1279=0),"",J761/$G$1279*100)</f>
      </c>
      <c r="L761" s="12" t="str">
        <f>IF(C761-O761&gt;0,C761-O761,"")</f>
        <v/>
      </c>
      <c r="M761" s="14" t="str">
        <f>IF(L761="","",F761*L761)</f>
        <v/>
      </c>
      <c r="N761" s="15">
        <f>IF(OR(M761="",$G$1279=0),"",M761/$G$1279*100)</f>
      </c>
      <c r="O761" s="12">
        <v>0.65</v>
      </c>
      <c r="P761" s="14">
        <f>F761*O761</f>
        <v>301214.93350000004</v>
      </c>
      <c r="Q761" s="15">
        <f>IF($P$1279=0,0,P761/$P$1279*100)</f>
      </c>
      <c r="R761" s="10" t="str">
        <f>IF(O761=C761,"TETAP",IF(C761=0,"BARU",IF(O761=0,"HAPUS",IF(O761&gt;C761,"TAMBAH","KURANG"))))</f>
        <v>TETAP</v>
      </c>
    </row>
    <row r="762" spans="1:18" x14ac:dyDescent="0.25">
      <c r="A762" s="10" t="s">
        <v>35</v>
      </c>
      <c r="B762" s="20" t="s">
        <v>509</v>
      </c>
      <c r="C762" s="12">
        <v>27</v>
      </c>
      <c r="D762" s="12">
        <v>0</v>
      </c>
      <c r="E762" s="10" t="s">
        <v>26</v>
      </c>
      <c r="F762" s="14">
        <v>262377.89</v>
      </c>
      <c r="G762" s="14">
        <f>F762*C762</f>
        <v>7084203.03</v>
      </c>
      <c r="H762" s="15">
        <f>IF($G$1279=0,0,G762/$G$1279*100)</f>
      </c>
      <c r="I762" s="12" t="str">
        <f>IF(O762-C762&gt;0,O762-C762,"")</f>
        <v/>
      </c>
      <c r="J762" s="14" t="str">
        <f>IF(I762="","",F762*I762)</f>
        <v/>
      </c>
      <c r="K762" s="15">
        <f>IF(OR(J762="",$G$1279=0),"",J762/$G$1279*100)</f>
      </c>
      <c r="L762" s="12" t="str">
        <f>IF(C762-O762&gt;0,C762-O762,"")</f>
        <v/>
      </c>
      <c r="M762" s="14" t="str">
        <f>IF(L762="","",F762*L762)</f>
        <v/>
      </c>
      <c r="N762" s="15">
        <f>IF(OR(M762="",$G$1279=0),"",M762/$G$1279*100)</f>
      </c>
      <c r="O762" s="12">
        <v>27</v>
      </c>
      <c r="P762" s="14">
        <f>F762*O762</f>
        <v>7084203.03</v>
      </c>
      <c r="Q762" s="15">
        <f>IF($P$1279=0,0,P762/$P$1279*100)</f>
      </c>
      <c r="R762" s="10" t="str">
        <f>IF(O762=C762,"TETAP",IF(C762=0,"BARU",IF(O762=0,"HAPUS",IF(O762&gt;C762,"TAMBAH","KURANG"))))</f>
        <v>TETAP</v>
      </c>
    </row>
    <row r="763" spans="1:18" x14ac:dyDescent="0.25">
      <c r="A763" s="10" t="s">
        <v>38</v>
      </c>
      <c r="B763" s="20" t="s">
        <v>510</v>
      </c>
      <c r="C763" s="12">
        <v>4.5</v>
      </c>
      <c r="D763" s="12">
        <v>0</v>
      </c>
      <c r="E763" s="10" t="s">
        <v>26</v>
      </c>
      <c r="F763" s="14">
        <v>262377.89</v>
      </c>
      <c r="G763" s="14">
        <f>F763*C763</f>
        <v>1180700.5050000001</v>
      </c>
      <c r="H763" s="15">
        <f>IF($G$1279=0,0,G763/$G$1279*100)</f>
      </c>
      <c r="I763" s="12" t="str">
        <f>IF(O763-C763&gt;0,O763-C763,"")</f>
        <v/>
      </c>
      <c r="J763" s="14" t="str">
        <f>IF(I763="","",F763*I763)</f>
        <v/>
      </c>
      <c r="K763" s="15">
        <f>IF(OR(J763="",$G$1279=0),"",J763/$G$1279*100)</f>
      </c>
      <c r="L763" s="12" t="str">
        <f>IF(C763-O763&gt;0,C763-O763,"")</f>
        <v/>
      </c>
      <c r="M763" s="14" t="str">
        <f>IF(L763="","",F763*L763)</f>
        <v/>
      </c>
      <c r="N763" s="15">
        <f>IF(OR(M763="",$G$1279=0),"",M763/$G$1279*100)</f>
      </c>
      <c r="O763" s="12">
        <v>4.5</v>
      </c>
      <c r="P763" s="14">
        <f>F763*O763</f>
        <v>1180700.5050000001</v>
      </c>
      <c r="Q763" s="15">
        <f>IF($P$1279=0,0,P763/$P$1279*100)</f>
      </c>
      <c r="R763" s="10" t="str">
        <f>IF(O763=C763,"TETAP",IF(C763=0,"BARU",IF(O763=0,"HAPUS",IF(O763&gt;C763,"TAMBAH","KURANG"))))</f>
        <v>TETAP</v>
      </c>
    </row>
    <row r="764" spans="1:18" x14ac:dyDescent="0.25">
      <c r="A764" s="10" t="s">
        <v>108</v>
      </c>
      <c r="B764" s="20" t="s">
        <v>511</v>
      </c>
      <c r="C764" s="12">
        <v>21.83</v>
      </c>
      <c r="D764" s="12">
        <v>0</v>
      </c>
      <c r="E764" s="10" t="s">
        <v>26</v>
      </c>
      <c r="F764" s="14">
        <v>425988.24</v>
      </c>
      <c r="G764" s="14">
        <f>F764*C764</f>
        <v>9299323.279199999</v>
      </c>
      <c r="H764" s="15">
        <f>IF($G$1279=0,0,G764/$G$1279*100)</f>
      </c>
      <c r="I764" s="12" t="str">
        <f>IF(O764-C764&gt;0,O764-C764,"")</f>
        <v/>
      </c>
      <c r="J764" s="14" t="str">
        <f>IF(I764="","",F764*I764)</f>
        <v/>
      </c>
      <c r="K764" s="15">
        <f>IF(OR(J764="",$G$1279=0),"",J764/$G$1279*100)</f>
      </c>
      <c r="L764" s="12" t="str">
        <f>IF(C764-O764&gt;0,C764-O764,"")</f>
        <v/>
      </c>
      <c r="M764" s="14" t="str">
        <f>IF(L764="","",F764*L764)</f>
        <v/>
      </c>
      <c r="N764" s="15">
        <f>IF(OR(M764="",$G$1279=0),"",M764/$G$1279*100)</f>
      </c>
      <c r="O764" s="12">
        <v>21.83</v>
      </c>
      <c r="P764" s="14">
        <f>F764*O764</f>
        <v>9299323.279199999</v>
      </c>
      <c r="Q764" s="15">
        <f>IF($P$1279=0,0,P764/$P$1279*100)</f>
      </c>
      <c r="R764" s="10" t="str">
        <f>IF(O764=C764,"TETAP",IF(C764=0,"BARU",IF(O764=0,"HAPUS",IF(O764&gt;C764,"TAMBAH","KURANG"))))</f>
        <v>TETAP</v>
      </c>
    </row>
    <row r="765" spans="1:18" x14ac:dyDescent="0.25">
      <c r="A765" s="10" t="s">
        <v>110</v>
      </c>
      <c r="B765" s="20" t="s">
        <v>416</v>
      </c>
      <c r="C765" s="12">
        <v>55.3</v>
      </c>
      <c r="D765" s="12">
        <v>0</v>
      </c>
      <c r="E765" s="10" t="s">
        <v>26</v>
      </c>
      <c r="F765" s="14">
        <v>222901.19</v>
      </c>
      <c r="G765" s="14">
        <f>F765*C765</f>
        <v>12326435.807</v>
      </c>
      <c r="H765" s="15">
        <f>IF($G$1279=0,0,G765/$G$1279*100)</f>
      </c>
      <c r="I765" s="12" t="str">
        <f>IF(O765-C765&gt;0,O765-C765,"")</f>
        <v/>
      </c>
      <c r="J765" s="14" t="str">
        <f>IF(I765="","",F765*I765)</f>
        <v/>
      </c>
      <c r="K765" s="15">
        <f>IF(OR(J765="",$G$1279=0),"",J765/$G$1279*100)</f>
      </c>
      <c r="L765" s="12" t="str">
        <f>IF(C765-O765&gt;0,C765-O765,"")</f>
        <v/>
      </c>
      <c r="M765" s="14" t="str">
        <f>IF(L765="","",F765*L765)</f>
        <v/>
      </c>
      <c r="N765" s="15">
        <f>IF(OR(M765="",$G$1279=0),"",M765/$G$1279*100)</f>
      </c>
      <c r="O765" s="12">
        <v>55.3</v>
      </c>
      <c r="P765" s="14">
        <f>F765*O765</f>
        <v>12326435.807</v>
      </c>
      <c r="Q765" s="15">
        <f>IF($P$1279=0,0,P765/$P$1279*100)</f>
      </c>
      <c r="R765" s="10" t="str">
        <f>IF(O765=C765,"TETAP",IF(C765=0,"BARU",IF(O765=0,"HAPUS",IF(O765&gt;C765,"TAMBAH","KURANG"))))</f>
        <v>TETAP</v>
      </c>
    </row>
    <row r="766" spans="1:18" x14ac:dyDescent="0.25">
      <c r="A766" s="5" t="s">
        <v>112</v>
      </c>
      <c r="B766" s="17" t="s">
        <v>635</v>
      </c>
      <c r="C766" s="7"/>
      <c r="D766" s="7"/>
      <c r="E766" s="5"/>
      <c r="F766" s="8"/>
      <c r="G766" s="8"/>
      <c r="H766" s="9"/>
      <c r="I766" s="7"/>
      <c r="J766" s="8"/>
      <c r="K766" s="9"/>
      <c r="L766" s="7"/>
      <c r="M766" s="8"/>
      <c r="N766" s="9"/>
      <c r="O766" s="7"/>
      <c r="P766" s="8"/>
      <c r="Q766" s="9"/>
      <c r="R766" s="5"/>
    </row>
    <row r="767" spans="1:18" x14ac:dyDescent="0.25">
      <c r="A767" s="10" t="s">
        <v>287</v>
      </c>
      <c r="B767" s="18" t="s">
        <v>636</v>
      </c>
      <c r="C767" s="12">
        <v>99.29</v>
      </c>
      <c r="D767" s="12">
        <v>0</v>
      </c>
      <c r="E767" s="10" t="s">
        <v>26</v>
      </c>
      <c r="F767" s="14">
        <v>92770.1</v>
      </c>
      <c r="G767" s="14">
        <f>F767*C767</f>
        <v>9211143.229</v>
      </c>
      <c r="H767" s="15">
        <f>IF($G$1279=0,0,G767/$G$1279*100)</f>
      </c>
      <c r="I767" s="12" t="str">
        <f>IF(O767-C767&gt;0,O767-C767,"")</f>
        <v/>
      </c>
      <c r="J767" s="14" t="str">
        <f>IF(I767="","",F767*I767)</f>
        <v/>
      </c>
      <c r="K767" s="15">
        <f>IF(OR(J767="",$G$1279=0),"",J767/$G$1279*100)</f>
      </c>
      <c r="L767" s="12" t="str">
        <f>IF(C767-O767&gt;0,C767-O767,"")</f>
        <v/>
      </c>
      <c r="M767" s="14" t="str">
        <f>IF(L767="","",F767*L767)</f>
        <v/>
      </c>
      <c r="N767" s="15">
        <f>IF(OR(M767="",$G$1279=0),"",M767/$G$1279*100)</f>
      </c>
      <c r="O767" s="12">
        <v>99.29</v>
      </c>
      <c r="P767" s="14">
        <f>F767*O767</f>
        <v>9211143.229</v>
      </c>
      <c r="Q767" s="15">
        <f>IF($P$1279=0,0,P767/$P$1279*100)</f>
      </c>
      <c r="R767" s="10" t="str">
        <f>IF(O767=C767,"TETAP",IF(C767=0,"BARU",IF(O767=0,"HAPUS",IF(O767&gt;C767,"TAMBAH","KURANG"))))</f>
        <v>TETAP</v>
      </c>
    </row>
    <row r="768" spans="1:18" x14ac:dyDescent="0.25">
      <c r="A768" s="10" t="s">
        <v>288</v>
      </c>
      <c r="B768" s="18" t="s">
        <v>637</v>
      </c>
      <c r="C768" s="12">
        <v>39.12</v>
      </c>
      <c r="D768" s="12">
        <v>0</v>
      </c>
      <c r="E768" s="10" t="s">
        <v>26</v>
      </c>
      <c r="F768" s="14">
        <v>44614.93</v>
      </c>
      <c r="G768" s="14">
        <f>F768*C768</f>
        <v>1745336.0616</v>
      </c>
      <c r="H768" s="15">
        <f>IF($G$1279=0,0,G768/$G$1279*100)</f>
      </c>
      <c r="I768" s="12" t="str">
        <f>IF(O768-C768&gt;0,O768-C768,"")</f>
        <v/>
      </c>
      <c r="J768" s="14" t="str">
        <f>IF(I768="","",F768*I768)</f>
        <v/>
      </c>
      <c r="K768" s="15">
        <f>IF(OR(J768="",$G$1279=0),"",J768/$G$1279*100)</f>
      </c>
      <c r="L768" s="12" t="str">
        <f>IF(C768-O768&gt;0,C768-O768,"")</f>
        <v/>
      </c>
      <c r="M768" s="14" t="str">
        <f>IF(L768="","",F768*L768)</f>
        <v/>
      </c>
      <c r="N768" s="15">
        <f>IF(OR(M768="",$G$1279=0),"",M768/$G$1279*100)</f>
      </c>
      <c r="O768" s="12">
        <v>39.12</v>
      </c>
      <c r="P768" s="14">
        <f>F768*O768</f>
        <v>1745336.0616</v>
      </c>
      <c r="Q768" s="15">
        <f>IF($P$1279=0,0,P768/$P$1279*100)</f>
      </c>
      <c r="R768" s="10" t="str">
        <f>IF(O768=C768,"TETAP",IF(C768=0,"BARU",IF(O768=0,"HAPUS",IF(O768&gt;C768,"TAMBAH","KURANG"))))</f>
        <v>TETAP</v>
      </c>
    </row>
    <row r="769" spans="1:18" x14ac:dyDescent="0.25">
      <c r="A769" s="10" t="s">
        <v>115</v>
      </c>
      <c r="B769" s="20" t="s">
        <v>532</v>
      </c>
      <c r="C769" s="12">
        <v>55.3</v>
      </c>
      <c r="D769" s="12">
        <v>0</v>
      </c>
      <c r="E769" s="10" t="s">
        <v>26</v>
      </c>
      <c r="F769" s="14">
        <v>37047.53</v>
      </c>
      <c r="G769" s="14">
        <f>F769*C769</f>
        <v>2048728.4089999998</v>
      </c>
      <c r="H769" s="15">
        <f>IF($G$1279=0,0,G769/$G$1279*100)</f>
      </c>
      <c r="I769" s="12" t="str">
        <f>IF(O769-C769&gt;0,O769-C769,"")</f>
        <v/>
      </c>
      <c r="J769" s="14" t="str">
        <f>IF(I769="","",F769*I769)</f>
        <v/>
      </c>
      <c r="K769" s="15">
        <f>IF(OR(J769="",$G$1279=0),"",J769/$G$1279*100)</f>
      </c>
      <c r="L769" s="12" t="str">
        <f>IF(C769-O769&gt;0,C769-O769,"")</f>
        <v/>
      </c>
      <c r="M769" s="14" t="str">
        <f>IF(L769="","",F769*L769)</f>
        <v/>
      </c>
      <c r="N769" s="15">
        <f>IF(OR(M769="",$G$1279=0),"",M769/$G$1279*100)</f>
      </c>
      <c r="O769" s="12">
        <v>55.3</v>
      </c>
      <c r="P769" s="14">
        <f>F769*O769</f>
        <v>2048728.4089999998</v>
      </c>
      <c r="Q769" s="15">
        <f>IF($P$1279=0,0,P769/$P$1279*100)</f>
      </c>
      <c r="R769" s="10" t="str">
        <f>IF(O769=C769,"TETAP",IF(C769=0,"BARU",IF(O769=0,"HAPUS",IF(O769&gt;C769,"TAMBAH","KURANG"))))</f>
        <v>TETAP</v>
      </c>
    </row>
    <row r="770" spans="1:18" x14ac:dyDescent="0.25">
      <c r="A770" s="10" t="s">
        <v>132</v>
      </c>
      <c r="B770" s="20" t="s">
        <v>638</v>
      </c>
      <c r="C770" s="12">
        <v>9.18</v>
      </c>
      <c r="D770" s="12">
        <v>0</v>
      </c>
      <c r="E770" s="10" t="s">
        <v>26</v>
      </c>
      <c r="F770" s="14">
        <v>92448.72</v>
      </c>
      <c r="G770" s="14">
        <f>F770*C770</f>
        <v>848679.2496</v>
      </c>
      <c r="H770" s="15">
        <f>IF($G$1279=0,0,G770/$G$1279*100)</f>
      </c>
      <c r="I770" s="12" t="str">
        <f>IF(O770-C770&gt;0,O770-C770,"")</f>
        <v/>
      </c>
      <c r="J770" s="14" t="str">
        <f>IF(I770="","",F770*I770)</f>
        <v/>
      </c>
      <c r="K770" s="15">
        <f>IF(OR(J770="",$G$1279=0),"",J770/$G$1279*100)</f>
      </c>
      <c r="L770" s="12" t="str">
        <f>IF(C770-O770&gt;0,C770-O770,"")</f>
        <v/>
      </c>
      <c r="M770" s="14" t="str">
        <f>IF(L770="","",F770*L770)</f>
        <v/>
      </c>
      <c r="N770" s="15">
        <f>IF(OR(M770="",$G$1279=0),"",M770/$G$1279*100)</f>
      </c>
      <c r="O770" s="12">
        <v>9.18</v>
      </c>
      <c r="P770" s="14">
        <f>F770*O770</f>
        <v>848679.2496</v>
      </c>
      <c r="Q770" s="15">
        <f>IF($P$1279=0,0,P770/$P$1279*100)</f>
      </c>
      <c r="R770" s="10" t="str">
        <f>IF(O770=C770,"TETAP",IF(C770=0,"BARU",IF(O770=0,"HAPUS",IF(O770&gt;C770,"TAMBAH","KURANG"))))</f>
        <v>TETAP</v>
      </c>
    </row>
    <row r="771" spans="1:18" x14ac:dyDescent="0.25">
      <c r="A771" s="5" t="s">
        <v>138</v>
      </c>
      <c r="B771" s="17" t="s">
        <v>411</v>
      </c>
      <c r="C771" s="7"/>
      <c r="D771" s="7"/>
      <c r="E771" s="5"/>
      <c r="F771" s="8"/>
      <c r="G771" s="8"/>
      <c r="H771" s="9"/>
      <c r="I771" s="7"/>
      <c r="J771" s="8"/>
      <c r="K771" s="9"/>
      <c r="L771" s="7"/>
      <c r="M771" s="8"/>
      <c r="N771" s="9"/>
      <c r="O771" s="7"/>
      <c r="P771" s="8"/>
      <c r="Q771" s="9"/>
      <c r="R771" s="5"/>
    </row>
    <row r="772" spans="1:18" x14ac:dyDescent="0.25">
      <c r="A772" s="10" t="s">
        <v>140</v>
      </c>
      <c r="B772" s="18" t="s">
        <v>639</v>
      </c>
      <c r="C772" s="12">
        <v>55.12</v>
      </c>
      <c r="D772" s="12">
        <v>0</v>
      </c>
      <c r="E772" s="10" t="s">
        <v>26</v>
      </c>
      <c r="F772" s="14">
        <v>220408.83</v>
      </c>
      <c r="G772" s="14">
        <f>F772*C772</f>
        <v>12148934.709599998</v>
      </c>
      <c r="H772" s="15">
        <f>IF($G$1279=0,0,G772/$G$1279*100)</f>
      </c>
      <c r="I772" s="12" t="str">
        <f>IF(O772-C772&gt;0,O772-C772,"")</f>
        <v/>
      </c>
      <c r="J772" s="14" t="str">
        <f>IF(I772="","",F772*I772)</f>
        <v/>
      </c>
      <c r="K772" s="15">
        <f>IF(OR(J772="",$G$1279=0),"",J772/$G$1279*100)</f>
      </c>
      <c r="L772" s="12" t="str">
        <f>IF(C772-O772&gt;0,C772-O772,"")</f>
        <v/>
      </c>
      <c r="M772" s="14" t="str">
        <f>IF(L772="","",F772*L772)</f>
        <v/>
      </c>
      <c r="N772" s="15">
        <f>IF(OR(M772="",$G$1279=0),"",M772/$G$1279*100)</f>
      </c>
      <c r="O772" s="12">
        <v>55.12</v>
      </c>
      <c r="P772" s="14">
        <f>F772*O772</f>
        <v>12148934.709599998</v>
      </c>
      <c r="Q772" s="15">
        <f>IF($P$1279=0,0,P772/$P$1279*100)</f>
      </c>
      <c r="R772" s="10" t="str">
        <f>IF(O772=C772,"TETAP",IF(C772=0,"BARU",IF(O772=0,"HAPUS",IF(O772&gt;C772,"TAMBAH","KURANG"))))</f>
        <v>TETAP</v>
      </c>
    </row>
    <row r="773" spans="1:18" x14ac:dyDescent="0.25">
      <c r="A773" s="10" t="s">
        <v>142</v>
      </c>
      <c r="B773" s="18" t="s">
        <v>413</v>
      </c>
      <c r="C773" s="12">
        <v>152.87</v>
      </c>
      <c r="D773" s="12">
        <v>0</v>
      </c>
      <c r="E773" s="10" t="s">
        <v>37</v>
      </c>
      <c r="F773" s="14">
        <v>6848.67</v>
      </c>
      <c r="G773" s="14">
        <f>F773*C773</f>
        <v>1046956.1829</v>
      </c>
      <c r="H773" s="15">
        <f>IF($G$1279=0,0,G773/$G$1279*100)</f>
      </c>
      <c r="I773" s="12" t="str">
        <f>IF(O773-C773&gt;0,O773-C773,"")</f>
        <v/>
      </c>
      <c r="J773" s="14" t="str">
        <f>IF(I773="","",F773*I773)</f>
        <v/>
      </c>
      <c r="K773" s="15">
        <f>IF(OR(J773="",$G$1279=0),"",J773/$G$1279*100)</f>
      </c>
      <c r="L773" s="12" t="str">
        <f>IF(C773-O773&gt;0,C773-O773,"")</f>
        <v/>
      </c>
      <c r="M773" s="14" t="str">
        <f>IF(L773="","",F773*L773)</f>
        <v/>
      </c>
      <c r="N773" s="15">
        <f>IF(OR(M773="",$G$1279=0),"",M773/$G$1279*100)</f>
      </c>
      <c r="O773" s="12">
        <v>152.87</v>
      </c>
      <c r="P773" s="14">
        <f>F773*O773</f>
        <v>1046956.1829</v>
      </c>
      <c r="Q773" s="15">
        <f>IF($P$1279=0,0,P773/$P$1279*100)</f>
      </c>
      <c r="R773" s="10" t="str">
        <f>IF(O773=C773,"TETAP",IF(C773=0,"BARU",IF(O773=0,"HAPUS",IF(O773&gt;C773,"TAMBAH","KURANG"))))</f>
        <v>TETAP</v>
      </c>
    </row>
    <row r="774" spans="1:18" x14ac:dyDescent="0.25">
      <c r="A774" s="10" t="s">
        <v>512</v>
      </c>
      <c r="B774" s="18" t="s">
        <v>513</v>
      </c>
      <c r="C774" s="12">
        <v>103.76</v>
      </c>
      <c r="D774" s="12">
        <v>0</v>
      </c>
      <c r="E774" s="10" t="s">
        <v>26</v>
      </c>
      <c r="F774" s="14">
        <v>201383.58</v>
      </c>
      <c r="G774" s="14">
        <f>F774*C774</f>
        <v>20895560.2608</v>
      </c>
      <c r="H774" s="15">
        <f>IF($G$1279=0,0,G774/$G$1279*100)</f>
      </c>
      <c r="I774" s="12" t="str">
        <f>IF(O774-C774&gt;0,O774-C774,"")</f>
        <v/>
      </c>
      <c r="J774" s="14" t="str">
        <f>IF(I774="","",F774*I774)</f>
        <v/>
      </c>
      <c r="K774" s="15">
        <f>IF(OR(J774="",$G$1279=0),"",J774/$G$1279*100)</f>
      </c>
      <c r="L774" s="12" t="str">
        <f>IF(C774-O774&gt;0,C774-O774,"")</f>
        <v/>
      </c>
      <c r="M774" s="14" t="str">
        <f>IF(L774="","",F774*L774)</f>
        <v/>
      </c>
      <c r="N774" s="15">
        <f>IF(OR(M774="",$G$1279=0),"",M774/$G$1279*100)</f>
      </c>
      <c r="O774" s="12">
        <v>103.76</v>
      </c>
      <c r="P774" s="14">
        <f>F774*O774</f>
        <v>20895560.2608</v>
      </c>
      <c r="Q774" s="15">
        <f>IF($P$1279=0,0,P774/$P$1279*100)</f>
      </c>
      <c r="R774" s="10" t="str">
        <f>IF(O774=C774,"TETAP",IF(C774=0,"BARU",IF(O774=0,"HAPUS",IF(O774&gt;C774,"TAMBAH","KURANG"))))</f>
        <v>TETAP</v>
      </c>
    </row>
    <row r="775" spans="1:18" x14ac:dyDescent="0.25">
      <c r="A775" s="10" t="s">
        <v>514</v>
      </c>
      <c r="B775" s="18" t="s">
        <v>415</v>
      </c>
      <c r="C775" s="12">
        <v>25.51</v>
      </c>
      <c r="D775" s="12">
        <v>0</v>
      </c>
      <c r="E775" s="10" t="s">
        <v>37</v>
      </c>
      <c r="F775" s="14">
        <v>180329.43</v>
      </c>
      <c r="G775" s="14">
        <f>F775*C775</f>
        <v>4600203.7593</v>
      </c>
      <c r="H775" s="15">
        <f>IF($G$1279=0,0,G775/$G$1279*100)</f>
      </c>
      <c r="I775" s="12" t="str">
        <f>IF(O775-C775&gt;0,O775-C775,"")</f>
        <v/>
      </c>
      <c r="J775" s="14" t="str">
        <f>IF(I775="","",F775*I775)</f>
        <v/>
      </c>
      <c r="K775" s="15">
        <f>IF(OR(J775="",$G$1279=0),"",J775/$G$1279*100)</f>
      </c>
      <c r="L775" s="12" t="str">
        <f>IF(C775-O775&gt;0,C775-O775,"")</f>
        <v/>
      </c>
      <c r="M775" s="14" t="str">
        <f>IF(L775="","",F775*L775)</f>
        <v/>
      </c>
      <c r="N775" s="15">
        <f>IF(OR(M775="",$G$1279=0),"",M775/$G$1279*100)</f>
      </c>
      <c r="O775" s="12">
        <v>25.51</v>
      </c>
      <c r="P775" s="14">
        <f>F775*O775</f>
        <v>4600203.7593</v>
      </c>
      <c r="Q775" s="15">
        <f>IF($P$1279=0,0,P775/$P$1279*100)</f>
      </c>
      <c r="R775" s="10" t="str">
        <f>IF(O775=C775,"TETAP",IF(C775=0,"BARU",IF(O775=0,"HAPUS",IF(O775&gt;C775,"TAMBAH","KURANG"))))</f>
        <v>TETAP</v>
      </c>
    </row>
    <row r="776" spans="1:18" x14ac:dyDescent="0.25">
      <c r="A776" s="10" t="s">
        <v>144</v>
      </c>
      <c r="B776" s="20" t="s">
        <v>420</v>
      </c>
      <c r="C776" s="12">
        <v>30.6</v>
      </c>
      <c r="D776" s="12">
        <v>0</v>
      </c>
      <c r="E776" s="10" t="s">
        <v>37</v>
      </c>
      <c r="F776" s="14">
        <v>104856.07</v>
      </c>
      <c r="G776" s="14">
        <f>F776*C776</f>
        <v>3208595.7420000006</v>
      </c>
      <c r="H776" s="15">
        <f>IF($G$1279=0,0,G776/$G$1279*100)</f>
      </c>
      <c r="I776" s="12" t="str">
        <f>IF(O776-C776&gt;0,O776-C776,"")</f>
        <v/>
      </c>
      <c r="J776" s="14" t="str">
        <f>IF(I776="","",F776*I776)</f>
        <v/>
      </c>
      <c r="K776" s="15">
        <f>IF(OR(J776="",$G$1279=0),"",J776/$G$1279*100)</f>
      </c>
      <c r="L776" s="12" t="str">
        <f>IF(C776-O776&gt;0,C776-O776,"")</f>
        <v/>
      </c>
      <c r="M776" s="14" t="str">
        <f>IF(L776="","",F776*L776)</f>
        <v/>
      </c>
      <c r="N776" s="15">
        <f>IF(OR(M776="",$G$1279=0),"",M776/$G$1279*100)</f>
      </c>
      <c r="O776" s="12">
        <v>30.6</v>
      </c>
      <c r="P776" s="14">
        <f>F776*O776</f>
        <v>3208595.7420000006</v>
      </c>
      <c r="Q776" s="15">
        <f>IF($P$1279=0,0,P776/$P$1279*100)</f>
      </c>
      <c r="R776" s="10" t="str">
        <f>IF(O776=C776,"TETAP",IF(C776=0,"BARU",IF(O776=0,"HAPUS",IF(O776&gt;C776,"TAMBAH","KURANG"))))</f>
        <v>TETAP</v>
      </c>
    </row>
    <row r="777" spans="1:18" x14ac:dyDescent="0.25">
      <c r="A777" s="10" t="s">
        <v>150</v>
      </c>
      <c r="B777" s="20" t="s">
        <v>640</v>
      </c>
      <c r="C777" s="12">
        <v>1</v>
      </c>
      <c r="D777" s="12">
        <v>0</v>
      </c>
      <c r="E777" s="10" t="s">
        <v>119</v>
      </c>
      <c r="F777" s="14">
        <v>2296017.52</v>
      </c>
      <c r="G777" s="14">
        <f>F777*C777</f>
        <v>2296017.52</v>
      </c>
      <c r="H777" s="15">
        <f>IF($G$1279=0,0,G777/$G$1279*100)</f>
      </c>
      <c r="I777" s="12" t="str">
        <f>IF(O777-C777&gt;0,O777-C777,"")</f>
        <v/>
      </c>
      <c r="J777" s="14" t="str">
        <f>IF(I777="","",F777*I777)</f>
        <v/>
      </c>
      <c r="K777" s="15">
        <f>IF(OR(J777="",$G$1279=0),"",J777/$G$1279*100)</f>
      </c>
      <c r="L777" s="12" t="str">
        <f>IF(C777-O777&gt;0,C777-O777,"")</f>
        <v/>
      </c>
      <c r="M777" s="14" t="str">
        <f>IF(L777="","",F777*L777)</f>
        <v/>
      </c>
      <c r="N777" s="15">
        <f>IF(OR(M777="",$G$1279=0),"",M777/$G$1279*100)</f>
      </c>
      <c r="O777" s="12">
        <v>1</v>
      </c>
      <c r="P777" s="14">
        <f>F777*O777</f>
        <v>2296017.52</v>
      </c>
      <c r="Q777" s="15">
        <f>IF($P$1279=0,0,P777/$P$1279*100)</f>
      </c>
      <c r="R777" s="10" t="str">
        <f>IF(O777=C777,"TETAP",IF(C777=0,"BARU",IF(O777=0,"HAPUS",IF(O777&gt;C777,"TAMBAH","KURANG"))))</f>
        <v>TETAP</v>
      </c>
    </row>
    <row r="778" spans="1:18" x14ac:dyDescent="0.25">
      <c r="A778" s="10" t="s">
        <v>152</v>
      </c>
      <c r="B778" s="20" t="s">
        <v>641</v>
      </c>
      <c r="C778" s="12">
        <v>15</v>
      </c>
      <c r="D778" s="12">
        <v>0</v>
      </c>
      <c r="E778" s="10" t="s">
        <v>32</v>
      </c>
      <c r="F778" s="14">
        <v>255040.84</v>
      </c>
      <c r="G778" s="14">
        <f>F778*C778</f>
        <v>3825612.6</v>
      </c>
      <c r="H778" s="15">
        <f>IF($G$1279=0,0,G778/$G$1279*100)</f>
      </c>
      <c r="I778" s="12" t="str">
        <f>IF(O778-C778&gt;0,O778-C778,"")</f>
        <v/>
      </c>
      <c r="J778" s="14" t="str">
        <f>IF(I778="","",F778*I778)</f>
        <v/>
      </c>
      <c r="K778" s="15">
        <f>IF(OR(J778="",$G$1279=0),"",J778/$G$1279*100)</f>
      </c>
      <c r="L778" s="12" t="str">
        <f>IF(C778-O778&gt;0,C778-O778,"")</f>
        <v/>
      </c>
      <c r="M778" s="14" t="str">
        <f>IF(L778="","",F778*L778)</f>
        <v/>
      </c>
      <c r="N778" s="15">
        <f>IF(OR(M778="",$G$1279=0),"",M778/$G$1279*100)</f>
      </c>
      <c r="O778" s="12">
        <v>15</v>
      </c>
      <c r="P778" s="14">
        <f>F778*O778</f>
        <v>3825612.6</v>
      </c>
      <c r="Q778" s="15">
        <f>IF($P$1279=0,0,P778/$P$1279*100)</f>
      </c>
      <c r="R778" s="10" t="str">
        <f>IF(O778=C778,"TETAP",IF(C778=0,"BARU",IF(O778=0,"HAPUS",IF(O778&gt;C778,"TAMBAH","KURANG"))))</f>
        <v>TETAP</v>
      </c>
    </row>
    <row r="779" spans="1:18" x14ac:dyDescent="0.25">
      <c r="A779" s="10" t="s">
        <v>531</v>
      </c>
      <c r="B779" s="20" t="s">
        <v>543</v>
      </c>
      <c r="C779" s="12">
        <v>2</v>
      </c>
      <c r="D779" s="12">
        <v>0</v>
      </c>
      <c r="E779" s="10" t="s">
        <v>32</v>
      </c>
      <c r="F779" s="14">
        <v>2013633.74</v>
      </c>
      <c r="G779" s="14">
        <f>F779*C779</f>
        <v>4027267.48</v>
      </c>
      <c r="H779" s="15">
        <f>IF($G$1279=0,0,G779/$G$1279*100)</f>
      </c>
      <c r="I779" s="12" t="str">
        <f>IF(O779-C779&gt;0,O779-C779,"")</f>
        <v/>
      </c>
      <c r="J779" s="14" t="str">
        <f>IF(I779="","",F779*I779)</f>
        <v/>
      </c>
      <c r="K779" s="15">
        <f>IF(OR(J779="",$G$1279=0),"",J779/$G$1279*100)</f>
      </c>
      <c r="L779" s="12" t="str">
        <f>IF(C779-O779&gt;0,C779-O779,"")</f>
        <v/>
      </c>
      <c r="M779" s="14" t="str">
        <f>IF(L779="","",F779*L779)</f>
        <v/>
      </c>
      <c r="N779" s="15">
        <f>IF(OR(M779="",$G$1279=0),"",M779/$G$1279*100)</f>
      </c>
      <c r="O779" s="12">
        <v>2</v>
      </c>
      <c r="P779" s="14">
        <f>F779*O779</f>
        <v>4027267.48</v>
      </c>
      <c r="Q779" s="15">
        <f>IF($P$1279=0,0,P779/$P$1279*100)</f>
      </c>
      <c r="R779" s="10" t="str">
        <f>IF(O779=C779,"TETAP",IF(C779=0,"BARU",IF(O779=0,"HAPUS",IF(O779&gt;C779,"TAMBAH","KURANG"))))</f>
        <v>TETAP</v>
      </c>
    </row>
    <row r="780" spans="1:18" x14ac:dyDescent="0.25">
      <c r="A780" s="10" t="s">
        <v>533</v>
      </c>
      <c r="B780" s="20" t="s">
        <v>544</v>
      </c>
      <c r="C780" s="12">
        <v>2</v>
      </c>
      <c r="D780" s="12">
        <v>0</v>
      </c>
      <c r="E780" s="10" t="s">
        <v>32</v>
      </c>
      <c r="F780" s="14">
        <v>614149.46</v>
      </c>
      <c r="G780" s="14">
        <f>F780*C780</f>
        <v>1228298.92</v>
      </c>
      <c r="H780" s="15">
        <f>IF($G$1279=0,0,G780/$G$1279*100)</f>
      </c>
      <c r="I780" s="12" t="str">
        <f>IF(O780-C780&gt;0,O780-C780,"")</f>
        <v/>
      </c>
      <c r="J780" s="14" t="str">
        <f>IF(I780="","",F780*I780)</f>
        <v/>
      </c>
      <c r="K780" s="15">
        <f>IF(OR(J780="",$G$1279=0),"",J780/$G$1279*100)</f>
      </c>
      <c r="L780" s="12" t="str">
        <f>IF(C780-O780&gt;0,C780-O780,"")</f>
        <v/>
      </c>
      <c r="M780" s="14" t="str">
        <f>IF(L780="","",F780*L780)</f>
        <v/>
      </c>
      <c r="N780" s="15">
        <f>IF(OR(M780="",$G$1279=0),"",M780/$G$1279*100)</f>
      </c>
      <c r="O780" s="12">
        <v>2</v>
      </c>
      <c r="P780" s="14">
        <f>F780*O780</f>
        <v>1228298.92</v>
      </c>
      <c r="Q780" s="15">
        <f>IF($P$1279=0,0,P780/$P$1279*100)</f>
      </c>
      <c r="R780" s="10" t="str">
        <f>IF(O780=C780,"TETAP",IF(C780=0,"BARU",IF(O780=0,"HAPUS",IF(O780&gt;C780,"TAMBAH","KURANG"))))</f>
        <v>TETAP</v>
      </c>
    </row>
    <row r="781" spans="1:18" x14ac:dyDescent="0.25">
      <c r="A781" s="10" t="s">
        <v>534</v>
      </c>
      <c r="B781" s="20" t="s">
        <v>545</v>
      </c>
      <c r="C781" s="12">
        <v>2</v>
      </c>
      <c r="D781" s="12">
        <v>0</v>
      </c>
      <c r="E781" s="10" t="s">
        <v>32</v>
      </c>
      <c r="F781" s="14">
        <v>106885.15</v>
      </c>
      <c r="G781" s="14">
        <f>F781*C781</f>
        <v>213770.3</v>
      </c>
      <c r="H781" s="15">
        <f>IF($G$1279=0,0,G781/$G$1279*100)</f>
      </c>
      <c r="I781" s="12" t="str">
        <f>IF(O781-C781&gt;0,O781-C781,"")</f>
        <v/>
      </c>
      <c r="J781" s="14" t="str">
        <f>IF(I781="","",F781*I781)</f>
        <v/>
      </c>
      <c r="K781" s="15">
        <f>IF(OR(J781="",$G$1279=0),"",J781/$G$1279*100)</f>
      </c>
      <c r="L781" s="12" t="str">
        <f>IF(C781-O781&gt;0,C781-O781,"")</f>
        <v/>
      </c>
      <c r="M781" s="14" t="str">
        <f>IF(L781="","",F781*L781)</f>
        <v/>
      </c>
      <c r="N781" s="15">
        <f>IF(OR(M781="",$G$1279=0),"",M781/$G$1279*100)</f>
      </c>
      <c r="O781" s="12">
        <v>2</v>
      </c>
      <c r="P781" s="14">
        <f>F781*O781</f>
        <v>213770.3</v>
      </c>
      <c r="Q781" s="15">
        <f>IF($P$1279=0,0,P781/$P$1279*100)</f>
      </c>
      <c r="R781" s="10" t="str">
        <f>IF(O781=C781,"TETAP",IF(C781=0,"BARU",IF(O781=0,"HAPUS",IF(O781&gt;C781,"TAMBAH","KURANG"))))</f>
        <v>TETAP</v>
      </c>
    </row>
    <row r="782" spans="1:18" x14ac:dyDescent="0.25">
      <c r="A782" s="10" t="s">
        <v>580</v>
      </c>
      <c r="B782" s="20" t="s">
        <v>546</v>
      </c>
      <c r="C782" s="12">
        <v>2</v>
      </c>
      <c r="D782" s="12">
        <v>0</v>
      </c>
      <c r="E782" s="10" t="s">
        <v>32</v>
      </c>
      <c r="F782" s="14">
        <v>100809.92</v>
      </c>
      <c r="G782" s="14">
        <f>F782*C782</f>
        <v>201619.84</v>
      </c>
      <c r="H782" s="15">
        <f>IF($G$1279=0,0,G782/$G$1279*100)</f>
      </c>
      <c r="I782" s="12" t="str">
        <f>IF(O782-C782&gt;0,O782-C782,"")</f>
        <v/>
      </c>
      <c r="J782" s="14" t="str">
        <f>IF(I782="","",F782*I782)</f>
        <v/>
      </c>
      <c r="K782" s="15">
        <f>IF(OR(J782="",$G$1279=0),"",J782/$G$1279*100)</f>
      </c>
      <c r="L782" s="12" t="str">
        <f>IF(C782-O782&gt;0,C782-O782,"")</f>
        <v/>
      </c>
      <c r="M782" s="14" t="str">
        <f>IF(L782="","",F782*L782)</f>
        <v/>
      </c>
      <c r="N782" s="15">
        <f>IF(OR(M782="",$G$1279=0),"",M782/$G$1279*100)</f>
      </c>
      <c r="O782" s="12">
        <v>2</v>
      </c>
      <c r="P782" s="14">
        <f>F782*O782</f>
        <v>201619.84</v>
      </c>
      <c r="Q782" s="15">
        <f>IF($P$1279=0,0,P782/$P$1279*100)</f>
      </c>
      <c r="R782" s="10" t="str">
        <f>IF(O782=C782,"TETAP",IF(C782=0,"BARU",IF(O782=0,"HAPUS",IF(O782&gt;C782,"TAMBAH","KURANG"))))</f>
        <v>TETAP</v>
      </c>
    </row>
    <row r="783" spans="1:18" x14ac:dyDescent="0.25">
      <c r="A783" s="10" t="s">
        <v>582</v>
      </c>
      <c r="B783" s="20" t="s">
        <v>539</v>
      </c>
      <c r="C783" s="12">
        <v>2.4</v>
      </c>
      <c r="D783" s="12">
        <v>0</v>
      </c>
      <c r="E783" s="10" t="s">
        <v>37</v>
      </c>
      <c r="F783" s="14">
        <v>30562.21</v>
      </c>
      <c r="G783" s="14">
        <f>F783*C783</f>
        <v>73349.30399999999</v>
      </c>
      <c r="H783" s="15">
        <f>IF($G$1279=0,0,G783/$G$1279*100)</f>
      </c>
      <c r="I783" s="12" t="str">
        <f>IF(O783-C783&gt;0,O783-C783,"")</f>
        <v/>
      </c>
      <c r="J783" s="14" t="str">
        <f>IF(I783="","",F783*I783)</f>
        <v/>
      </c>
      <c r="K783" s="15">
        <f>IF(OR(J783="",$G$1279=0),"",J783/$G$1279*100)</f>
      </c>
      <c r="L783" s="12" t="str">
        <f>IF(C783-O783&gt;0,C783-O783,"")</f>
        <v/>
      </c>
      <c r="M783" s="14" t="str">
        <f>IF(L783="","",F783*L783)</f>
        <v/>
      </c>
      <c r="N783" s="15">
        <f>IF(OR(M783="",$G$1279=0),"",M783/$G$1279*100)</f>
      </c>
      <c r="O783" s="12">
        <v>2.4</v>
      </c>
      <c r="P783" s="14">
        <f>F783*O783</f>
        <v>73349.30399999999</v>
      </c>
      <c r="Q783" s="15">
        <f>IF($P$1279=0,0,P783/$P$1279*100)</f>
      </c>
      <c r="R783" s="10" t="str">
        <f>IF(O783=C783,"TETAP",IF(C783=0,"BARU",IF(O783=0,"HAPUS",IF(O783&gt;C783,"TAMBAH","KURANG"))))</f>
        <v>TETAP</v>
      </c>
    </row>
    <row r="784" spans="1:18" x14ac:dyDescent="0.25">
      <c r="A784" s="10" t="s">
        <v>642</v>
      </c>
      <c r="B784" s="20" t="s">
        <v>540</v>
      </c>
      <c r="C784" s="12">
        <v>8</v>
      </c>
      <c r="D784" s="12">
        <v>0</v>
      </c>
      <c r="E784" s="10" t="s">
        <v>37</v>
      </c>
      <c r="F784" s="14">
        <v>54093.52</v>
      </c>
      <c r="G784" s="14">
        <f>F784*C784</f>
        <v>432748.16</v>
      </c>
      <c r="H784" s="15">
        <f>IF($G$1279=0,0,G784/$G$1279*100)</f>
      </c>
      <c r="I784" s="12" t="str">
        <f>IF(O784-C784&gt;0,O784-C784,"")</f>
        <v/>
      </c>
      <c r="J784" s="14" t="str">
        <f>IF(I784="","",F784*I784)</f>
        <v/>
      </c>
      <c r="K784" s="15">
        <f>IF(OR(J784="",$G$1279=0),"",J784/$G$1279*100)</f>
      </c>
      <c r="L784" s="12" t="str">
        <f>IF(C784-O784&gt;0,C784-O784,"")</f>
        <v/>
      </c>
      <c r="M784" s="14" t="str">
        <f>IF(L784="","",F784*L784)</f>
        <v/>
      </c>
      <c r="N784" s="15">
        <f>IF(OR(M784="",$G$1279=0),"",M784/$G$1279*100)</f>
      </c>
      <c r="O784" s="12">
        <v>8</v>
      </c>
      <c r="P784" s="14">
        <f>F784*O784</f>
        <v>432748.16</v>
      </c>
      <c r="Q784" s="15">
        <f>IF($P$1279=0,0,P784/$P$1279*100)</f>
      </c>
      <c r="R784" s="10" t="str">
        <f>IF(O784=C784,"TETAP",IF(C784=0,"BARU",IF(O784=0,"HAPUS",IF(O784&gt;C784,"TAMBAH","KURANG"))))</f>
        <v>TETAP</v>
      </c>
    </row>
    <row r="785" spans="1:18" x14ac:dyDescent="0.25">
      <c r="A785" s="10" t="s">
        <v>643</v>
      </c>
      <c r="B785" s="20" t="s">
        <v>541</v>
      </c>
      <c r="C785" s="12">
        <v>3.8</v>
      </c>
      <c r="D785" s="12">
        <v>0</v>
      </c>
      <c r="E785" s="10" t="s">
        <v>37</v>
      </c>
      <c r="F785" s="14">
        <v>193777.46</v>
      </c>
      <c r="G785" s="14">
        <f>F785*C785</f>
        <v>736354.3479999999</v>
      </c>
      <c r="H785" s="15">
        <f>IF($G$1279=0,0,G785/$G$1279*100)</f>
      </c>
      <c r="I785" s="12" t="str">
        <f>IF(O785-C785&gt;0,O785-C785,"")</f>
        <v/>
      </c>
      <c r="J785" s="14" t="str">
        <f>IF(I785="","",F785*I785)</f>
        <v/>
      </c>
      <c r="K785" s="15">
        <f>IF(OR(J785="",$G$1279=0),"",J785/$G$1279*100)</f>
      </c>
      <c r="L785" s="12" t="str">
        <f>IF(C785-O785&gt;0,C785-O785,"")</f>
        <v/>
      </c>
      <c r="M785" s="14" t="str">
        <f>IF(L785="","",F785*L785)</f>
        <v/>
      </c>
      <c r="N785" s="15">
        <f>IF(OR(M785="",$G$1279=0),"",M785/$G$1279*100)</f>
      </c>
      <c r="O785" s="12">
        <v>3.8</v>
      </c>
      <c r="P785" s="14">
        <f>F785*O785</f>
        <v>736354.3479999999</v>
      </c>
      <c r="Q785" s="15">
        <f>IF($P$1279=0,0,P785/$P$1279*100)</f>
      </c>
      <c r="R785" s="10" t="str">
        <f>IF(O785=C785,"TETAP",IF(C785=0,"BARU",IF(O785=0,"HAPUS",IF(O785&gt;C785,"TAMBAH","KURANG"))))</f>
        <v>TETAP</v>
      </c>
    </row>
    <row r="786" spans="1:18" x14ac:dyDescent="0.25">
      <c r="A786" s="10" t="s">
        <v>644</v>
      </c>
      <c r="B786" s="20" t="s">
        <v>542</v>
      </c>
      <c r="C786" s="12">
        <v>3.5</v>
      </c>
      <c r="D786" s="12">
        <v>0</v>
      </c>
      <c r="E786" s="10" t="s">
        <v>37</v>
      </c>
      <c r="F786" s="14">
        <v>317261.88</v>
      </c>
      <c r="G786" s="14">
        <f>F786*C786</f>
        <v>1110416.58</v>
      </c>
      <c r="H786" s="15">
        <f>IF($G$1279=0,0,G786/$G$1279*100)</f>
      </c>
      <c r="I786" s="12" t="str">
        <f>IF(O786-C786&gt;0,O786-C786,"")</f>
        <v/>
      </c>
      <c r="J786" s="14" t="str">
        <f>IF(I786="","",F786*I786)</f>
        <v/>
      </c>
      <c r="K786" s="15">
        <f>IF(OR(J786="",$G$1279=0),"",J786/$G$1279*100)</f>
      </c>
      <c r="L786" s="12" t="str">
        <f>IF(C786-O786&gt;0,C786-O786,"")</f>
        <v/>
      </c>
      <c r="M786" s="14" t="str">
        <f>IF(L786="","",F786*L786)</f>
        <v/>
      </c>
      <c r="N786" s="15">
        <f>IF(OR(M786="",$G$1279=0),"",M786/$G$1279*100)</f>
      </c>
      <c r="O786" s="12">
        <v>3.5</v>
      </c>
      <c r="P786" s="14">
        <f>F786*O786</f>
        <v>1110416.58</v>
      </c>
      <c r="Q786" s="15">
        <f>IF($P$1279=0,0,P786/$P$1279*100)</f>
      </c>
      <c r="R786" s="10" t="str">
        <f>IF(O786=C786,"TETAP",IF(C786=0,"BARU",IF(O786=0,"HAPUS",IF(O786&gt;C786,"TAMBAH","KURANG"))))</f>
        <v>TETAP</v>
      </c>
    </row>
    <row r="787" spans="1:18" x14ac:dyDescent="0.25">
      <c r="A787" s="10" t="s">
        <v>645</v>
      </c>
      <c r="B787" s="20" t="s">
        <v>547</v>
      </c>
      <c r="C787" s="12">
        <v>1</v>
      </c>
      <c r="D787" s="12">
        <v>0</v>
      </c>
      <c r="E787" s="10" t="s">
        <v>32</v>
      </c>
      <c r="F787" s="14">
        <v>1302327.57</v>
      </c>
      <c r="G787" s="14">
        <f>F787*C787</f>
        <v>1302327.57</v>
      </c>
      <c r="H787" s="15">
        <f>IF($G$1279=0,0,G787/$G$1279*100)</f>
      </c>
      <c r="I787" s="12" t="str">
        <f>IF(O787-C787&gt;0,O787-C787,"")</f>
        <v/>
      </c>
      <c r="J787" s="14" t="str">
        <f>IF(I787="","",F787*I787)</f>
        <v/>
      </c>
      <c r="K787" s="15">
        <f>IF(OR(J787="",$G$1279=0),"",J787/$G$1279*100)</f>
      </c>
      <c r="L787" s="12" t="str">
        <f>IF(C787-O787&gt;0,C787-O787,"")</f>
        <v/>
      </c>
      <c r="M787" s="14" t="str">
        <f>IF(L787="","",F787*L787)</f>
        <v/>
      </c>
      <c r="N787" s="15">
        <f>IF(OR(M787="",$G$1279=0),"",M787/$G$1279*100)</f>
      </c>
      <c r="O787" s="12">
        <v>1</v>
      </c>
      <c r="P787" s="14">
        <f>F787*O787</f>
        <v>1302327.57</v>
      </c>
      <c r="Q787" s="15">
        <f>IF($P$1279=0,0,P787/$P$1279*100)</f>
      </c>
      <c r="R787" s="10" t="str">
        <f>IF(O787=C787,"TETAP",IF(C787=0,"BARU",IF(O787=0,"HAPUS",IF(O787&gt;C787,"TAMBAH","KURANG"))))</f>
        <v>TETAP</v>
      </c>
    </row>
    <row r="788" spans="1:18" x14ac:dyDescent="0.25">
      <c r="A788" s="10" t="s">
        <v>646</v>
      </c>
      <c r="B788" s="20" t="s">
        <v>570</v>
      </c>
      <c r="C788" s="12">
        <v>1</v>
      </c>
      <c r="D788" s="12">
        <v>0</v>
      </c>
      <c r="E788" s="10" t="s">
        <v>119</v>
      </c>
      <c r="F788" s="14">
        <v>2515037.57</v>
      </c>
      <c r="G788" s="14">
        <f>F788*C788</f>
        <v>2515037.57</v>
      </c>
      <c r="H788" s="15">
        <f>IF($G$1279=0,0,G788/$G$1279*100)</f>
      </c>
      <c r="I788" s="12" t="str">
        <f>IF(O788-C788&gt;0,O788-C788,"")</f>
        <v/>
      </c>
      <c r="J788" s="14" t="str">
        <f>IF(I788="","",F788*I788)</f>
        <v/>
      </c>
      <c r="K788" s="15">
        <f>IF(OR(J788="",$G$1279=0),"",J788/$G$1279*100)</f>
      </c>
      <c r="L788" s="12" t="str">
        <f>IF(C788-O788&gt;0,C788-O788,"")</f>
        <v/>
      </c>
      <c r="M788" s="14" t="str">
        <f>IF(L788="","",F788*L788)</f>
        <v/>
      </c>
      <c r="N788" s="15">
        <f>IF(OR(M788="",$G$1279=0),"",M788/$G$1279*100)</f>
      </c>
      <c r="O788" s="12">
        <v>1</v>
      </c>
      <c r="P788" s="14">
        <f>F788*O788</f>
        <v>2515037.57</v>
      </c>
      <c r="Q788" s="15">
        <f>IF($P$1279=0,0,P788/$P$1279*100)</f>
      </c>
      <c r="R788" s="10" t="str">
        <f>IF(O788=C788,"TETAP",IF(C788=0,"BARU",IF(O788=0,"HAPUS",IF(O788&gt;C788,"TAMBAH","KURANG"))))</f>
        <v>TETAP</v>
      </c>
    </row>
    <row r="789" spans="1:18" x14ac:dyDescent="0.25">
      <c r="A789" s="5" t="s">
        <v>647</v>
      </c>
      <c r="B789" s="17" t="s">
        <v>548</v>
      </c>
      <c r="C789" s="7"/>
      <c r="D789" s="7"/>
      <c r="E789" s="5"/>
      <c r="F789" s="8"/>
      <c r="G789" s="8"/>
      <c r="H789" s="9"/>
      <c r="I789" s="7"/>
      <c r="J789" s="8"/>
      <c r="K789" s="9"/>
      <c r="L789" s="7"/>
      <c r="M789" s="8"/>
      <c r="N789" s="9"/>
      <c r="O789" s="7"/>
      <c r="P789" s="8"/>
      <c r="Q789" s="9"/>
      <c r="R789" s="5"/>
    </row>
    <row r="790" spans="1:18" x14ac:dyDescent="0.25">
      <c r="A790" s="10" t="s">
        <v>648</v>
      </c>
      <c r="B790" s="18" t="s">
        <v>549</v>
      </c>
      <c r="C790" s="12">
        <v>1</v>
      </c>
      <c r="D790" s="12">
        <v>0</v>
      </c>
      <c r="E790" s="10" t="s">
        <v>119</v>
      </c>
      <c r="F790" s="14">
        <v>997765.14</v>
      </c>
      <c r="G790" s="14">
        <f>F790*C790</f>
        <v>997765.14</v>
      </c>
      <c r="H790" s="15">
        <f>IF($G$1279=0,0,G790/$G$1279*100)</f>
      </c>
      <c r="I790" s="12" t="str">
        <f>IF(O790-C790&gt;0,O790-C790,"")</f>
        <v/>
      </c>
      <c r="J790" s="14" t="str">
        <f>IF(I790="","",F790*I790)</f>
        <v/>
      </c>
      <c r="K790" s="15">
        <f>IF(OR(J790="",$G$1279=0),"",J790/$G$1279*100)</f>
      </c>
      <c r="L790" s="12" t="str">
        <f>IF(C790-O790&gt;0,C790-O790,"")</f>
        <v/>
      </c>
      <c r="M790" s="14" t="str">
        <f>IF(L790="","",F790*L790)</f>
        <v/>
      </c>
      <c r="N790" s="15">
        <f>IF(OR(M790="",$G$1279=0),"",M790/$G$1279*100)</f>
      </c>
      <c r="O790" s="12">
        <v>1</v>
      </c>
      <c r="P790" s="14">
        <f>F790*O790</f>
        <v>997765.14</v>
      </c>
      <c r="Q790" s="15">
        <f>IF($P$1279=0,0,P790/$P$1279*100)</f>
      </c>
      <c r="R790" s="10" t="str">
        <f>IF(O790=C790,"TETAP",IF(C790=0,"BARU",IF(O790=0,"HAPUS",IF(O790&gt;C790,"TAMBAH","KURANG"))))</f>
        <v>TETAP</v>
      </c>
    </row>
    <row r="791" spans="1:18" x14ac:dyDescent="0.25">
      <c r="A791" s="10" t="s">
        <v>649</v>
      </c>
      <c r="B791" s="18" t="s">
        <v>550</v>
      </c>
      <c r="C791" s="12">
        <v>1</v>
      </c>
      <c r="D791" s="12">
        <v>0</v>
      </c>
      <c r="E791" s="10" t="s">
        <v>119</v>
      </c>
      <c r="F791" s="14">
        <v>466541.19</v>
      </c>
      <c r="G791" s="14">
        <f>F791*C791</f>
        <v>466541.19</v>
      </c>
      <c r="H791" s="15">
        <f>IF($G$1279=0,0,G791/$G$1279*100)</f>
      </c>
      <c r="I791" s="12" t="str">
        <f>IF(O791-C791&gt;0,O791-C791,"")</f>
        <v/>
      </c>
      <c r="J791" s="14" t="str">
        <f>IF(I791="","",F791*I791)</f>
        <v/>
      </c>
      <c r="K791" s="15">
        <f>IF(OR(J791="",$G$1279=0),"",J791/$G$1279*100)</f>
      </c>
      <c r="L791" s="12" t="str">
        <f>IF(C791-O791&gt;0,C791-O791,"")</f>
        <v/>
      </c>
      <c r="M791" s="14" t="str">
        <f>IF(L791="","",F791*L791)</f>
        <v/>
      </c>
      <c r="N791" s="15">
        <f>IF(OR(M791="",$G$1279=0),"",M791/$G$1279*100)</f>
      </c>
      <c r="O791" s="12">
        <v>1</v>
      </c>
      <c r="P791" s="14">
        <f>F791*O791</f>
        <v>466541.19</v>
      </c>
      <c r="Q791" s="15">
        <f>IF($P$1279=0,0,P791/$P$1279*100)</f>
      </c>
      <c r="R791" s="10" t="str">
        <f>IF(O791=C791,"TETAP",IF(C791=0,"BARU",IF(O791=0,"HAPUS",IF(O791&gt;C791,"TAMBAH","KURANG"))))</f>
        <v>TETAP</v>
      </c>
    </row>
    <row r="792" spans="1:18" x14ac:dyDescent="0.25">
      <c r="A792" s="5" t="s">
        <v>650</v>
      </c>
      <c r="B792" s="19" t="s">
        <v>551</v>
      </c>
      <c r="C792" s="7"/>
      <c r="D792" s="7"/>
      <c r="E792" s="5"/>
      <c r="F792" s="8"/>
      <c r="G792" s="8"/>
      <c r="H792" s="9"/>
      <c r="I792" s="7"/>
      <c r="J792" s="8"/>
      <c r="K792" s="9"/>
      <c r="L792" s="7"/>
      <c r="M792" s="8"/>
      <c r="N792" s="9"/>
      <c r="O792" s="7"/>
      <c r="P792" s="8"/>
      <c r="Q792" s="9"/>
      <c r="R792" s="5"/>
    </row>
    <row r="793" spans="1:18" x14ac:dyDescent="0.25">
      <c r="A793" s="10" t="s">
        <v>651</v>
      </c>
      <c r="B793" s="18" t="s">
        <v>553</v>
      </c>
      <c r="C793" s="12">
        <v>2.3</v>
      </c>
      <c r="D793" s="12">
        <v>0</v>
      </c>
      <c r="E793" s="10" t="s">
        <v>159</v>
      </c>
      <c r="F793" s="14">
        <v>104895.16</v>
      </c>
      <c r="G793" s="14">
        <f>F793*C793</f>
        <v>241258.868</v>
      </c>
      <c r="H793" s="15">
        <f>IF($G$1279=0,0,G793/$G$1279*100)</f>
      </c>
      <c r="I793" s="12" t="str">
        <f>IF(O793-C793&gt;0,O793-C793,"")</f>
        <v/>
      </c>
      <c r="J793" s="14" t="str">
        <f>IF(I793="","",F793*I793)</f>
        <v/>
      </c>
      <c r="K793" s="15">
        <f>IF(OR(J793="",$G$1279=0),"",J793/$G$1279*100)</f>
      </c>
      <c r="L793" s="12" t="str">
        <f>IF(C793-O793&gt;0,C793-O793,"")</f>
        <v/>
      </c>
      <c r="M793" s="14" t="str">
        <f>IF(L793="","",F793*L793)</f>
        <v/>
      </c>
      <c r="N793" s="15">
        <f>IF(OR(M793="",$G$1279=0),"",M793/$G$1279*100)</f>
      </c>
      <c r="O793" s="12">
        <v>2.3</v>
      </c>
      <c r="P793" s="14">
        <f>F793*O793</f>
        <v>241258.868</v>
      </c>
      <c r="Q793" s="15">
        <f>IF($P$1279=0,0,P793/$P$1279*100)</f>
      </c>
      <c r="R793" s="10" t="str">
        <f>IF(O793=C793,"TETAP",IF(C793=0,"BARU",IF(O793=0,"HAPUS",IF(O793&gt;C793,"TAMBAH","KURANG"))))</f>
        <v>TETAP</v>
      </c>
    </row>
    <row r="794" spans="1:18" x14ac:dyDescent="0.25">
      <c r="A794" s="10" t="s">
        <v>652</v>
      </c>
      <c r="B794" s="18" t="s">
        <v>555</v>
      </c>
      <c r="C794" s="12">
        <v>2.88</v>
      </c>
      <c r="D794" s="12">
        <v>0</v>
      </c>
      <c r="E794" s="10" t="s">
        <v>26</v>
      </c>
      <c r="F794" s="14">
        <v>184387.03</v>
      </c>
      <c r="G794" s="14">
        <f>F794*C794</f>
        <v>531034.6464</v>
      </c>
      <c r="H794" s="15">
        <f>IF($G$1279=0,0,G794/$G$1279*100)</f>
      </c>
      <c r="I794" s="12" t="str">
        <f>IF(O794-C794&gt;0,O794-C794,"")</f>
        <v/>
      </c>
      <c r="J794" s="14" t="str">
        <f>IF(I794="","",F794*I794)</f>
        <v/>
      </c>
      <c r="K794" s="15">
        <f>IF(OR(J794="",$G$1279=0),"",J794/$G$1279*100)</f>
      </c>
      <c r="L794" s="12" t="str">
        <f>IF(C794-O794&gt;0,C794-O794,"")</f>
        <v/>
      </c>
      <c r="M794" s="14" t="str">
        <f>IF(L794="","",F794*L794)</f>
        <v/>
      </c>
      <c r="N794" s="15">
        <f>IF(OR(M794="",$G$1279=0),"",M794/$G$1279*100)</f>
      </c>
      <c r="O794" s="12">
        <v>2.88</v>
      </c>
      <c r="P794" s="14">
        <f>F794*O794</f>
        <v>531034.6464</v>
      </c>
      <c r="Q794" s="15">
        <f>IF($P$1279=0,0,P794/$P$1279*100)</f>
      </c>
      <c r="R794" s="10" t="str">
        <f>IF(O794=C794,"TETAP",IF(C794=0,"BARU",IF(O794=0,"HAPUS",IF(O794&gt;C794,"TAMBAH","KURANG"))))</f>
        <v>TETAP</v>
      </c>
    </row>
    <row r="795" spans="1:18" x14ac:dyDescent="0.25">
      <c r="A795" s="10" t="s">
        <v>653</v>
      </c>
      <c r="B795" s="18" t="s">
        <v>557</v>
      </c>
      <c r="C795" s="12">
        <v>12.5</v>
      </c>
      <c r="D795" s="12">
        <v>0</v>
      </c>
      <c r="E795" s="10" t="s">
        <v>169</v>
      </c>
      <c r="F795" s="14">
        <v>28927.25</v>
      </c>
      <c r="G795" s="14">
        <f>F795*C795</f>
        <v>361590.625</v>
      </c>
      <c r="H795" s="15">
        <f>IF($G$1279=0,0,G795/$G$1279*100)</f>
      </c>
      <c r="I795" s="12" t="str">
        <f>IF(O795-C795&gt;0,O795-C795,"")</f>
        <v/>
      </c>
      <c r="J795" s="14" t="str">
        <f>IF(I795="","",F795*I795)</f>
        <v/>
      </c>
      <c r="K795" s="15">
        <f>IF(OR(J795="",$G$1279=0),"",J795/$G$1279*100)</f>
      </c>
      <c r="L795" s="12" t="str">
        <f>IF(C795-O795&gt;0,C795-O795,"")</f>
        <v/>
      </c>
      <c r="M795" s="14" t="str">
        <f>IF(L795="","",F795*L795)</f>
        <v/>
      </c>
      <c r="N795" s="15">
        <f>IF(OR(M795="",$G$1279=0),"",M795/$G$1279*100)</f>
      </c>
      <c r="O795" s="12">
        <v>12.5</v>
      </c>
      <c r="P795" s="14">
        <f>F795*O795</f>
        <v>361590.625</v>
      </c>
      <c r="Q795" s="15">
        <f>IF($P$1279=0,0,P795/$P$1279*100)</f>
      </c>
      <c r="R795" s="10" t="str">
        <f>IF(O795=C795,"TETAP",IF(C795=0,"BARU",IF(O795=0,"HAPUS",IF(O795&gt;C795,"TAMBAH","KURANG"))))</f>
        <v>TETAP</v>
      </c>
    </row>
    <row r="796" spans="1:18" x14ac:dyDescent="0.25">
      <c r="A796" s="10" t="s">
        <v>654</v>
      </c>
      <c r="B796" s="18" t="s">
        <v>523</v>
      </c>
      <c r="C796" s="12">
        <v>0.43</v>
      </c>
      <c r="D796" s="12">
        <v>0</v>
      </c>
      <c r="E796" s="10" t="s">
        <v>159</v>
      </c>
      <c r="F796" s="14">
        <v>1399567.05</v>
      </c>
      <c r="G796" s="14">
        <f>F796*C796</f>
        <v>601813.8315</v>
      </c>
      <c r="H796" s="15">
        <f>IF($G$1279=0,0,G796/$G$1279*100)</f>
      </c>
      <c r="I796" s="12" t="str">
        <f>IF(O796-C796&gt;0,O796-C796,"")</f>
        <v/>
      </c>
      <c r="J796" s="14" t="str">
        <f>IF(I796="","",F796*I796)</f>
        <v/>
      </c>
      <c r="K796" s="15">
        <f>IF(OR(J796="",$G$1279=0),"",J796/$G$1279*100)</f>
      </c>
      <c r="L796" s="12" t="str">
        <f>IF(C796-O796&gt;0,C796-O796,"")</f>
        <v/>
      </c>
      <c r="M796" s="14" t="str">
        <f>IF(L796="","",F796*L796)</f>
        <v/>
      </c>
      <c r="N796" s="15">
        <f>IF(OR(M796="",$G$1279=0),"",M796/$G$1279*100)</f>
      </c>
      <c r="O796" s="12">
        <v>0.43</v>
      </c>
      <c r="P796" s="14">
        <f>F796*O796</f>
        <v>601813.8315</v>
      </c>
      <c r="Q796" s="15">
        <f>IF($P$1279=0,0,P796/$P$1279*100)</f>
      </c>
      <c r="R796" s="10" t="str">
        <f>IF(O796=C796,"TETAP",IF(C796=0,"BARU",IF(O796=0,"HAPUS",IF(O796&gt;C796,"TAMBAH","KURANG"))))</f>
        <v>TETAP</v>
      </c>
    </row>
    <row r="797" spans="1:18" x14ac:dyDescent="0.25">
      <c r="A797" s="5" t="s">
        <v>655</v>
      </c>
      <c r="B797" s="19" t="s">
        <v>560</v>
      </c>
      <c r="C797" s="7"/>
      <c r="D797" s="7"/>
      <c r="E797" s="5"/>
      <c r="F797" s="8"/>
      <c r="G797" s="8"/>
      <c r="H797" s="9"/>
      <c r="I797" s="7"/>
      <c r="J797" s="8"/>
      <c r="K797" s="9"/>
      <c r="L797" s="7"/>
      <c r="M797" s="8"/>
      <c r="N797" s="9"/>
      <c r="O797" s="7"/>
      <c r="P797" s="8"/>
      <c r="Q797" s="9"/>
      <c r="R797" s="5"/>
    </row>
    <row r="798" spans="1:18" x14ac:dyDescent="0.25">
      <c r="A798" s="10" t="s">
        <v>656</v>
      </c>
      <c r="B798" s="18" t="s">
        <v>562</v>
      </c>
      <c r="C798" s="12">
        <v>3.2</v>
      </c>
      <c r="D798" s="12">
        <v>0</v>
      </c>
      <c r="E798" s="10" t="s">
        <v>26</v>
      </c>
      <c r="F798" s="14">
        <v>229284.3</v>
      </c>
      <c r="G798" s="14">
        <f>F798*C798</f>
        <v>733709.76</v>
      </c>
      <c r="H798" s="15">
        <f>IF($G$1279=0,0,G798/$G$1279*100)</f>
      </c>
      <c r="I798" s="12" t="str">
        <f>IF(O798-C798&gt;0,O798-C798,"")</f>
        <v/>
      </c>
      <c r="J798" s="14" t="str">
        <f>IF(I798="","",F798*I798)</f>
        <v/>
      </c>
      <c r="K798" s="15">
        <f>IF(OR(J798="",$G$1279=0),"",J798/$G$1279*100)</f>
      </c>
      <c r="L798" s="12" t="str">
        <f>IF(C798-O798&gt;0,C798-O798,"")</f>
        <v/>
      </c>
      <c r="M798" s="14" t="str">
        <f>IF(L798="","",F798*L798)</f>
        <v/>
      </c>
      <c r="N798" s="15">
        <f>IF(OR(M798="",$G$1279=0),"",M798/$G$1279*100)</f>
      </c>
      <c r="O798" s="12">
        <v>3.2</v>
      </c>
      <c r="P798" s="14">
        <f>F798*O798</f>
        <v>733709.76</v>
      </c>
      <c r="Q798" s="15">
        <f>IF($P$1279=0,0,P798/$P$1279*100)</f>
      </c>
      <c r="R798" s="10" t="str">
        <f>IF(O798=C798,"TETAP",IF(C798=0,"BARU",IF(O798=0,"HAPUS",IF(O798&gt;C798,"TAMBAH","KURANG"))))</f>
        <v>TETAP</v>
      </c>
    </row>
    <row r="799" spans="1:18" x14ac:dyDescent="0.25">
      <c r="A799" s="10" t="s">
        <v>657</v>
      </c>
      <c r="B799" s="18" t="s">
        <v>564</v>
      </c>
      <c r="C799" s="12">
        <v>22.5</v>
      </c>
      <c r="D799" s="12">
        <v>0</v>
      </c>
      <c r="E799" s="10" t="s">
        <v>169</v>
      </c>
      <c r="F799" s="14">
        <v>28927.25</v>
      </c>
      <c r="G799" s="14">
        <f>F799*C799</f>
        <v>650863.125</v>
      </c>
      <c r="H799" s="15">
        <f>IF($G$1279=0,0,G799/$G$1279*100)</f>
      </c>
      <c r="I799" s="12" t="str">
        <f>IF(O799-C799&gt;0,O799-C799,"")</f>
        <v/>
      </c>
      <c r="J799" s="14" t="str">
        <f>IF(I799="","",F799*I799)</f>
        <v/>
      </c>
      <c r="K799" s="15">
        <f>IF(OR(J799="",$G$1279=0),"",J799/$G$1279*100)</f>
      </c>
      <c r="L799" s="12" t="str">
        <f>IF(C799-O799&gt;0,C799-O799,"")</f>
        <v/>
      </c>
      <c r="M799" s="14" t="str">
        <f>IF(L799="","",F799*L799)</f>
        <v/>
      </c>
      <c r="N799" s="15">
        <f>IF(OR(M799="",$G$1279=0),"",M799/$G$1279*100)</f>
      </c>
      <c r="O799" s="12">
        <v>22.5</v>
      </c>
      <c r="P799" s="14">
        <f>F799*O799</f>
        <v>650863.125</v>
      </c>
      <c r="Q799" s="15">
        <f>IF($P$1279=0,0,P799/$P$1279*100)</f>
      </c>
      <c r="R799" s="10" t="str">
        <f>IF(O799=C799,"TETAP",IF(C799=0,"BARU",IF(O799=0,"HAPUS",IF(O799&gt;C799,"TAMBAH","KURANG"))))</f>
        <v>TETAP</v>
      </c>
    </row>
    <row r="800" spans="1:18" x14ac:dyDescent="0.25">
      <c r="A800" s="10" t="s">
        <v>658</v>
      </c>
      <c r="B800" s="18" t="s">
        <v>566</v>
      </c>
      <c r="C800" s="12">
        <v>9.85</v>
      </c>
      <c r="D800" s="12">
        <v>0</v>
      </c>
      <c r="E800" s="10" t="s">
        <v>169</v>
      </c>
      <c r="F800" s="14">
        <v>19252.39</v>
      </c>
      <c r="G800" s="14">
        <f>F800*C800</f>
        <v>189636.0415</v>
      </c>
      <c r="H800" s="15">
        <f>IF($G$1279=0,0,G800/$G$1279*100)</f>
      </c>
      <c r="I800" s="12" t="str">
        <f>IF(O800-C800&gt;0,O800-C800,"")</f>
        <v/>
      </c>
      <c r="J800" s="14" t="str">
        <f>IF(I800="","",F800*I800)</f>
        <v/>
      </c>
      <c r="K800" s="15">
        <f>IF(OR(J800="",$G$1279=0),"",J800/$G$1279*100)</f>
      </c>
      <c r="L800" s="12" t="str">
        <f>IF(C800-O800&gt;0,C800-O800,"")</f>
        <v/>
      </c>
      <c r="M800" s="14" t="str">
        <f>IF(L800="","",F800*L800)</f>
        <v/>
      </c>
      <c r="N800" s="15">
        <f>IF(OR(M800="",$G$1279=0),"",M800/$G$1279*100)</f>
      </c>
      <c r="O800" s="12">
        <v>9.85</v>
      </c>
      <c r="P800" s="14">
        <f>F800*O800</f>
        <v>189636.0415</v>
      </c>
      <c r="Q800" s="15">
        <f>IF($P$1279=0,0,P800/$P$1279*100)</f>
      </c>
      <c r="R800" s="10" t="str">
        <f>IF(O800=C800,"TETAP",IF(C800=0,"BARU",IF(O800=0,"HAPUS",IF(O800&gt;C800,"TAMBAH","KURANG"))))</f>
        <v>TETAP</v>
      </c>
    </row>
    <row r="801" spans="1:18" x14ac:dyDescent="0.25">
      <c r="A801" s="10" t="s">
        <v>659</v>
      </c>
      <c r="B801" s="18" t="s">
        <v>523</v>
      </c>
      <c r="C801" s="12">
        <v>0.2</v>
      </c>
      <c r="D801" s="12">
        <v>0</v>
      </c>
      <c r="E801" s="10" t="s">
        <v>159</v>
      </c>
      <c r="F801" s="14">
        <v>1399567.05</v>
      </c>
      <c r="G801" s="14">
        <f>F801*C801</f>
        <v>279913.41000000003</v>
      </c>
      <c r="H801" s="15">
        <f>IF($G$1279=0,0,G801/$G$1279*100)</f>
      </c>
      <c r="I801" s="12" t="str">
        <f>IF(O801-C801&gt;0,O801-C801,"")</f>
        <v/>
      </c>
      <c r="J801" s="14" t="str">
        <f>IF(I801="","",F801*I801)</f>
        <v/>
      </c>
      <c r="K801" s="15">
        <f>IF(OR(J801="",$G$1279=0),"",J801/$G$1279*100)</f>
      </c>
      <c r="L801" s="12" t="str">
        <f>IF(C801-O801&gt;0,C801-O801,"")</f>
        <v/>
      </c>
      <c r="M801" s="14" t="str">
        <f>IF(L801="","",F801*L801)</f>
        <v/>
      </c>
      <c r="N801" s="15">
        <f>IF(OR(M801="",$G$1279=0),"",M801/$G$1279*100)</f>
      </c>
      <c r="O801" s="12">
        <v>0.2</v>
      </c>
      <c r="P801" s="14">
        <f>F801*O801</f>
        <v>279913.41000000003</v>
      </c>
      <c r="Q801" s="15">
        <f>IF($P$1279=0,0,P801/$P$1279*100)</f>
      </c>
      <c r="R801" s="10" t="str">
        <f>IF(O801=C801,"TETAP",IF(C801=0,"BARU",IF(O801=0,"HAPUS",IF(O801&gt;C801,"TAMBAH","KURANG"))))</f>
        <v>TETAP</v>
      </c>
    </row>
    <row r="802" spans="1:18" x14ac:dyDescent="0.25">
      <c r="A802" s="10" t="s">
        <v>660</v>
      </c>
      <c r="B802" s="18" t="s">
        <v>569</v>
      </c>
      <c r="C802" s="12">
        <v>11.2</v>
      </c>
      <c r="D802" s="12">
        <v>0</v>
      </c>
      <c r="E802" s="10" t="s">
        <v>169</v>
      </c>
      <c r="F802" s="14">
        <v>28927.25</v>
      </c>
      <c r="G802" s="14">
        <f>F802*C802</f>
        <v>323985.19999999995</v>
      </c>
      <c r="H802" s="15">
        <f>IF($G$1279=0,0,G802/$G$1279*100)</f>
      </c>
      <c r="I802" s="12" t="str">
        <f>IF(O802-C802&gt;0,O802-C802,"")</f>
        <v/>
      </c>
      <c r="J802" s="14" t="str">
        <f>IF(I802="","",F802*I802)</f>
        <v/>
      </c>
      <c r="K802" s="15">
        <f>IF(OR(J802="",$G$1279=0),"",J802/$G$1279*100)</f>
      </c>
      <c r="L802" s="12" t="str">
        <f>IF(C802-O802&gt;0,C802-O802,"")</f>
        <v/>
      </c>
      <c r="M802" s="14" t="str">
        <f>IF(L802="","",F802*L802)</f>
        <v/>
      </c>
      <c r="N802" s="15">
        <f>IF(OR(M802="",$G$1279=0),"",M802/$G$1279*100)</f>
      </c>
      <c r="O802" s="12">
        <v>11.2</v>
      </c>
      <c r="P802" s="14">
        <f>F802*O802</f>
        <v>323985.19999999995</v>
      </c>
      <c r="Q802" s="15">
        <f>IF($P$1279=0,0,P802/$P$1279*100)</f>
      </c>
      <c r="R802" s="10" t="str">
        <f>IF(O802=C802,"TETAP",IF(C802=0,"BARU",IF(O802=0,"HAPUS",IF(O802&gt;C802,"TAMBAH","KURANG"))))</f>
        <v>TETAP</v>
      </c>
    </row>
    <row r="803" spans="1:18" x14ac:dyDescent="0.25">
      <c r="A803" s="5" t="s">
        <v>661</v>
      </c>
      <c r="B803" s="17" t="s">
        <v>662</v>
      </c>
      <c r="C803" s="7"/>
      <c r="D803" s="7"/>
      <c r="E803" s="5"/>
      <c r="F803" s="8"/>
      <c r="G803" s="8"/>
      <c r="H803" s="9"/>
      <c r="I803" s="7"/>
      <c r="J803" s="8"/>
      <c r="K803" s="9"/>
      <c r="L803" s="7"/>
      <c r="M803" s="8"/>
      <c r="N803" s="9"/>
      <c r="O803" s="7"/>
      <c r="P803" s="8"/>
      <c r="Q803" s="9"/>
      <c r="R803" s="5"/>
    </row>
    <row r="804" spans="1:18" x14ac:dyDescent="0.25">
      <c r="A804" s="10" t="s">
        <v>663</v>
      </c>
      <c r="B804" s="18" t="s">
        <v>572</v>
      </c>
      <c r="C804" s="12">
        <v>3.94</v>
      </c>
      <c r="D804" s="12">
        <v>0</v>
      </c>
      <c r="E804" s="10" t="s">
        <v>159</v>
      </c>
      <c r="F804" s="14">
        <v>97231.65</v>
      </c>
      <c r="G804" s="14">
        <f>F804*C804</f>
        <v>383092.701</v>
      </c>
      <c r="H804" s="15">
        <f>IF($G$1279=0,0,G804/$G$1279*100)</f>
      </c>
      <c r="I804" s="12" t="str">
        <f>IF(O804-C804&gt;0,O804-C804,"")</f>
        <v/>
      </c>
      <c r="J804" s="14" t="str">
        <f>IF(I804="","",F804*I804)</f>
        <v/>
      </c>
      <c r="K804" s="15">
        <f>IF(OR(J804="",$G$1279=0),"",J804/$G$1279*100)</f>
      </c>
      <c r="L804" s="12" t="str">
        <f>IF(C804-O804&gt;0,C804-O804,"")</f>
        <v/>
      </c>
      <c r="M804" s="14" t="str">
        <f>IF(L804="","",F804*L804)</f>
        <v/>
      </c>
      <c r="N804" s="15">
        <f>IF(OR(M804="",$G$1279=0),"",M804/$G$1279*100)</f>
      </c>
      <c r="O804" s="12">
        <v>3.94</v>
      </c>
      <c r="P804" s="14">
        <f>F804*O804</f>
        <v>383092.701</v>
      </c>
      <c r="Q804" s="15">
        <f>IF($P$1279=0,0,P804/$P$1279*100)</f>
      </c>
      <c r="R804" s="10" t="str">
        <f>IF(O804=C804,"TETAP",IF(C804=0,"BARU",IF(O804=0,"HAPUS",IF(O804&gt;C804,"TAMBAH","KURANG"))))</f>
        <v>TETAP</v>
      </c>
    </row>
    <row r="805" spans="1:18" x14ac:dyDescent="0.25">
      <c r="A805" s="10" t="s">
        <v>664</v>
      </c>
      <c r="B805" s="18" t="s">
        <v>573</v>
      </c>
      <c r="C805" s="12">
        <v>0.23</v>
      </c>
      <c r="D805" s="12">
        <v>0</v>
      </c>
      <c r="E805" s="10" t="s">
        <v>159</v>
      </c>
      <c r="F805" s="14">
        <v>342654.98</v>
      </c>
      <c r="G805" s="14">
        <f>F805*C805</f>
        <v>78810.6454</v>
      </c>
      <c r="H805" s="15">
        <f>IF($G$1279=0,0,G805/$G$1279*100)</f>
      </c>
      <c r="I805" s="12" t="str">
        <f>IF(O805-C805&gt;0,O805-C805,"")</f>
        <v/>
      </c>
      <c r="J805" s="14" t="str">
        <f>IF(I805="","",F805*I805)</f>
        <v/>
      </c>
      <c r="K805" s="15">
        <f>IF(OR(J805="",$G$1279=0),"",J805/$G$1279*100)</f>
      </c>
      <c r="L805" s="12" t="str">
        <f>IF(C805-O805&gt;0,C805-O805,"")</f>
        <v/>
      </c>
      <c r="M805" s="14" t="str">
        <f>IF(L805="","",F805*L805)</f>
        <v/>
      </c>
      <c r="N805" s="15">
        <f>IF(OR(M805="",$G$1279=0),"",M805/$G$1279*100)</f>
      </c>
      <c r="O805" s="12">
        <v>0.23</v>
      </c>
      <c r="P805" s="14">
        <f>F805*O805</f>
        <v>78810.6454</v>
      </c>
      <c r="Q805" s="15">
        <f>IF($P$1279=0,0,P805/$P$1279*100)</f>
      </c>
      <c r="R805" s="10" t="str">
        <f>IF(O805=C805,"TETAP",IF(C805=0,"BARU",IF(O805=0,"HAPUS",IF(O805&gt;C805,"TAMBAH","KURANG"))))</f>
        <v>TETAP</v>
      </c>
    </row>
    <row r="806" spans="1:18" x14ac:dyDescent="0.25">
      <c r="A806" s="10" t="s">
        <v>665</v>
      </c>
      <c r="B806" s="18" t="s">
        <v>465</v>
      </c>
      <c r="C806" s="12">
        <v>0.11</v>
      </c>
      <c r="D806" s="12">
        <v>0</v>
      </c>
      <c r="E806" s="10" t="s">
        <v>159</v>
      </c>
      <c r="F806" s="14">
        <v>1243301.43</v>
      </c>
      <c r="G806" s="14">
        <f>F806*C806</f>
        <v>136763.1573</v>
      </c>
      <c r="H806" s="15">
        <f>IF($G$1279=0,0,G806/$G$1279*100)</f>
      </c>
      <c r="I806" s="12" t="str">
        <f>IF(O806-C806&gt;0,O806-C806,"")</f>
        <v/>
      </c>
      <c r="J806" s="14" t="str">
        <f>IF(I806="","",F806*I806)</f>
        <v/>
      </c>
      <c r="K806" s="15">
        <f>IF(OR(J806="",$G$1279=0),"",J806/$G$1279*100)</f>
      </c>
      <c r="L806" s="12" t="str">
        <f>IF(C806-O806&gt;0,C806-O806,"")</f>
        <v/>
      </c>
      <c r="M806" s="14" t="str">
        <f>IF(L806="","",F806*L806)</f>
        <v/>
      </c>
      <c r="N806" s="15">
        <f>IF(OR(M806="",$G$1279=0),"",M806/$G$1279*100)</f>
      </c>
      <c r="O806" s="12">
        <v>0.11</v>
      </c>
      <c r="P806" s="14">
        <f>F806*O806</f>
        <v>136763.1573</v>
      </c>
      <c r="Q806" s="15">
        <f>IF($P$1279=0,0,P806/$P$1279*100)</f>
      </c>
      <c r="R806" s="10" t="str">
        <f>IF(O806=C806,"TETAP",IF(C806=0,"BARU",IF(O806=0,"HAPUS",IF(O806&gt;C806,"TAMBAH","KURANG"))))</f>
        <v>TETAP</v>
      </c>
    </row>
    <row r="807" spans="1:18" x14ac:dyDescent="0.25">
      <c r="A807" s="10" t="s">
        <v>666</v>
      </c>
      <c r="B807" s="18" t="s">
        <v>574</v>
      </c>
      <c r="C807" s="12">
        <v>1</v>
      </c>
      <c r="D807" s="12">
        <v>0</v>
      </c>
      <c r="E807" s="10" t="s">
        <v>119</v>
      </c>
      <c r="F807" s="14">
        <v>2854355.84</v>
      </c>
      <c r="G807" s="14">
        <f>F807*C807</f>
        <v>2854355.84</v>
      </c>
      <c r="H807" s="15">
        <f>IF($G$1279=0,0,G807/$G$1279*100)</f>
      </c>
      <c r="I807" s="12" t="str">
        <f>IF(O807-C807&gt;0,O807-C807,"")</f>
        <v/>
      </c>
      <c r="J807" s="14" t="str">
        <f>IF(I807="","",F807*I807)</f>
        <v/>
      </c>
      <c r="K807" s="15">
        <f>IF(OR(J807="",$G$1279=0),"",J807/$G$1279*100)</f>
      </c>
      <c r="L807" s="12" t="str">
        <f>IF(C807-O807&gt;0,C807-O807,"")</f>
        <v/>
      </c>
      <c r="M807" s="14" t="str">
        <f>IF(L807="","",F807*L807)</f>
        <v/>
      </c>
      <c r="N807" s="15">
        <f>IF(OR(M807="",$G$1279=0),"",M807/$G$1279*100)</f>
      </c>
      <c r="O807" s="12">
        <v>1</v>
      </c>
      <c r="P807" s="14">
        <f>F807*O807</f>
        <v>2854355.84</v>
      </c>
      <c r="Q807" s="15">
        <f>IF($P$1279=0,0,P807/$P$1279*100)</f>
      </c>
      <c r="R807" s="10" t="str">
        <f>IF(O807=C807,"TETAP",IF(C807=0,"BARU",IF(O807=0,"HAPUS",IF(O807&gt;C807,"TAMBAH","KURANG"))))</f>
        <v>TETAP</v>
      </c>
    </row>
    <row r="808" spans="1:18" x14ac:dyDescent="0.25">
      <c r="A808" s="10" t="s">
        <v>667</v>
      </c>
      <c r="B808" s="20" t="s">
        <v>668</v>
      </c>
      <c r="C808" s="12">
        <v>16</v>
      </c>
      <c r="D808" s="12">
        <v>0</v>
      </c>
      <c r="E808" s="10" t="s">
        <v>114</v>
      </c>
      <c r="F808" s="14">
        <v>496712.96</v>
      </c>
      <c r="G808" s="14">
        <f>F808*C808</f>
        <v>7947407.36</v>
      </c>
      <c r="H808" s="15">
        <f>IF($G$1279=0,0,G808/$G$1279*100)</f>
      </c>
      <c r="I808" s="12" t="str">
        <f>IF(O808-C808&gt;0,O808-C808,"")</f>
        <v/>
      </c>
      <c r="J808" s="14" t="str">
        <f>IF(I808="","",F808*I808)</f>
        <v/>
      </c>
      <c r="K808" s="15">
        <f>IF(OR(J808="",$G$1279=0),"",J808/$G$1279*100)</f>
      </c>
      <c r="L808" s="12" t="str">
        <f>IF(C808-O808&gt;0,C808-O808,"")</f>
        <v/>
      </c>
      <c r="M808" s="14" t="str">
        <f>IF(L808="","",F808*L808)</f>
        <v/>
      </c>
      <c r="N808" s="15">
        <f>IF(OR(M808="",$G$1279=0),"",M808/$G$1279*100)</f>
      </c>
      <c r="O808" s="12">
        <v>16</v>
      </c>
      <c r="P808" s="14">
        <f>F808*O808</f>
        <v>7947407.36</v>
      </c>
      <c r="Q808" s="15">
        <f>IF($P$1279=0,0,P808/$P$1279*100)</f>
      </c>
      <c r="R808" s="10" t="str">
        <f>IF(O808=C808,"TETAP",IF(C808=0,"BARU",IF(O808=0,"HAPUS",IF(O808&gt;C808,"TAMBAH","KURANG"))))</f>
        <v>TETAP</v>
      </c>
    </row>
    <row r="809" spans="1:18" x14ac:dyDescent="0.25">
      <c r="A809" s="10" t="s">
        <v>669</v>
      </c>
      <c r="B809" s="20" t="s">
        <v>670</v>
      </c>
      <c r="C809" s="12">
        <v>9</v>
      </c>
      <c r="D809" s="12">
        <v>0</v>
      </c>
      <c r="E809" s="10" t="s">
        <v>114</v>
      </c>
      <c r="F809" s="14">
        <v>709748.82</v>
      </c>
      <c r="G809" s="14">
        <f>F809*C809</f>
        <v>6387739.38</v>
      </c>
      <c r="H809" s="15">
        <f>IF($G$1279=0,0,G809/$G$1279*100)</f>
      </c>
      <c r="I809" s="12" t="str">
        <f>IF(O809-C809&gt;0,O809-C809,"")</f>
        <v/>
      </c>
      <c r="J809" s="14" t="str">
        <f>IF(I809="","",F809*I809)</f>
        <v/>
      </c>
      <c r="K809" s="15">
        <f>IF(OR(J809="",$G$1279=0),"",J809/$G$1279*100)</f>
      </c>
      <c r="L809" s="12" t="str">
        <f>IF(C809-O809&gt;0,C809-O809,"")</f>
        <v/>
      </c>
      <c r="M809" s="14" t="str">
        <f>IF(L809="","",F809*L809)</f>
        <v/>
      </c>
      <c r="N809" s="15">
        <f>IF(OR(M809="",$G$1279=0),"",M809/$G$1279*100)</f>
      </c>
      <c r="O809" s="12">
        <v>9</v>
      </c>
      <c r="P809" s="14">
        <f>F809*O809</f>
        <v>6387739.38</v>
      </c>
      <c r="Q809" s="15">
        <f>IF($P$1279=0,0,P809/$P$1279*100)</f>
      </c>
      <c r="R809" s="10" t="str">
        <f>IF(O809=C809,"TETAP",IF(C809=0,"BARU",IF(O809=0,"HAPUS",IF(O809&gt;C809,"TAMBAH","KURANG"))))</f>
        <v>TETAP</v>
      </c>
    </row>
    <row r="810" spans="1:18" x14ac:dyDescent="0.25">
      <c r="A810" s="10" t="s">
        <v>671</v>
      </c>
      <c r="B810" s="20" t="s">
        <v>672</v>
      </c>
      <c r="C810" s="12">
        <v>1</v>
      </c>
      <c r="D810" s="12">
        <v>0</v>
      </c>
      <c r="E810" s="10" t="s">
        <v>114</v>
      </c>
      <c r="F810" s="14">
        <v>66614093.78</v>
      </c>
      <c r="G810" s="14">
        <f>F810*C810</f>
        <v>66614093.78</v>
      </c>
      <c r="H810" s="15">
        <f>IF($G$1279=0,0,G810/$G$1279*100)</f>
      </c>
      <c r="I810" s="12" t="str">
        <f>IF(O810-C810&gt;0,O810-C810,"")</f>
        <v/>
      </c>
      <c r="J810" s="14" t="str">
        <f>IF(I810="","",F810*I810)</f>
        <v/>
      </c>
      <c r="K810" s="15">
        <f>IF(OR(J810="",$G$1279=0),"",J810/$G$1279*100)</f>
      </c>
      <c r="L810" s="12" t="str">
        <f>IF(C810-O810&gt;0,C810-O810,"")</f>
        <v/>
      </c>
      <c r="M810" s="14" t="str">
        <f>IF(L810="","",F810*L810)</f>
        <v/>
      </c>
      <c r="N810" s="15">
        <f>IF(OR(M810="",$G$1279=0),"",M810/$G$1279*100)</f>
      </c>
      <c r="O810" s="12">
        <v>1</v>
      </c>
      <c r="P810" s="14">
        <f>F810*O810</f>
        <v>66614093.78</v>
      </c>
      <c r="Q810" s="15">
        <f>IF($P$1279=0,0,P810/$P$1279*100)</f>
      </c>
      <c r="R810" s="10" t="str">
        <f>IF(O810=C810,"TETAP",IF(C810=0,"BARU",IF(O810=0,"HAPUS",IF(O810&gt;C810,"TAMBAH","KURANG"))))</f>
        <v>TETAP</v>
      </c>
    </row>
    <row r="811" spans="1:18" x14ac:dyDescent="0.25">
      <c r="A811" s="10" t="s">
        <v>673</v>
      </c>
      <c r="B811" s="20" t="s">
        <v>578</v>
      </c>
      <c r="C811" s="12">
        <v>4</v>
      </c>
      <c r="D811" s="12">
        <v>0</v>
      </c>
      <c r="E811" s="10" t="s">
        <v>32</v>
      </c>
      <c r="F811" s="14">
        <v>50859.93</v>
      </c>
      <c r="G811" s="14">
        <f>F811*C811</f>
        <v>203439.72</v>
      </c>
      <c r="H811" s="15">
        <f>IF($G$1279=0,0,G811/$G$1279*100)</f>
      </c>
      <c r="I811" s="12" t="str">
        <f>IF(O811-C811&gt;0,O811-C811,"")</f>
        <v/>
      </c>
      <c r="J811" s="14" t="str">
        <f>IF(I811="","",F811*I811)</f>
        <v/>
      </c>
      <c r="K811" s="15">
        <f>IF(OR(J811="",$G$1279=0),"",J811/$G$1279*100)</f>
      </c>
      <c r="L811" s="12" t="str">
        <f>IF(C811-O811&gt;0,C811-O811,"")</f>
        <v/>
      </c>
      <c r="M811" s="14" t="str">
        <f>IF(L811="","",F811*L811)</f>
        <v/>
      </c>
      <c r="N811" s="15">
        <f>IF(OR(M811="",$G$1279=0),"",M811/$G$1279*100)</f>
      </c>
      <c r="O811" s="12">
        <v>4</v>
      </c>
      <c r="P811" s="14">
        <f>F811*O811</f>
        <v>203439.72</v>
      </c>
      <c r="Q811" s="15">
        <f>IF($P$1279=0,0,P811/$P$1279*100)</f>
      </c>
      <c r="R811" s="10" t="str">
        <f>IF(O811=C811,"TETAP",IF(C811=0,"BARU",IF(O811=0,"HAPUS",IF(O811&gt;C811,"TAMBAH","KURANG"))))</f>
        <v>TETAP</v>
      </c>
    </row>
    <row r="812" spans="1:18" x14ac:dyDescent="0.25">
      <c r="A812" s="10" t="s">
        <v>674</v>
      </c>
      <c r="B812" s="20" t="s">
        <v>675</v>
      </c>
      <c r="C812" s="12">
        <v>1</v>
      </c>
      <c r="D812" s="12">
        <v>0</v>
      </c>
      <c r="E812" s="10" t="s">
        <v>32</v>
      </c>
      <c r="F812" s="14">
        <v>69290.26</v>
      </c>
      <c r="G812" s="14">
        <f>F812*C812</f>
        <v>69290.26</v>
      </c>
      <c r="H812" s="15">
        <f>IF($G$1279=0,0,G812/$G$1279*100)</f>
      </c>
      <c r="I812" s="12" t="str">
        <f>IF(O812-C812&gt;0,O812-C812,"")</f>
        <v/>
      </c>
      <c r="J812" s="14" t="str">
        <f>IF(I812="","",F812*I812)</f>
        <v/>
      </c>
      <c r="K812" s="15">
        <f>IF(OR(J812="",$G$1279=0),"",J812/$G$1279*100)</f>
      </c>
      <c r="L812" s="12" t="str">
        <f>IF(C812-O812&gt;0,C812-O812,"")</f>
        <v/>
      </c>
      <c r="M812" s="14" t="str">
        <f>IF(L812="","",F812*L812)</f>
        <v/>
      </c>
      <c r="N812" s="15">
        <f>IF(OR(M812="",$G$1279=0),"",M812/$G$1279*100)</f>
      </c>
      <c r="O812" s="12">
        <v>1</v>
      </c>
      <c r="P812" s="14">
        <f>F812*O812</f>
        <v>69290.26</v>
      </c>
      <c r="Q812" s="15">
        <f>IF($P$1279=0,0,P812/$P$1279*100)</f>
      </c>
      <c r="R812" s="10" t="str">
        <f>IF(O812=C812,"TETAP",IF(C812=0,"BARU",IF(O812=0,"HAPUS",IF(O812&gt;C812,"TAMBAH","KURANG"))))</f>
        <v>TETAP</v>
      </c>
    </row>
    <row r="813" spans="1:18" x14ac:dyDescent="0.25">
      <c r="A813" s="10" t="s">
        <v>676</v>
      </c>
      <c r="B813" s="20" t="s">
        <v>579</v>
      </c>
      <c r="C813" s="12">
        <v>7</v>
      </c>
      <c r="D813" s="12">
        <v>0</v>
      </c>
      <c r="E813" s="10" t="s">
        <v>32</v>
      </c>
      <c r="F813" s="14">
        <v>88424.41</v>
      </c>
      <c r="G813" s="14">
        <f>F813*C813</f>
        <v>618970.87</v>
      </c>
      <c r="H813" s="15">
        <f>IF($G$1279=0,0,G813/$G$1279*100)</f>
      </c>
      <c r="I813" s="12" t="str">
        <f>IF(O813-C813&gt;0,O813-C813,"")</f>
        <v/>
      </c>
      <c r="J813" s="14" t="str">
        <f>IF(I813="","",F813*I813)</f>
        <v/>
      </c>
      <c r="K813" s="15">
        <f>IF(OR(J813="",$G$1279=0),"",J813/$G$1279*100)</f>
      </c>
      <c r="L813" s="12" t="str">
        <f>IF(C813-O813&gt;0,C813-O813,"")</f>
        <v/>
      </c>
      <c r="M813" s="14" t="str">
        <f>IF(L813="","",F813*L813)</f>
        <v/>
      </c>
      <c r="N813" s="15">
        <f>IF(OR(M813="",$G$1279=0),"",M813/$G$1279*100)</f>
      </c>
      <c r="O813" s="12">
        <v>7</v>
      </c>
      <c r="P813" s="14">
        <f>F813*O813</f>
        <v>618970.87</v>
      </c>
      <c r="Q813" s="15">
        <f>IF($P$1279=0,0,P813/$P$1279*100)</f>
      </c>
      <c r="R813" s="10" t="str">
        <f>IF(O813=C813,"TETAP",IF(C813=0,"BARU",IF(O813=0,"HAPUS",IF(O813&gt;C813,"TAMBAH","KURANG"))))</f>
        <v>TETAP</v>
      </c>
    </row>
    <row r="814" spans="1:18" x14ac:dyDescent="0.25">
      <c r="A814" s="10" t="s">
        <v>677</v>
      </c>
      <c r="B814" s="20" t="s">
        <v>678</v>
      </c>
      <c r="C814" s="12">
        <v>1</v>
      </c>
      <c r="D814" s="12">
        <v>0</v>
      </c>
      <c r="E814" s="10" t="s">
        <v>32</v>
      </c>
      <c r="F814" s="14">
        <v>119363.85</v>
      </c>
      <c r="G814" s="14">
        <f>F814*C814</f>
        <v>119363.85</v>
      </c>
      <c r="H814" s="15">
        <f>IF($G$1279=0,0,G814/$G$1279*100)</f>
      </c>
      <c r="I814" s="12" t="str">
        <f>IF(O814-C814&gt;0,O814-C814,"")</f>
        <v/>
      </c>
      <c r="J814" s="14" t="str">
        <f>IF(I814="","",F814*I814)</f>
        <v/>
      </c>
      <c r="K814" s="15">
        <f>IF(OR(J814="",$G$1279=0),"",J814/$G$1279*100)</f>
      </c>
      <c r="L814" s="12" t="str">
        <f>IF(C814-O814&gt;0,C814-O814,"")</f>
        <v/>
      </c>
      <c r="M814" s="14" t="str">
        <f>IF(L814="","",F814*L814)</f>
        <v/>
      </c>
      <c r="N814" s="15">
        <f>IF(OR(M814="",$G$1279=0),"",M814/$G$1279*100)</f>
      </c>
      <c r="O814" s="12">
        <v>1</v>
      </c>
      <c r="P814" s="14">
        <f>F814*O814</f>
        <v>119363.85</v>
      </c>
      <c r="Q814" s="15">
        <f>IF($P$1279=0,0,P814/$P$1279*100)</f>
      </c>
      <c r="R814" s="10" t="str">
        <f>IF(O814=C814,"TETAP",IF(C814=0,"BARU",IF(O814=0,"HAPUS",IF(O814&gt;C814,"TAMBAH","KURANG"))))</f>
        <v>TETAP</v>
      </c>
    </row>
    <row r="815" spans="1:18" x14ac:dyDescent="0.25">
      <c r="A815" s="10" t="s">
        <v>679</v>
      </c>
      <c r="B815" s="20" t="s">
        <v>680</v>
      </c>
      <c r="C815" s="12">
        <v>1</v>
      </c>
      <c r="D815" s="12">
        <v>0</v>
      </c>
      <c r="E815" s="10" t="s">
        <v>32</v>
      </c>
      <c r="F815" s="14">
        <v>75847.63</v>
      </c>
      <c r="G815" s="14">
        <f>F815*C815</f>
        <v>75847.63</v>
      </c>
      <c r="H815" s="15">
        <f>IF($G$1279=0,0,G815/$G$1279*100)</f>
      </c>
      <c r="I815" s="12" t="str">
        <f>IF(O815-C815&gt;0,O815-C815,"")</f>
        <v/>
      </c>
      <c r="J815" s="14" t="str">
        <f>IF(I815="","",F815*I815)</f>
        <v/>
      </c>
      <c r="K815" s="15">
        <f>IF(OR(J815="",$G$1279=0),"",J815/$G$1279*100)</f>
      </c>
      <c r="L815" s="12" t="str">
        <f>IF(C815-O815&gt;0,C815-O815,"")</f>
        <v/>
      </c>
      <c r="M815" s="14" t="str">
        <f>IF(L815="","",F815*L815)</f>
        <v/>
      </c>
      <c r="N815" s="15">
        <f>IF(OR(M815="",$G$1279=0),"",M815/$G$1279*100)</f>
      </c>
      <c r="O815" s="12">
        <v>1</v>
      </c>
      <c r="P815" s="14">
        <f>F815*O815</f>
        <v>75847.63</v>
      </c>
      <c r="Q815" s="15">
        <f>IF($P$1279=0,0,P815/$P$1279*100)</f>
      </c>
      <c r="R815" s="10" t="str">
        <f>IF(O815=C815,"TETAP",IF(C815=0,"BARU",IF(O815=0,"HAPUS",IF(O815&gt;C815,"TAMBAH","KURANG"))))</f>
        <v>TETAP</v>
      </c>
    </row>
    <row r="816" spans="1:18" x14ac:dyDescent="0.25">
      <c r="A816" s="10" t="s">
        <v>681</v>
      </c>
      <c r="B816" s="20" t="s">
        <v>576</v>
      </c>
      <c r="C816" s="12">
        <v>16</v>
      </c>
      <c r="D816" s="12">
        <v>0</v>
      </c>
      <c r="E816" s="10" t="s">
        <v>32</v>
      </c>
      <c r="F816" s="14">
        <v>144903.67</v>
      </c>
      <c r="G816" s="14">
        <f>F816*C816</f>
        <v>2318458.72</v>
      </c>
      <c r="H816" s="15">
        <f>IF($G$1279=0,0,G816/$G$1279*100)</f>
      </c>
      <c r="I816" s="12" t="str">
        <f>IF(O816-C816&gt;0,O816-C816,"")</f>
        <v/>
      </c>
      <c r="J816" s="14" t="str">
        <f>IF(I816="","",F816*I816)</f>
        <v/>
      </c>
      <c r="K816" s="15">
        <f>IF(OR(J816="",$G$1279=0),"",J816/$G$1279*100)</f>
      </c>
      <c r="L816" s="12" t="str">
        <f>IF(C816-O816&gt;0,C816-O816,"")</f>
        <v/>
      </c>
      <c r="M816" s="14" t="str">
        <f>IF(L816="","",F816*L816)</f>
        <v/>
      </c>
      <c r="N816" s="15">
        <f>IF(OR(M816="",$G$1279=0),"",M816/$G$1279*100)</f>
      </c>
      <c r="O816" s="12">
        <v>16</v>
      </c>
      <c r="P816" s="14">
        <f>F816*O816</f>
        <v>2318458.72</v>
      </c>
      <c r="Q816" s="15">
        <f>IF($P$1279=0,0,P816/$P$1279*100)</f>
      </c>
      <c r="R816" s="10" t="str">
        <f>IF(O816=C816,"TETAP",IF(C816=0,"BARU",IF(O816=0,"HAPUS",IF(O816&gt;C816,"TAMBAH","KURANG"))))</f>
        <v>TETAP</v>
      </c>
    </row>
    <row r="817" spans="1:18" x14ac:dyDescent="0.25">
      <c r="A817" s="10" t="s">
        <v>682</v>
      </c>
      <c r="B817" s="20" t="s">
        <v>683</v>
      </c>
      <c r="C817" s="12">
        <v>1</v>
      </c>
      <c r="D817" s="12">
        <v>0</v>
      </c>
      <c r="E817" s="10" t="s">
        <v>119</v>
      </c>
      <c r="F817" s="14">
        <v>5698708.53</v>
      </c>
      <c r="G817" s="14">
        <f>F817*C817</f>
        <v>5698708.53</v>
      </c>
      <c r="H817" s="15">
        <f>IF($G$1279=0,0,G817/$G$1279*100)</f>
      </c>
      <c r="I817" s="12" t="str">
        <f>IF(O817-C817&gt;0,O817-C817,"")</f>
        <v/>
      </c>
      <c r="J817" s="14" t="str">
        <f>IF(I817="","",F817*I817)</f>
        <v/>
      </c>
      <c r="K817" s="15">
        <f>IF(OR(J817="",$G$1279=0),"",J817/$G$1279*100)</f>
      </c>
      <c r="L817" s="12" t="str">
        <f>IF(C817-O817&gt;0,C817-O817,"")</f>
        <v/>
      </c>
      <c r="M817" s="14" t="str">
        <f>IF(L817="","",F817*L817)</f>
        <v/>
      </c>
      <c r="N817" s="15">
        <f>IF(OR(M817="",$G$1279=0),"",M817/$G$1279*100)</f>
      </c>
      <c r="O817" s="12">
        <v>1</v>
      </c>
      <c r="P817" s="14">
        <f>F817*O817</f>
        <v>5698708.53</v>
      </c>
      <c r="Q817" s="15">
        <f>IF($P$1279=0,0,P817/$P$1279*100)</f>
      </c>
      <c r="R817" s="10" t="str">
        <f>IF(O817=C817,"TETAP",IF(C817=0,"BARU",IF(O817=0,"HAPUS",IF(O817&gt;C817,"TAMBAH","KURANG"))))</f>
        <v>TETAP</v>
      </c>
    </row>
    <row r="818" spans="1:18" x14ac:dyDescent="0.25">
      <c r="A818" s="10" t="s">
        <v>684</v>
      </c>
      <c r="B818" s="20" t="s">
        <v>685</v>
      </c>
      <c r="C818" s="12">
        <v>1</v>
      </c>
      <c r="D818" s="12">
        <v>0</v>
      </c>
      <c r="E818" s="10" t="s">
        <v>119</v>
      </c>
      <c r="F818" s="14">
        <v>1782725.83</v>
      </c>
      <c r="G818" s="14">
        <f>F818*C818</f>
        <v>1782725.83</v>
      </c>
      <c r="H818" s="15">
        <f>IF($G$1279=0,0,G818/$G$1279*100)</f>
      </c>
      <c r="I818" s="12" t="str">
        <f>IF(O818-C818&gt;0,O818-C818,"")</f>
        <v/>
      </c>
      <c r="J818" s="14" t="str">
        <f>IF(I818="","",F818*I818)</f>
        <v/>
      </c>
      <c r="K818" s="15">
        <f>IF(OR(J818="",$G$1279=0),"",J818/$G$1279*100)</f>
      </c>
      <c r="L818" s="12" t="str">
        <f>IF(C818-O818&gt;0,C818-O818,"")</f>
        <v/>
      </c>
      <c r="M818" s="14" t="str">
        <f>IF(L818="","",F818*L818)</f>
        <v/>
      </c>
      <c r="N818" s="15">
        <f>IF(OR(M818="",$G$1279=0),"",M818/$G$1279*100)</f>
      </c>
      <c r="O818" s="12">
        <v>1</v>
      </c>
      <c r="P818" s="14">
        <f>F818*O818</f>
        <v>1782725.83</v>
      </c>
      <c r="Q818" s="15">
        <f>IF($P$1279=0,0,P818/$P$1279*100)</f>
      </c>
      <c r="R818" s="10" t="str">
        <f>IF(O818=C818,"TETAP",IF(C818=0,"BARU",IF(O818=0,"HAPUS",IF(O818&gt;C818,"TAMBAH","KURANG"))))</f>
        <v>TETAP</v>
      </c>
    </row>
    <row r="819" spans="1:18" x14ac:dyDescent="0.25">
      <c r="A819" s="5" t="s">
        <v>686</v>
      </c>
      <c r="B819" s="6" t="s">
        <v>687</v>
      </c>
      <c r="C819" s="7"/>
      <c r="D819" s="7"/>
      <c r="E819" s="5"/>
      <c r="F819" s="8"/>
      <c r="G819" s="8"/>
      <c r="H819" s="9"/>
      <c r="I819" s="7"/>
      <c r="J819" s="8"/>
      <c r="K819" s="9"/>
      <c r="L819" s="7"/>
      <c r="M819" s="8"/>
      <c r="N819" s="9"/>
      <c r="O819" s="7"/>
      <c r="P819" s="8"/>
      <c r="Q819" s="9"/>
      <c r="R819" s="5"/>
    </row>
    <row r="820" spans="1:18" x14ac:dyDescent="0.25">
      <c r="A820" s="5" t="s">
        <v>688</v>
      </c>
      <c r="B820" s="16" t="s">
        <v>347</v>
      </c>
      <c r="C820" s="7"/>
      <c r="D820" s="7"/>
      <c r="E820" s="5"/>
      <c r="F820" s="8"/>
      <c r="G820" s="8"/>
      <c r="H820" s="9"/>
      <c r="I820" s="7"/>
      <c r="J820" s="8"/>
      <c r="K820" s="9"/>
      <c r="L820" s="7"/>
      <c r="M820" s="8"/>
      <c r="N820" s="9"/>
      <c r="O820" s="7"/>
      <c r="P820" s="8"/>
      <c r="Q820" s="9"/>
      <c r="R820" s="5"/>
    </row>
    <row r="821" spans="1:18" x14ac:dyDescent="0.25">
      <c r="A821" s="10" t="s">
        <v>24</v>
      </c>
      <c r="B821" s="20" t="s">
        <v>348</v>
      </c>
      <c r="C821" s="12">
        <v>20</v>
      </c>
      <c r="D821" s="12">
        <v>0</v>
      </c>
      <c r="E821" s="10" t="s">
        <v>37</v>
      </c>
      <c r="F821" s="14">
        <v>161600.06</v>
      </c>
      <c r="G821" s="14">
        <f>F821*C821</f>
        <v>3232001.2</v>
      </c>
      <c r="H821" s="15">
        <f>IF($G$1279=0,0,G821/$G$1279*100)</f>
      </c>
      <c r="I821" s="12" t="str">
        <f>IF(O821-C821&gt;0,O821-C821,"")</f>
        <v/>
      </c>
      <c r="J821" s="14" t="str">
        <f>IF(I821="","",F821*I821)</f>
        <v/>
      </c>
      <c r="K821" s="15">
        <f>IF(OR(J821="",$G$1279=0),"",J821/$G$1279*100)</f>
      </c>
      <c r="L821" s="12" t="str">
        <f>IF(C821-O821&gt;0,C821-O821,"")</f>
        <v/>
      </c>
      <c r="M821" s="14" t="str">
        <f>IF(L821="","",F821*L821)</f>
        <v/>
      </c>
      <c r="N821" s="15">
        <f>IF(OR(M821="",$G$1279=0),"",M821/$G$1279*100)</f>
      </c>
      <c r="O821" s="12">
        <v>20</v>
      </c>
      <c r="P821" s="14">
        <f>F821*O821</f>
        <v>3232001.2</v>
      </c>
      <c r="Q821" s="15">
        <f>IF($P$1279=0,0,P821/$P$1279*100)</f>
      </c>
      <c r="R821" s="10" t="str">
        <f>IF(O821=C821,"TETAP",IF(C821=0,"BARU",IF(O821=0,"HAPUS",IF(O821&gt;C821,"TAMBAH","KURANG"))))</f>
        <v>TETAP</v>
      </c>
    </row>
    <row r="822" spans="1:18" x14ac:dyDescent="0.25">
      <c r="A822" s="5" t="s">
        <v>27</v>
      </c>
      <c r="B822" s="17" t="s">
        <v>689</v>
      </c>
      <c r="C822" s="7"/>
      <c r="D822" s="7"/>
      <c r="E822" s="5"/>
      <c r="F822" s="8"/>
      <c r="G822" s="8"/>
      <c r="H822" s="9"/>
      <c r="I822" s="7"/>
      <c r="J822" s="8"/>
      <c r="K822" s="9"/>
      <c r="L822" s="7"/>
      <c r="M822" s="8"/>
      <c r="N822" s="9"/>
      <c r="O822" s="7"/>
      <c r="P822" s="8"/>
      <c r="Q822" s="9"/>
      <c r="R822" s="5"/>
    </row>
    <row r="823" spans="1:18" x14ac:dyDescent="0.25">
      <c r="A823" s="10" t="s">
        <v>165</v>
      </c>
      <c r="B823" s="18" t="s">
        <v>690</v>
      </c>
      <c r="C823" s="12">
        <v>1.01</v>
      </c>
      <c r="D823" s="12">
        <v>0</v>
      </c>
      <c r="E823" s="10" t="s">
        <v>159</v>
      </c>
      <c r="F823" s="14">
        <v>48730.7</v>
      </c>
      <c r="G823" s="14">
        <f>F823*C823</f>
        <v>49218.007</v>
      </c>
      <c r="H823" s="15">
        <f>IF($G$1279=0,0,G823/$G$1279*100)</f>
      </c>
      <c r="I823" s="12" t="str">
        <f>IF(O823-C823&gt;0,O823-C823,"")</f>
        <v/>
      </c>
      <c r="J823" s="14" t="str">
        <f>IF(I823="","",F823*I823)</f>
        <v/>
      </c>
      <c r="K823" s="15">
        <f>IF(OR(J823="",$G$1279=0),"",J823/$G$1279*100)</f>
      </c>
      <c r="L823" s="12" t="str">
        <f>IF(C823-O823&gt;0,C823-O823,"")</f>
        <v/>
      </c>
      <c r="M823" s="14" t="str">
        <f>IF(L823="","",F823*L823)</f>
        <v/>
      </c>
      <c r="N823" s="15">
        <f>IF(OR(M823="",$G$1279=0),"",M823/$G$1279*100)</f>
      </c>
      <c r="O823" s="12">
        <v>1.01</v>
      </c>
      <c r="P823" s="14">
        <f>F823*O823</f>
        <v>49218.007</v>
      </c>
      <c r="Q823" s="15">
        <f>IF($P$1279=0,0,P823/$P$1279*100)</f>
      </c>
      <c r="R823" s="10" t="str">
        <f>IF(O823=C823,"TETAP",IF(C823=0,"BARU",IF(O823=0,"HAPUS",IF(O823&gt;C823,"TAMBAH","KURANG"))))</f>
        <v>TETAP</v>
      </c>
    </row>
    <row r="824" spans="1:18" x14ac:dyDescent="0.25">
      <c r="A824" s="10" t="s">
        <v>167</v>
      </c>
      <c r="B824" s="18" t="s">
        <v>358</v>
      </c>
      <c r="C824" s="12">
        <v>144</v>
      </c>
      <c r="D824" s="12">
        <v>0</v>
      </c>
      <c r="E824" s="10" t="s">
        <v>37</v>
      </c>
      <c r="F824" s="14">
        <v>28117.52</v>
      </c>
      <c r="G824" s="14">
        <f>F824*C824</f>
        <v>4048922.88</v>
      </c>
      <c r="H824" s="15">
        <f>IF($G$1279=0,0,G824/$G$1279*100)</f>
      </c>
      <c r="I824" s="12" t="str">
        <f>IF(O824-C824&gt;0,O824-C824,"")</f>
        <v/>
      </c>
      <c r="J824" s="14" t="str">
        <f>IF(I824="","",F824*I824)</f>
        <v/>
      </c>
      <c r="K824" s="15">
        <f>IF(OR(J824="",$G$1279=0),"",J824/$G$1279*100)</f>
      </c>
      <c r="L824" s="12" t="str">
        <f>IF(C824-O824&gt;0,C824-O824,"")</f>
        <v/>
      </c>
      <c r="M824" s="14" t="str">
        <f>IF(L824="","",F824*L824)</f>
        <v/>
      </c>
      <c r="N824" s="15">
        <f>IF(OR(M824="",$G$1279=0),"",M824/$G$1279*100)</f>
      </c>
      <c r="O824" s="12">
        <v>144</v>
      </c>
      <c r="P824" s="14">
        <f>F824*O824</f>
        <v>4048922.88</v>
      </c>
      <c r="Q824" s="15">
        <f>IF($P$1279=0,0,P824/$P$1279*100)</f>
      </c>
      <c r="R824" s="10" t="str">
        <f>IF(O824=C824,"TETAP",IF(C824=0,"BARU",IF(O824=0,"HAPUS",IF(O824&gt;C824,"TAMBAH","KURANG"))))</f>
        <v>TETAP</v>
      </c>
    </row>
    <row r="825" spans="1:18" x14ac:dyDescent="0.25">
      <c r="A825" s="10" t="s">
        <v>170</v>
      </c>
      <c r="B825" s="18" t="s">
        <v>691</v>
      </c>
      <c r="C825" s="12">
        <v>0.07</v>
      </c>
      <c r="D825" s="12">
        <v>0</v>
      </c>
      <c r="E825" s="10" t="s">
        <v>159</v>
      </c>
      <c r="F825" s="14">
        <v>342654.98</v>
      </c>
      <c r="G825" s="14">
        <f>F825*C825</f>
        <v>23985.8486</v>
      </c>
      <c r="H825" s="15">
        <f>IF($G$1279=0,0,G825/$G$1279*100)</f>
      </c>
      <c r="I825" s="12" t="str">
        <f>IF(O825-C825&gt;0,O825-C825,"")</f>
        <v/>
      </c>
      <c r="J825" s="14" t="str">
        <f>IF(I825="","",F825*I825)</f>
        <v/>
      </c>
      <c r="K825" s="15">
        <f>IF(OR(J825="",$G$1279=0),"",J825/$G$1279*100)</f>
      </c>
      <c r="L825" s="12" t="str">
        <f>IF(C825-O825&gt;0,C825-O825,"")</f>
        <v/>
      </c>
      <c r="M825" s="14" t="str">
        <f>IF(L825="","",F825*L825)</f>
        <v/>
      </c>
      <c r="N825" s="15">
        <f>IF(OR(M825="",$G$1279=0),"",M825/$G$1279*100)</f>
      </c>
      <c r="O825" s="12">
        <v>0.07</v>
      </c>
      <c r="P825" s="14">
        <f>F825*O825</f>
        <v>23985.8486</v>
      </c>
      <c r="Q825" s="15">
        <f>IF($P$1279=0,0,P825/$P$1279*100)</f>
      </c>
      <c r="R825" s="10" t="str">
        <f>IF(O825=C825,"TETAP",IF(C825=0,"BARU",IF(O825=0,"HAPUS",IF(O825&gt;C825,"TAMBAH","KURANG"))))</f>
        <v>TETAP</v>
      </c>
    </row>
    <row r="826" spans="1:18" x14ac:dyDescent="0.25">
      <c r="A826" s="10" t="s">
        <v>172</v>
      </c>
      <c r="B826" s="18" t="s">
        <v>465</v>
      </c>
      <c r="C826" s="12">
        <v>0.07</v>
      </c>
      <c r="D826" s="12">
        <v>0</v>
      </c>
      <c r="E826" s="10" t="s">
        <v>159</v>
      </c>
      <c r="F826" s="14">
        <v>1243301.43</v>
      </c>
      <c r="G826" s="14">
        <f>F826*C826</f>
        <v>87031.10010000001</v>
      </c>
      <c r="H826" s="15">
        <f>IF($G$1279=0,0,G826/$G$1279*100)</f>
      </c>
      <c r="I826" s="12" t="str">
        <f>IF(O826-C826&gt;0,O826-C826,"")</f>
        <v/>
      </c>
      <c r="J826" s="14" t="str">
        <f>IF(I826="","",F826*I826)</f>
        <v/>
      </c>
      <c r="K826" s="15">
        <f>IF(OR(J826="",$G$1279=0),"",J826/$G$1279*100)</f>
      </c>
      <c r="L826" s="12" t="str">
        <f>IF(C826-O826&gt;0,C826-O826,"")</f>
        <v/>
      </c>
      <c r="M826" s="14" t="str">
        <f>IF(L826="","",F826*L826)</f>
        <v/>
      </c>
      <c r="N826" s="15">
        <f>IF(OR(M826="",$G$1279=0),"",M826/$G$1279*100)</f>
      </c>
      <c r="O826" s="12">
        <v>0.07</v>
      </c>
      <c r="P826" s="14">
        <f>F826*O826</f>
        <v>87031.10010000001</v>
      </c>
      <c r="Q826" s="15">
        <f>IF($P$1279=0,0,P826/$P$1279*100)</f>
      </c>
      <c r="R826" s="10" t="str">
        <f>IF(O826=C826,"TETAP",IF(C826=0,"BARU",IF(O826=0,"HAPUS",IF(O826&gt;C826,"TAMBAH","KURANG"))))</f>
        <v>TETAP</v>
      </c>
    </row>
    <row r="827" spans="1:18" x14ac:dyDescent="0.25">
      <c r="A827" s="10" t="s">
        <v>255</v>
      </c>
      <c r="B827" s="18" t="s">
        <v>352</v>
      </c>
      <c r="C827" s="12">
        <v>11.52</v>
      </c>
      <c r="D827" s="12">
        <v>0</v>
      </c>
      <c r="E827" s="10" t="s">
        <v>26</v>
      </c>
      <c r="F827" s="14">
        <v>184387.03</v>
      </c>
      <c r="G827" s="14">
        <f>F827*C827</f>
        <v>2124138.5856</v>
      </c>
      <c r="H827" s="15">
        <f>IF($G$1279=0,0,G827/$G$1279*100)</f>
      </c>
      <c r="I827" s="12" t="str">
        <f>IF(O827-C827&gt;0,O827-C827,"")</f>
        <v/>
      </c>
      <c r="J827" s="14" t="str">
        <f>IF(I827="","",F827*I827)</f>
        <v/>
      </c>
      <c r="K827" s="15">
        <f>IF(OR(J827="",$G$1279=0),"",J827/$G$1279*100)</f>
      </c>
      <c r="L827" s="12" t="str">
        <f>IF(C827-O827&gt;0,C827-O827,"")</f>
        <v/>
      </c>
      <c r="M827" s="14" t="str">
        <f>IF(L827="","",F827*L827)</f>
        <v/>
      </c>
      <c r="N827" s="15">
        <f>IF(OR(M827="",$G$1279=0),"",M827/$G$1279*100)</f>
      </c>
      <c r="O827" s="12">
        <v>11.52</v>
      </c>
      <c r="P827" s="14">
        <f>F827*O827</f>
        <v>2124138.5856</v>
      </c>
      <c r="Q827" s="15">
        <f>IF($P$1279=0,0,P827/$P$1279*100)</f>
      </c>
      <c r="R827" s="10" t="str">
        <f>IF(O827=C827,"TETAP",IF(C827=0,"BARU",IF(O827=0,"HAPUS",IF(O827&gt;C827,"TAMBAH","KURANG"))))</f>
        <v>TETAP</v>
      </c>
    </row>
    <row r="828" spans="1:18" x14ac:dyDescent="0.25">
      <c r="A828" s="10" t="s">
        <v>256</v>
      </c>
      <c r="B828" s="18" t="s">
        <v>692</v>
      </c>
      <c r="C828" s="12">
        <v>162.87</v>
      </c>
      <c r="D828" s="12">
        <v>0</v>
      </c>
      <c r="E828" s="10" t="s">
        <v>169</v>
      </c>
      <c r="F828" s="14">
        <v>28927.25</v>
      </c>
      <c r="G828" s="14">
        <f>F828*C828</f>
        <v>4711381.2075000005</v>
      </c>
      <c r="H828" s="15">
        <f>IF($G$1279=0,0,G828/$G$1279*100)</f>
      </c>
      <c r="I828" s="12" t="str">
        <f>IF(O828-C828&gt;0,O828-C828,"")</f>
        <v/>
      </c>
      <c r="J828" s="14" t="str">
        <f>IF(I828="","",F828*I828)</f>
        <v/>
      </c>
      <c r="K828" s="15">
        <f>IF(OR(J828="",$G$1279=0),"",J828/$G$1279*100)</f>
      </c>
      <c r="L828" s="12" t="str">
        <f>IF(C828-O828&gt;0,C828-O828,"")</f>
        <v/>
      </c>
      <c r="M828" s="14" t="str">
        <f>IF(L828="","",F828*L828)</f>
        <v/>
      </c>
      <c r="N828" s="15">
        <f>IF(OR(M828="",$G$1279=0),"",M828/$G$1279*100)</f>
      </c>
      <c r="O828" s="12">
        <v>162.87</v>
      </c>
      <c r="P828" s="14">
        <f>F828*O828</f>
        <v>4711381.2075000005</v>
      </c>
      <c r="Q828" s="15">
        <f>IF($P$1279=0,0,P828/$P$1279*100)</f>
      </c>
      <c r="R828" s="10" t="str">
        <f>IF(O828=C828,"TETAP",IF(C828=0,"BARU",IF(O828=0,"HAPUS",IF(O828&gt;C828,"TAMBAH","KURANG"))))</f>
        <v>TETAP</v>
      </c>
    </row>
    <row r="829" spans="1:18" x14ac:dyDescent="0.25">
      <c r="A829" s="10" t="s">
        <v>355</v>
      </c>
      <c r="B829" s="18" t="s">
        <v>693</v>
      </c>
      <c r="C829" s="12">
        <v>10</v>
      </c>
      <c r="D829" s="12">
        <v>0</v>
      </c>
      <c r="E829" s="10" t="s">
        <v>169</v>
      </c>
      <c r="F829" s="14">
        <v>28927.25</v>
      </c>
      <c r="G829" s="14">
        <f>F829*C829</f>
        <v>289272.5</v>
      </c>
      <c r="H829" s="15">
        <f>IF($G$1279=0,0,G829/$G$1279*100)</f>
      </c>
      <c r="I829" s="12" t="str">
        <f>IF(O829-C829&gt;0,O829-C829,"")</f>
        <v/>
      </c>
      <c r="J829" s="14" t="str">
        <f>IF(I829="","",F829*I829)</f>
        <v/>
      </c>
      <c r="K829" s="15">
        <f>IF(OR(J829="",$G$1279=0),"",J829/$G$1279*100)</f>
      </c>
      <c r="L829" s="12" t="str">
        <f>IF(C829-O829&gt;0,C829-O829,"")</f>
        <v/>
      </c>
      <c r="M829" s="14" t="str">
        <f>IF(L829="","",F829*L829)</f>
        <v/>
      </c>
      <c r="N829" s="15">
        <f>IF(OR(M829="",$G$1279=0),"",M829/$G$1279*100)</f>
      </c>
      <c r="O829" s="12">
        <v>10</v>
      </c>
      <c r="P829" s="14">
        <f>F829*O829</f>
        <v>289272.5</v>
      </c>
      <c r="Q829" s="15">
        <f>IF($P$1279=0,0,P829/$P$1279*100)</f>
      </c>
      <c r="R829" s="10" t="str">
        <f>IF(O829=C829,"TETAP",IF(C829=0,"BARU",IF(O829=0,"HAPUS",IF(O829&gt;C829,"TAMBAH","KURANG"))))</f>
        <v>TETAP</v>
      </c>
    </row>
    <row r="830" spans="1:18" x14ac:dyDescent="0.25">
      <c r="A830" s="10" t="s">
        <v>441</v>
      </c>
      <c r="B830" s="18" t="s">
        <v>374</v>
      </c>
      <c r="C830" s="12">
        <v>3.46</v>
      </c>
      <c r="D830" s="12">
        <v>0</v>
      </c>
      <c r="E830" s="10" t="s">
        <v>159</v>
      </c>
      <c r="F830" s="14">
        <v>1399567.05</v>
      </c>
      <c r="G830" s="14">
        <f>F830*C830</f>
        <v>4842501.993</v>
      </c>
      <c r="H830" s="15">
        <f>IF($G$1279=0,0,G830/$G$1279*100)</f>
      </c>
      <c r="I830" s="12" t="str">
        <f>IF(O830-C830&gt;0,O830-C830,"")</f>
        <v/>
      </c>
      <c r="J830" s="14" t="str">
        <f>IF(I830="","",F830*I830)</f>
        <v/>
      </c>
      <c r="K830" s="15">
        <f>IF(OR(J830="",$G$1279=0),"",J830/$G$1279*100)</f>
      </c>
      <c r="L830" s="12" t="str">
        <f>IF(C830-O830&gt;0,C830-O830,"")</f>
        <v/>
      </c>
      <c r="M830" s="14" t="str">
        <f>IF(L830="","",F830*L830)</f>
        <v/>
      </c>
      <c r="N830" s="15">
        <f>IF(OR(M830="",$G$1279=0),"",M830/$G$1279*100)</f>
      </c>
      <c r="O830" s="12">
        <v>3.46</v>
      </c>
      <c r="P830" s="14">
        <f>F830*O830</f>
        <v>4842501.993</v>
      </c>
      <c r="Q830" s="15">
        <f>IF($P$1279=0,0,P830/$P$1279*100)</f>
      </c>
      <c r="R830" s="10" t="str">
        <f>IF(O830=C830,"TETAP",IF(C830=0,"BARU",IF(O830=0,"HAPUS",IF(O830&gt;C830,"TAMBAH","KURANG"))))</f>
        <v>TETAP</v>
      </c>
    </row>
    <row r="831" spans="1:18" x14ac:dyDescent="0.25">
      <c r="A831" s="10" t="s">
        <v>694</v>
      </c>
      <c r="B831" s="18" t="s">
        <v>695</v>
      </c>
      <c r="C831" s="12">
        <v>3.46</v>
      </c>
      <c r="D831" s="12">
        <v>0</v>
      </c>
      <c r="E831" s="10" t="s">
        <v>159</v>
      </c>
      <c r="F831" s="14">
        <v>45149.88</v>
      </c>
      <c r="G831" s="14">
        <f>F831*C831</f>
        <v>156218.58479999998</v>
      </c>
      <c r="H831" s="15">
        <f>IF($G$1279=0,0,G831/$G$1279*100)</f>
      </c>
      <c r="I831" s="12" t="str">
        <f>IF(O831-C831&gt;0,O831-C831,"")</f>
        <v/>
      </c>
      <c r="J831" s="14" t="str">
        <f>IF(I831="","",F831*I831)</f>
        <v/>
      </c>
      <c r="K831" s="15">
        <f>IF(OR(J831="",$G$1279=0),"",J831/$G$1279*100)</f>
      </c>
      <c r="L831" s="12" t="str">
        <f>IF(C831-O831&gt;0,C831-O831,"")</f>
        <v/>
      </c>
      <c r="M831" s="14" t="str">
        <f>IF(L831="","",F831*L831)</f>
        <v/>
      </c>
      <c r="N831" s="15">
        <f>IF(OR(M831="",$G$1279=0),"",M831/$G$1279*100)</f>
      </c>
      <c r="O831" s="12">
        <v>3.46</v>
      </c>
      <c r="P831" s="14">
        <f>F831*O831</f>
        <v>156218.58479999998</v>
      </c>
      <c r="Q831" s="15">
        <f>IF($P$1279=0,0,P831/$P$1279*100)</f>
      </c>
      <c r="R831" s="10" t="str">
        <f>IF(O831=C831,"TETAP",IF(C831=0,"BARU",IF(O831=0,"HAPUS",IF(O831&gt;C831,"TAMBAH","KURANG"))))</f>
        <v>TETAP</v>
      </c>
    </row>
    <row r="832" spans="1:18" x14ac:dyDescent="0.25">
      <c r="A832" s="5" t="s">
        <v>30</v>
      </c>
      <c r="B832" s="17" t="s">
        <v>696</v>
      </c>
      <c r="C832" s="7"/>
      <c r="D832" s="7"/>
      <c r="E832" s="5"/>
      <c r="F832" s="8"/>
      <c r="G832" s="8"/>
      <c r="H832" s="9"/>
      <c r="I832" s="7"/>
      <c r="J832" s="8"/>
      <c r="K832" s="9"/>
      <c r="L832" s="7"/>
      <c r="M832" s="8"/>
      <c r="N832" s="9"/>
      <c r="O832" s="7"/>
      <c r="P832" s="8"/>
      <c r="Q832" s="9"/>
      <c r="R832" s="5"/>
    </row>
    <row r="833" spans="1:18" x14ac:dyDescent="0.25">
      <c r="A833" s="10" t="s">
        <v>175</v>
      </c>
      <c r="B833" s="18" t="s">
        <v>690</v>
      </c>
      <c r="C833" s="12">
        <v>2.4</v>
      </c>
      <c r="D833" s="12">
        <v>0</v>
      </c>
      <c r="E833" s="10" t="s">
        <v>159</v>
      </c>
      <c r="F833" s="14">
        <v>48730.7</v>
      </c>
      <c r="G833" s="14">
        <f>F833*C833</f>
        <v>116953.68</v>
      </c>
      <c r="H833" s="15">
        <f>IF($G$1279=0,0,G833/$G$1279*100)</f>
      </c>
      <c r="I833" s="12" t="str">
        <f>IF(O833-C833&gt;0,O833-C833,"")</f>
        <v/>
      </c>
      <c r="J833" s="14" t="str">
        <f>IF(I833="","",F833*I833)</f>
        <v/>
      </c>
      <c r="K833" s="15">
        <f>IF(OR(J833="",$G$1279=0),"",J833/$G$1279*100)</f>
      </c>
      <c r="L833" s="12" t="str">
        <f>IF(C833-O833&gt;0,C833-O833,"")</f>
        <v/>
      </c>
      <c r="M833" s="14" t="str">
        <f>IF(L833="","",F833*L833)</f>
        <v/>
      </c>
      <c r="N833" s="15">
        <f>IF(OR(M833="",$G$1279=0),"",M833/$G$1279*100)</f>
      </c>
      <c r="O833" s="12">
        <v>2.4</v>
      </c>
      <c r="P833" s="14">
        <f>F833*O833</f>
        <v>116953.68</v>
      </c>
      <c r="Q833" s="15">
        <f>IF($P$1279=0,0,P833/$P$1279*100)</f>
      </c>
      <c r="R833" s="10" t="str">
        <f>IF(O833=C833,"TETAP",IF(C833=0,"BARU",IF(O833=0,"HAPUS",IF(O833&gt;C833,"TAMBAH","KURANG"))))</f>
        <v>TETAP</v>
      </c>
    </row>
    <row r="834" spans="1:18" x14ac:dyDescent="0.25">
      <c r="A834" s="10" t="s">
        <v>176</v>
      </c>
      <c r="B834" s="18" t="s">
        <v>691</v>
      </c>
      <c r="C834" s="12">
        <v>0.3</v>
      </c>
      <c r="D834" s="12">
        <v>0</v>
      </c>
      <c r="E834" s="10" t="s">
        <v>159</v>
      </c>
      <c r="F834" s="14">
        <v>342654.98</v>
      </c>
      <c r="G834" s="14">
        <f>F834*C834</f>
        <v>102796.49399999999</v>
      </c>
      <c r="H834" s="15">
        <f>IF($G$1279=0,0,G834/$G$1279*100)</f>
      </c>
      <c r="I834" s="12" t="str">
        <f>IF(O834-C834&gt;0,O834-C834,"")</f>
        <v/>
      </c>
      <c r="J834" s="14" t="str">
        <f>IF(I834="","",F834*I834)</f>
        <v/>
      </c>
      <c r="K834" s="15">
        <f>IF(OR(J834="",$G$1279=0),"",J834/$G$1279*100)</f>
      </c>
      <c r="L834" s="12" t="str">
        <f>IF(C834-O834&gt;0,C834-O834,"")</f>
        <v/>
      </c>
      <c r="M834" s="14" t="str">
        <f>IF(L834="","",F834*L834)</f>
        <v/>
      </c>
      <c r="N834" s="15">
        <f>IF(OR(M834="",$G$1279=0),"",M834/$G$1279*100)</f>
      </c>
      <c r="O834" s="12">
        <v>0.3</v>
      </c>
      <c r="P834" s="14">
        <f>F834*O834</f>
        <v>102796.49399999999</v>
      </c>
      <c r="Q834" s="15">
        <f>IF($P$1279=0,0,P834/$P$1279*100)</f>
      </c>
      <c r="R834" s="10" t="str">
        <f>IF(O834=C834,"TETAP",IF(C834=0,"BARU",IF(O834=0,"HAPUS",IF(O834&gt;C834,"TAMBAH","KURANG"))))</f>
        <v>TETAP</v>
      </c>
    </row>
    <row r="835" spans="1:18" x14ac:dyDescent="0.25">
      <c r="A835" s="10" t="s">
        <v>178</v>
      </c>
      <c r="B835" s="18" t="s">
        <v>465</v>
      </c>
      <c r="C835" s="12">
        <v>0.3</v>
      </c>
      <c r="D835" s="12">
        <v>0</v>
      </c>
      <c r="E835" s="10" t="s">
        <v>159</v>
      </c>
      <c r="F835" s="14">
        <v>1243301.43</v>
      </c>
      <c r="G835" s="14">
        <f>F835*C835</f>
        <v>372990.42899999995</v>
      </c>
      <c r="H835" s="15">
        <f>IF($G$1279=0,0,G835/$G$1279*100)</f>
      </c>
      <c r="I835" s="12" t="str">
        <f>IF(O835-C835&gt;0,O835-C835,"")</f>
        <v/>
      </c>
      <c r="J835" s="14" t="str">
        <f>IF(I835="","",F835*I835)</f>
        <v/>
      </c>
      <c r="K835" s="15">
        <f>IF(OR(J835="",$G$1279=0),"",J835/$G$1279*100)</f>
      </c>
      <c r="L835" s="12" t="str">
        <f>IF(C835-O835&gt;0,C835-O835,"")</f>
        <v/>
      </c>
      <c r="M835" s="14" t="str">
        <f>IF(L835="","",F835*L835)</f>
        <v/>
      </c>
      <c r="N835" s="15">
        <f>IF(OR(M835="",$G$1279=0),"",M835/$G$1279*100)</f>
      </c>
      <c r="O835" s="12">
        <v>0.3</v>
      </c>
      <c r="P835" s="14">
        <f>F835*O835</f>
        <v>372990.42899999995</v>
      </c>
      <c r="Q835" s="15">
        <f>IF($P$1279=0,0,P835/$P$1279*100)</f>
      </c>
      <c r="R835" s="10" t="str">
        <f>IF(O835=C835,"TETAP",IF(C835=0,"BARU",IF(O835=0,"HAPUS",IF(O835&gt;C835,"TAMBAH","KURANG"))))</f>
        <v>TETAP</v>
      </c>
    </row>
    <row r="836" spans="1:18" x14ac:dyDescent="0.25">
      <c r="A836" s="10" t="s">
        <v>180</v>
      </c>
      <c r="B836" s="18" t="s">
        <v>352</v>
      </c>
      <c r="C836" s="12">
        <v>3.6</v>
      </c>
      <c r="D836" s="12">
        <v>0</v>
      </c>
      <c r="E836" s="10" t="s">
        <v>26</v>
      </c>
      <c r="F836" s="14">
        <v>184387.03</v>
      </c>
      <c r="G836" s="14">
        <f>F836*C836</f>
        <v>663793.308</v>
      </c>
      <c r="H836" s="15">
        <f>IF($G$1279=0,0,G836/$G$1279*100)</f>
      </c>
      <c r="I836" s="12" t="str">
        <f>IF(O836-C836&gt;0,O836-C836,"")</f>
        <v/>
      </c>
      <c r="J836" s="14" t="str">
        <f>IF(I836="","",F836*I836)</f>
        <v/>
      </c>
      <c r="K836" s="15">
        <f>IF(OR(J836="",$G$1279=0),"",J836/$G$1279*100)</f>
      </c>
      <c r="L836" s="12" t="str">
        <f>IF(C836-O836&gt;0,C836-O836,"")</f>
        <v/>
      </c>
      <c r="M836" s="14" t="str">
        <f>IF(L836="","",F836*L836)</f>
        <v/>
      </c>
      <c r="N836" s="15">
        <f>IF(OR(M836="",$G$1279=0),"",M836/$G$1279*100)</f>
      </c>
      <c r="O836" s="12">
        <v>3.6</v>
      </c>
      <c r="P836" s="14">
        <f>F836*O836</f>
        <v>663793.308</v>
      </c>
      <c r="Q836" s="15">
        <f>IF($P$1279=0,0,P836/$P$1279*100)</f>
      </c>
      <c r="R836" s="10" t="str">
        <f>IF(O836=C836,"TETAP",IF(C836=0,"BARU",IF(O836=0,"HAPUS",IF(O836&gt;C836,"TAMBAH","KURANG"))))</f>
        <v>TETAP</v>
      </c>
    </row>
    <row r="837" spans="1:18" x14ac:dyDescent="0.25">
      <c r="A837" s="10" t="s">
        <v>181</v>
      </c>
      <c r="B837" s="18" t="s">
        <v>697</v>
      </c>
      <c r="C837" s="12">
        <v>77.1</v>
      </c>
      <c r="D837" s="12">
        <v>0</v>
      </c>
      <c r="E837" s="10" t="s">
        <v>169</v>
      </c>
      <c r="F837" s="14">
        <v>28927.25</v>
      </c>
      <c r="G837" s="14">
        <f>F837*C837</f>
        <v>2230290.9749999996</v>
      </c>
      <c r="H837" s="15">
        <f>IF($G$1279=0,0,G837/$G$1279*100)</f>
      </c>
      <c r="I837" s="12" t="str">
        <f>IF(O837-C837&gt;0,O837-C837,"")</f>
        <v/>
      </c>
      <c r="J837" s="14" t="str">
        <f>IF(I837="","",F837*I837)</f>
        <v/>
      </c>
      <c r="K837" s="15">
        <f>IF(OR(J837="",$G$1279=0),"",J837/$G$1279*100)</f>
      </c>
      <c r="L837" s="12" t="str">
        <f>IF(C837-O837&gt;0,C837-O837,"")</f>
        <v/>
      </c>
      <c r="M837" s="14" t="str">
        <f>IF(L837="","",F837*L837)</f>
        <v/>
      </c>
      <c r="N837" s="15">
        <f>IF(OR(M837="",$G$1279=0),"",M837/$G$1279*100)</f>
      </c>
      <c r="O837" s="12">
        <v>77.1</v>
      </c>
      <c r="P837" s="14">
        <f>F837*O837</f>
        <v>2230290.9749999996</v>
      </c>
      <c r="Q837" s="15">
        <f>IF($P$1279=0,0,P837/$P$1279*100)</f>
      </c>
      <c r="R837" s="10" t="str">
        <f>IF(O837=C837,"TETAP",IF(C837=0,"BARU",IF(O837=0,"HAPUS",IF(O837&gt;C837,"TAMBAH","KURANG"))))</f>
        <v>TETAP</v>
      </c>
    </row>
    <row r="838" spans="1:18" x14ac:dyDescent="0.25">
      <c r="A838" s="10" t="s">
        <v>183</v>
      </c>
      <c r="B838" s="18" t="s">
        <v>698</v>
      </c>
      <c r="C838" s="12">
        <v>29.17</v>
      </c>
      <c r="D838" s="12">
        <v>0</v>
      </c>
      <c r="E838" s="10" t="s">
        <v>169</v>
      </c>
      <c r="F838" s="14">
        <v>19252.39</v>
      </c>
      <c r="G838" s="14">
        <f>F838*C838</f>
        <v>561592.2163</v>
      </c>
      <c r="H838" s="15">
        <f>IF($G$1279=0,0,G838/$G$1279*100)</f>
      </c>
      <c r="I838" s="12" t="str">
        <f>IF(O838-C838&gt;0,O838-C838,"")</f>
        <v/>
      </c>
      <c r="J838" s="14" t="str">
        <f>IF(I838="","",F838*I838)</f>
        <v/>
      </c>
      <c r="K838" s="15">
        <f>IF(OR(J838="",$G$1279=0),"",J838/$G$1279*100)</f>
      </c>
      <c r="L838" s="12" t="str">
        <f>IF(C838-O838&gt;0,C838-O838,"")</f>
        <v/>
      </c>
      <c r="M838" s="14" t="str">
        <f>IF(L838="","",F838*L838)</f>
        <v/>
      </c>
      <c r="N838" s="15">
        <f>IF(OR(M838="",$G$1279=0),"",M838/$G$1279*100)</f>
      </c>
      <c r="O838" s="12">
        <v>29.17</v>
      </c>
      <c r="P838" s="14">
        <f>F838*O838</f>
        <v>561592.2163</v>
      </c>
      <c r="Q838" s="15">
        <f>IF($P$1279=0,0,P838/$P$1279*100)</f>
      </c>
      <c r="R838" s="10" t="str">
        <f>IF(O838=C838,"TETAP",IF(C838=0,"BARU",IF(O838=0,"HAPUS",IF(O838&gt;C838,"TAMBAH","KURANG"))))</f>
        <v>TETAP</v>
      </c>
    </row>
    <row r="839" spans="1:18" x14ac:dyDescent="0.25">
      <c r="A839" s="10" t="s">
        <v>699</v>
      </c>
      <c r="B839" s="18" t="s">
        <v>374</v>
      </c>
      <c r="C839" s="12">
        <v>0.9</v>
      </c>
      <c r="D839" s="12">
        <v>0</v>
      </c>
      <c r="E839" s="10" t="s">
        <v>159</v>
      </c>
      <c r="F839" s="14">
        <v>1399567.05</v>
      </c>
      <c r="G839" s="14">
        <f>F839*C839</f>
        <v>1259610.345</v>
      </c>
      <c r="H839" s="15">
        <f>IF($G$1279=0,0,G839/$G$1279*100)</f>
      </c>
      <c r="I839" s="12" t="str">
        <f>IF(O839-C839&gt;0,O839-C839,"")</f>
        <v/>
      </c>
      <c r="J839" s="14" t="str">
        <f>IF(I839="","",F839*I839)</f>
        <v/>
      </c>
      <c r="K839" s="15">
        <f>IF(OR(J839="",$G$1279=0),"",J839/$G$1279*100)</f>
      </c>
      <c r="L839" s="12" t="str">
        <f>IF(C839-O839&gt;0,C839-O839,"")</f>
        <v/>
      </c>
      <c r="M839" s="14" t="str">
        <f>IF(L839="","",F839*L839)</f>
        <v/>
      </c>
      <c r="N839" s="15">
        <f>IF(OR(M839="",$G$1279=0),"",M839/$G$1279*100)</f>
      </c>
      <c r="O839" s="12">
        <v>0.9</v>
      </c>
      <c r="P839" s="14">
        <f>F839*O839</f>
        <v>1259610.345</v>
      </c>
      <c r="Q839" s="15">
        <f>IF($P$1279=0,0,P839/$P$1279*100)</f>
      </c>
      <c r="R839" s="10" t="str">
        <f>IF(O839=C839,"TETAP",IF(C839=0,"BARU",IF(O839=0,"HAPUS",IF(O839&gt;C839,"TAMBAH","KURANG"))))</f>
        <v>TETAP</v>
      </c>
    </row>
    <row r="840" spans="1:18" x14ac:dyDescent="0.25">
      <c r="A840" s="10" t="s">
        <v>700</v>
      </c>
      <c r="B840" s="18" t="s">
        <v>695</v>
      </c>
      <c r="C840" s="12">
        <v>0.9</v>
      </c>
      <c r="D840" s="12">
        <v>0</v>
      </c>
      <c r="E840" s="10" t="s">
        <v>159</v>
      </c>
      <c r="F840" s="14">
        <v>45149.88</v>
      </c>
      <c r="G840" s="14">
        <f>F840*C840</f>
        <v>40634.892</v>
      </c>
      <c r="H840" s="15">
        <f>IF($G$1279=0,0,G840/$G$1279*100)</f>
      </c>
      <c r="I840" s="12" t="str">
        <f>IF(O840-C840&gt;0,O840-C840,"")</f>
        <v/>
      </c>
      <c r="J840" s="14" t="str">
        <f>IF(I840="","",F840*I840)</f>
        <v/>
      </c>
      <c r="K840" s="15">
        <f>IF(OR(J840="",$G$1279=0),"",J840/$G$1279*100)</f>
      </c>
      <c r="L840" s="12" t="str">
        <f>IF(C840-O840&gt;0,C840-O840,"")</f>
        <v/>
      </c>
      <c r="M840" s="14" t="str">
        <f>IF(L840="","",F840*L840)</f>
        <v/>
      </c>
      <c r="N840" s="15">
        <f>IF(OR(M840="",$G$1279=0),"",M840/$G$1279*100)</f>
      </c>
      <c r="O840" s="12">
        <v>0.9</v>
      </c>
      <c r="P840" s="14">
        <f>F840*O840</f>
        <v>40634.892</v>
      </c>
      <c r="Q840" s="15">
        <f>IF($P$1279=0,0,P840/$P$1279*100)</f>
      </c>
      <c r="R840" s="10" t="str">
        <f>IF(O840=C840,"TETAP",IF(C840=0,"BARU",IF(O840=0,"HAPUS",IF(O840&gt;C840,"TAMBAH","KURANG"))))</f>
        <v>TETAP</v>
      </c>
    </row>
    <row r="841" spans="1:18" x14ac:dyDescent="0.25">
      <c r="A841" s="5" t="s">
        <v>33</v>
      </c>
      <c r="B841" s="17" t="s">
        <v>701</v>
      </c>
      <c r="C841" s="7"/>
      <c r="D841" s="7"/>
      <c r="E841" s="5"/>
      <c r="F841" s="8"/>
      <c r="G841" s="8"/>
      <c r="H841" s="9"/>
      <c r="I841" s="7"/>
      <c r="J841" s="8"/>
      <c r="K841" s="9"/>
      <c r="L841" s="7"/>
      <c r="M841" s="8"/>
      <c r="N841" s="9"/>
      <c r="O841" s="7"/>
      <c r="P841" s="8"/>
      <c r="Q841" s="9"/>
      <c r="R841" s="5"/>
    </row>
    <row r="842" spans="1:18" x14ac:dyDescent="0.25">
      <c r="A842" s="10" t="s">
        <v>186</v>
      </c>
      <c r="B842" s="18" t="s">
        <v>371</v>
      </c>
      <c r="C842" s="12">
        <v>12.48</v>
      </c>
      <c r="D842" s="12">
        <v>0</v>
      </c>
      <c r="E842" s="10" t="s">
        <v>26</v>
      </c>
      <c r="F842" s="14">
        <v>229284.3</v>
      </c>
      <c r="G842" s="14">
        <f>F842*C842</f>
        <v>2861468.064</v>
      </c>
      <c r="H842" s="15">
        <f>IF($G$1279=0,0,G842/$G$1279*100)</f>
      </c>
      <c r="I842" s="12" t="str">
        <f>IF(O842-C842&gt;0,O842-C842,"")</f>
        <v/>
      </c>
      <c r="J842" s="14" t="str">
        <f>IF(I842="","",F842*I842)</f>
        <v/>
      </c>
      <c r="K842" s="15">
        <f>IF(OR(J842="",$G$1279=0),"",J842/$G$1279*100)</f>
      </c>
      <c r="L842" s="12" t="str">
        <f>IF(C842-O842&gt;0,C842-O842,"")</f>
        <v/>
      </c>
      <c r="M842" s="14" t="str">
        <f>IF(L842="","",F842*L842)</f>
        <v/>
      </c>
      <c r="N842" s="15">
        <f>IF(OR(M842="",$G$1279=0),"",M842/$G$1279*100)</f>
      </c>
      <c r="O842" s="12">
        <v>12.48</v>
      </c>
      <c r="P842" s="14">
        <f>F842*O842</f>
        <v>2861468.064</v>
      </c>
      <c r="Q842" s="15">
        <f>IF($P$1279=0,0,P842/$P$1279*100)</f>
      </c>
      <c r="R842" s="10" t="str">
        <f>IF(O842=C842,"TETAP",IF(C842=0,"BARU",IF(O842=0,"HAPUS",IF(O842&gt;C842,"TAMBAH","KURANG"))))</f>
        <v>TETAP</v>
      </c>
    </row>
    <row r="843" spans="1:18" x14ac:dyDescent="0.25">
      <c r="A843" s="10" t="s">
        <v>188</v>
      </c>
      <c r="B843" s="18" t="s">
        <v>702</v>
      </c>
      <c r="C843" s="12">
        <v>235.05</v>
      </c>
      <c r="D843" s="12">
        <v>0</v>
      </c>
      <c r="E843" s="10" t="s">
        <v>169</v>
      </c>
      <c r="F843" s="14">
        <v>28927.25</v>
      </c>
      <c r="G843" s="14">
        <f>F843*C843</f>
        <v>6799350.112500001</v>
      </c>
      <c r="H843" s="15">
        <f>IF($G$1279=0,0,G843/$G$1279*100)</f>
      </c>
      <c r="I843" s="12" t="str">
        <f>IF(O843-C843&gt;0,O843-C843,"")</f>
        <v/>
      </c>
      <c r="J843" s="14" t="str">
        <f>IF(I843="","",F843*I843)</f>
        <v/>
      </c>
      <c r="K843" s="15">
        <f>IF(OR(J843="",$G$1279=0),"",J843/$G$1279*100)</f>
      </c>
      <c r="L843" s="12" t="str">
        <f>IF(C843-O843&gt;0,C843-O843,"")</f>
        <v/>
      </c>
      <c r="M843" s="14" t="str">
        <f>IF(L843="","",F843*L843)</f>
        <v/>
      </c>
      <c r="N843" s="15">
        <f>IF(OR(M843="",$G$1279=0),"",M843/$G$1279*100)</f>
      </c>
      <c r="O843" s="12">
        <v>235.05</v>
      </c>
      <c r="P843" s="14">
        <f>F843*O843</f>
        <v>6799350.112500001</v>
      </c>
      <c r="Q843" s="15">
        <f>IF($P$1279=0,0,P843/$P$1279*100)</f>
      </c>
      <c r="R843" s="10" t="str">
        <f>IF(O843=C843,"TETAP",IF(C843=0,"BARU",IF(O843=0,"HAPUS",IF(O843&gt;C843,"TAMBAH","KURANG"))))</f>
        <v>TETAP</v>
      </c>
    </row>
    <row r="844" spans="1:18" x14ac:dyDescent="0.25">
      <c r="A844" s="10" t="s">
        <v>189</v>
      </c>
      <c r="B844" s="18" t="s">
        <v>703</v>
      </c>
      <c r="C844" s="12">
        <v>23.67</v>
      </c>
      <c r="D844" s="12">
        <v>0</v>
      </c>
      <c r="E844" s="10" t="s">
        <v>169</v>
      </c>
      <c r="F844" s="14">
        <v>19252.39</v>
      </c>
      <c r="G844" s="14">
        <f>F844*C844</f>
        <v>455704.0713</v>
      </c>
      <c r="H844" s="15">
        <f>IF($G$1279=0,0,G844/$G$1279*100)</f>
      </c>
      <c r="I844" s="12" t="str">
        <f>IF(O844-C844&gt;0,O844-C844,"")</f>
        <v/>
      </c>
      <c r="J844" s="14" t="str">
        <f>IF(I844="","",F844*I844)</f>
        <v/>
      </c>
      <c r="K844" s="15">
        <f>IF(OR(J844="",$G$1279=0),"",J844/$G$1279*100)</f>
      </c>
      <c r="L844" s="12" t="str">
        <f>IF(C844-O844&gt;0,C844-O844,"")</f>
        <v/>
      </c>
      <c r="M844" s="14" t="str">
        <f>IF(L844="","",F844*L844)</f>
        <v/>
      </c>
      <c r="N844" s="15">
        <f>IF(OR(M844="",$G$1279=0),"",M844/$G$1279*100)</f>
      </c>
      <c r="O844" s="12">
        <v>23.67</v>
      </c>
      <c r="P844" s="14">
        <f>F844*O844</f>
        <v>455704.0713</v>
      </c>
      <c r="Q844" s="15">
        <f>IF($P$1279=0,0,P844/$P$1279*100)</f>
      </c>
      <c r="R844" s="10" t="str">
        <f>IF(O844=C844,"TETAP",IF(C844=0,"BARU",IF(O844=0,"HAPUS",IF(O844&gt;C844,"TAMBAH","KURANG"))))</f>
        <v>TETAP</v>
      </c>
    </row>
    <row r="845" spans="1:18" x14ac:dyDescent="0.25">
      <c r="A845" s="10" t="s">
        <v>191</v>
      </c>
      <c r="B845" s="18" t="s">
        <v>704</v>
      </c>
      <c r="C845" s="12">
        <v>56.96</v>
      </c>
      <c r="D845" s="12">
        <v>0</v>
      </c>
      <c r="E845" s="10" t="s">
        <v>169</v>
      </c>
      <c r="F845" s="14">
        <v>19252.39</v>
      </c>
      <c r="G845" s="14">
        <f>F845*C845</f>
        <v>1096616.1344</v>
      </c>
      <c r="H845" s="15">
        <f>IF($G$1279=0,0,G845/$G$1279*100)</f>
      </c>
      <c r="I845" s="12" t="str">
        <f>IF(O845-C845&gt;0,O845-C845,"")</f>
        <v/>
      </c>
      <c r="J845" s="14" t="str">
        <f>IF(I845="","",F845*I845)</f>
        <v/>
      </c>
      <c r="K845" s="15">
        <f>IF(OR(J845="",$G$1279=0),"",J845/$G$1279*100)</f>
      </c>
      <c r="L845" s="12" t="str">
        <f>IF(C845-O845&gt;0,C845-O845,"")</f>
        <v/>
      </c>
      <c r="M845" s="14" t="str">
        <f>IF(L845="","",F845*L845)</f>
        <v/>
      </c>
      <c r="N845" s="15">
        <f>IF(OR(M845="",$G$1279=0),"",M845/$G$1279*100)</f>
      </c>
      <c r="O845" s="12">
        <v>56.96</v>
      </c>
      <c r="P845" s="14">
        <f>F845*O845</f>
        <v>1096616.1344</v>
      </c>
      <c r="Q845" s="15">
        <f>IF($P$1279=0,0,P845/$P$1279*100)</f>
      </c>
      <c r="R845" s="10" t="str">
        <f>IF(O845=C845,"TETAP",IF(C845=0,"BARU",IF(O845=0,"HAPUS",IF(O845&gt;C845,"TAMBAH","KURANG"))))</f>
        <v>TETAP</v>
      </c>
    </row>
    <row r="846" spans="1:18" x14ac:dyDescent="0.25">
      <c r="A846" s="10" t="s">
        <v>260</v>
      </c>
      <c r="B846" s="18" t="s">
        <v>374</v>
      </c>
      <c r="C846" s="12">
        <v>0.94</v>
      </c>
      <c r="D846" s="12">
        <v>0</v>
      </c>
      <c r="E846" s="10" t="s">
        <v>159</v>
      </c>
      <c r="F846" s="14">
        <v>1399567.05</v>
      </c>
      <c r="G846" s="14">
        <f>F846*C846</f>
        <v>1315593.027</v>
      </c>
      <c r="H846" s="15">
        <f>IF($G$1279=0,0,G846/$G$1279*100)</f>
      </c>
      <c r="I846" s="12" t="str">
        <f>IF(O846-C846&gt;0,O846-C846,"")</f>
        <v/>
      </c>
      <c r="J846" s="14" t="str">
        <f>IF(I846="","",F846*I846)</f>
        <v/>
      </c>
      <c r="K846" s="15">
        <f>IF(OR(J846="",$G$1279=0),"",J846/$G$1279*100)</f>
      </c>
      <c r="L846" s="12" t="str">
        <f>IF(C846-O846&gt;0,C846-O846,"")</f>
        <v/>
      </c>
      <c r="M846" s="14" t="str">
        <f>IF(L846="","",F846*L846)</f>
        <v/>
      </c>
      <c r="N846" s="15">
        <f>IF(OR(M846="",$G$1279=0),"",M846/$G$1279*100)</f>
      </c>
      <c r="O846" s="12">
        <v>0.94</v>
      </c>
      <c r="P846" s="14">
        <f>F846*O846</f>
        <v>1315593.027</v>
      </c>
      <c r="Q846" s="15">
        <f>IF($P$1279=0,0,P846/$P$1279*100)</f>
      </c>
      <c r="R846" s="10" t="str">
        <f>IF(O846=C846,"TETAP",IF(C846=0,"BARU",IF(O846=0,"HAPUS",IF(O846&gt;C846,"TAMBAH","KURANG"))))</f>
        <v>TETAP</v>
      </c>
    </row>
    <row r="847" spans="1:18" x14ac:dyDescent="0.25">
      <c r="A847" s="10" t="s">
        <v>261</v>
      </c>
      <c r="B847" s="18" t="s">
        <v>695</v>
      </c>
      <c r="C847" s="12">
        <v>0.94</v>
      </c>
      <c r="D847" s="12">
        <v>0</v>
      </c>
      <c r="E847" s="10" t="s">
        <v>159</v>
      </c>
      <c r="F847" s="14">
        <v>45149.88</v>
      </c>
      <c r="G847" s="14">
        <f>F847*C847</f>
        <v>42440.8872</v>
      </c>
      <c r="H847" s="15">
        <f>IF($G$1279=0,0,G847/$G$1279*100)</f>
      </c>
      <c r="I847" s="12" t="str">
        <f>IF(O847-C847&gt;0,O847-C847,"")</f>
        <v/>
      </c>
      <c r="J847" s="14" t="str">
        <f>IF(I847="","",F847*I847)</f>
        <v/>
      </c>
      <c r="K847" s="15">
        <f>IF(OR(J847="",$G$1279=0),"",J847/$G$1279*100)</f>
      </c>
      <c r="L847" s="12" t="str">
        <f>IF(C847-O847&gt;0,C847-O847,"")</f>
        <v/>
      </c>
      <c r="M847" s="14" t="str">
        <f>IF(L847="","",F847*L847)</f>
        <v/>
      </c>
      <c r="N847" s="15">
        <f>IF(OR(M847="",$G$1279=0),"",M847/$G$1279*100)</f>
      </c>
      <c r="O847" s="12">
        <v>0.94</v>
      </c>
      <c r="P847" s="14">
        <f>F847*O847</f>
        <v>42440.8872</v>
      </c>
      <c r="Q847" s="15">
        <f>IF($P$1279=0,0,P847/$P$1279*100)</f>
      </c>
      <c r="R847" s="10" t="str">
        <f>IF(O847=C847,"TETAP",IF(C847=0,"BARU",IF(O847=0,"HAPUS",IF(O847&gt;C847,"TAMBAH","KURANG"))))</f>
        <v>TETAP</v>
      </c>
    </row>
    <row r="848" spans="1:18" x14ac:dyDescent="0.25">
      <c r="A848" s="10" t="s">
        <v>35</v>
      </c>
      <c r="B848" s="20" t="s">
        <v>705</v>
      </c>
      <c r="C848" s="12">
        <v>20</v>
      </c>
      <c r="D848" s="12">
        <v>0</v>
      </c>
      <c r="E848" s="10" t="s">
        <v>26</v>
      </c>
      <c r="F848" s="14">
        <v>1663507.08</v>
      </c>
      <c r="G848" s="14">
        <f>F848*C848</f>
        <v>33270141.6</v>
      </c>
      <c r="H848" s="15">
        <f>IF($G$1279=0,0,G848/$G$1279*100)</f>
      </c>
      <c r="I848" s="12" t="str">
        <f>IF(O848-C848&gt;0,O848-C848,"")</f>
        <v/>
      </c>
      <c r="J848" s="14" t="str">
        <f>IF(I848="","",F848*I848)</f>
        <v/>
      </c>
      <c r="K848" s="15">
        <f>IF(OR(J848="",$G$1279=0),"",J848/$G$1279*100)</f>
      </c>
      <c r="L848" s="12" t="str">
        <f>IF(C848-O848&gt;0,C848-O848,"")</f>
        <v/>
      </c>
      <c r="M848" s="14" t="str">
        <f>IF(L848="","",F848*L848)</f>
        <v/>
      </c>
      <c r="N848" s="15">
        <f>IF(OR(M848="",$G$1279=0),"",M848/$G$1279*100)</f>
      </c>
      <c r="O848" s="12">
        <v>20</v>
      </c>
      <c r="P848" s="14">
        <f>F848*O848</f>
        <v>33270141.6</v>
      </c>
      <c r="Q848" s="15">
        <f>IF($P$1279=0,0,P848/$P$1279*100)</f>
      </c>
      <c r="R848" s="10" t="str">
        <f>IF(O848=C848,"TETAP",IF(C848=0,"BARU",IF(O848=0,"HAPUS",IF(O848&gt;C848,"TAMBAH","KURANG"))))</f>
        <v>TETAP</v>
      </c>
    </row>
    <row r="849" spans="1:18" x14ac:dyDescent="0.25">
      <c r="A849" s="5" t="s">
        <v>38</v>
      </c>
      <c r="B849" s="17" t="s">
        <v>706</v>
      </c>
      <c r="C849" s="7"/>
      <c r="D849" s="7"/>
      <c r="E849" s="5"/>
      <c r="F849" s="8"/>
      <c r="G849" s="8"/>
      <c r="H849" s="9"/>
      <c r="I849" s="7"/>
      <c r="J849" s="8"/>
      <c r="K849" s="9"/>
      <c r="L849" s="7"/>
      <c r="M849" s="8"/>
      <c r="N849" s="9"/>
      <c r="O849" s="7"/>
      <c r="P849" s="8"/>
      <c r="Q849" s="9"/>
      <c r="R849" s="5"/>
    </row>
    <row r="850" spans="1:18" x14ac:dyDescent="0.25">
      <c r="A850" s="10" t="s">
        <v>200</v>
      </c>
      <c r="B850" s="18" t="s">
        <v>377</v>
      </c>
      <c r="C850" s="12">
        <v>21.2</v>
      </c>
      <c r="D850" s="12">
        <v>0</v>
      </c>
      <c r="E850" s="10" t="s">
        <v>26</v>
      </c>
      <c r="F850" s="14">
        <v>236600.08</v>
      </c>
      <c r="G850" s="14">
        <f>F850*C850</f>
        <v>5015921.6959999995</v>
      </c>
      <c r="H850" s="15">
        <f>IF($G$1279=0,0,G850/$G$1279*100)</f>
      </c>
      <c r="I850" s="12" t="str">
        <f>IF(O850-C850&gt;0,O850-C850,"")</f>
        <v/>
      </c>
      <c r="J850" s="14" t="str">
        <f>IF(I850="","",F850*I850)</f>
        <v/>
      </c>
      <c r="K850" s="15">
        <f>IF(OR(J850="",$G$1279=0),"",J850/$G$1279*100)</f>
      </c>
      <c r="L850" s="12" t="str">
        <f>IF(C850-O850&gt;0,C850-O850,"")</f>
        <v/>
      </c>
      <c r="M850" s="14" t="str">
        <f>IF(L850="","",F850*L850)</f>
        <v/>
      </c>
      <c r="N850" s="15">
        <f>IF(OR(M850="",$G$1279=0),"",M850/$G$1279*100)</f>
      </c>
      <c r="O850" s="12">
        <v>21.2</v>
      </c>
      <c r="P850" s="14">
        <f>F850*O850</f>
        <v>5015921.6959999995</v>
      </c>
      <c r="Q850" s="15">
        <f>IF($P$1279=0,0,P850/$P$1279*100)</f>
      </c>
      <c r="R850" s="10" t="str">
        <f>IF(O850=C850,"TETAP",IF(C850=0,"BARU",IF(O850=0,"HAPUS",IF(O850&gt;C850,"TAMBAH","KURANG"))))</f>
        <v>TETAP</v>
      </c>
    </row>
    <row r="851" spans="1:18" x14ac:dyDescent="0.25">
      <c r="A851" s="10" t="s">
        <v>202</v>
      </c>
      <c r="B851" s="18" t="s">
        <v>707</v>
      </c>
      <c r="C851" s="12">
        <v>142.53</v>
      </c>
      <c r="D851" s="12">
        <v>0</v>
      </c>
      <c r="E851" s="10" t="s">
        <v>169</v>
      </c>
      <c r="F851" s="14">
        <v>28927.25</v>
      </c>
      <c r="G851" s="14">
        <f>F851*C851</f>
        <v>4123000.9425</v>
      </c>
      <c r="H851" s="15">
        <f>IF($G$1279=0,0,G851/$G$1279*100)</f>
      </c>
      <c r="I851" s="12" t="str">
        <f>IF(O851-C851&gt;0,O851-C851,"")</f>
        <v/>
      </c>
      <c r="J851" s="14" t="str">
        <f>IF(I851="","",F851*I851)</f>
        <v/>
      </c>
      <c r="K851" s="15">
        <f>IF(OR(J851="",$G$1279=0),"",J851/$G$1279*100)</f>
      </c>
      <c r="L851" s="12" t="str">
        <f>IF(C851-O851&gt;0,C851-O851,"")</f>
        <v/>
      </c>
      <c r="M851" s="14" t="str">
        <f>IF(L851="","",F851*L851)</f>
        <v/>
      </c>
      <c r="N851" s="15">
        <f>IF(OR(M851="",$G$1279=0),"",M851/$G$1279*100)</f>
      </c>
      <c r="O851" s="12">
        <v>142.53</v>
      </c>
      <c r="P851" s="14">
        <f>F851*O851</f>
        <v>4123000.9425</v>
      </c>
      <c r="Q851" s="15">
        <f>IF($P$1279=0,0,P851/$P$1279*100)</f>
      </c>
      <c r="R851" s="10" t="str">
        <f>IF(O851=C851,"TETAP",IF(C851=0,"BARU",IF(O851=0,"HAPUS",IF(O851&gt;C851,"TAMBAH","KURANG"))))</f>
        <v>TETAP</v>
      </c>
    </row>
    <row r="852" spans="1:18" x14ac:dyDescent="0.25">
      <c r="A852" s="10" t="s">
        <v>203</v>
      </c>
      <c r="B852" s="18" t="s">
        <v>388</v>
      </c>
      <c r="C852" s="12">
        <v>56.22</v>
      </c>
      <c r="D852" s="12">
        <v>0</v>
      </c>
      <c r="E852" s="10" t="s">
        <v>169</v>
      </c>
      <c r="F852" s="14">
        <v>19252.39</v>
      </c>
      <c r="G852" s="14">
        <f>F852*C852</f>
        <v>1082369.3658</v>
      </c>
      <c r="H852" s="15">
        <f>IF($G$1279=0,0,G852/$G$1279*100)</f>
      </c>
      <c r="I852" s="12" t="str">
        <f>IF(O852-C852&gt;0,O852-C852,"")</f>
        <v/>
      </c>
      <c r="J852" s="14" t="str">
        <f>IF(I852="","",F852*I852)</f>
        <v/>
      </c>
      <c r="K852" s="15">
        <f>IF(OR(J852="",$G$1279=0),"",J852/$G$1279*100)</f>
      </c>
      <c r="L852" s="12" t="str">
        <f>IF(C852-O852&gt;0,C852-O852,"")</f>
        <v/>
      </c>
      <c r="M852" s="14" t="str">
        <f>IF(L852="","",F852*L852)</f>
        <v/>
      </c>
      <c r="N852" s="15">
        <f>IF(OR(M852="",$G$1279=0),"",M852/$G$1279*100)</f>
      </c>
      <c r="O852" s="12">
        <v>56.22</v>
      </c>
      <c r="P852" s="14">
        <f>F852*O852</f>
        <v>1082369.3658</v>
      </c>
      <c r="Q852" s="15">
        <f>IF($P$1279=0,0,P852/$P$1279*100)</f>
      </c>
      <c r="R852" s="10" t="str">
        <f>IF(O852=C852,"TETAP",IF(C852=0,"BARU",IF(O852=0,"HAPUS",IF(O852&gt;C852,"TAMBAH","KURANG"))))</f>
        <v>TETAP</v>
      </c>
    </row>
    <row r="853" spans="1:18" x14ac:dyDescent="0.25">
      <c r="A853" s="10" t="s">
        <v>204</v>
      </c>
      <c r="B853" s="18" t="s">
        <v>703</v>
      </c>
      <c r="C853" s="12">
        <v>71.51</v>
      </c>
      <c r="D853" s="12">
        <v>0</v>
      </c>
      <c r="E853" s="10" t="s">
        <v>169</v>
      </c>
      <c r="F853" s="14">
        <v>19252.39</v>
      </c>
      <c r="G853" s="14">
        <f>F853*C853</f>
        <v>1376738.4089000002</v>
      </c>
      <c r="H853" s="15">
        <f>IF($G$1279=0,0,G853/$G$1279*100)</f>
      </c>
      <c r="I853" s="12" t="str">
        <f>IF(O853-C853&gt;0,O853-C853,"")</f>
        <v/>
      </c>
      <c r="J853" s="14" t="str">
        <f>IF(I853="","",F853*I853)</f>
        <v/>
      </c>
      <c r="K853" s="15">
        <f>IF(OR(J853="",$G$1279=0),"",J853/$G$1279*100)</f>
      </c>
      <c r="L853" s="12" t="str">
        <f>IF(C853-O853&gt;0,C853-O853,"")</f>
        <v/>
      </c>
      <c r="M853" s="14" t="str">
        <f>IF(L853="","",F853*L853)</f>
        <v/>
      </c>
      <c r="N853" s="15">
        <f>IF(OR(M853="",$G$1279=0),"",M853/$G$1279*100)</f>
      </c>
      <c r="O853" s="12">
        <v>71.51</v>
      </c>
      <c r="P853" s="14">
        <f>F853*O853</f>
        <v>1376738.4089000002</v>
      </c>
      <c r="Q853" s="15">
        <f>IF($P$1279=0,0,P853/$P$1279*100)</f>
      </c>
      <c r="R853" s="10" t="str">
        <f>IF(O853=C853,"TETAP",IF(C853=0,"BARU",IF(O853=0,"HAPUS",IF(O853&gt;C853,"TAMBAH","KURANG"))))</f>
        <v>TETAP</v>
      </c>
    </row>
    <row r="854" spans="1:18" x14ac:dyDescent="0.25">
      <c r="A854" s="10" t="s">
        <v>206</v>
      </c>
      <c r="B854" s="18" t="s">
        <v>698</v>
      </c>
      <c r="C854" s="12">
        <v>60.32</v>
      </c>
      <c r="D854" s="12">
        <v>0</v>
      </c>
      <c r="E854" s="10" t="s">
        <v>169</v>
      </c>
      <c r="F854" s="14">
        <v>19252.39</v>
      </c>
      <c r="G854" s="14">
        <f>F854*C854</f>
        <v>1161304.1648</v>
      </c>
      <c r="H854" s="15">
        <f>IF($G$1279=0,0,G854/$G$1279*100)</f>
      </c>
      <c r="I854" s="12" t="str">
        <f>IF(O854-C854&gt;0,O854-C854,"")</f>
        <v/>
      </c>
      <c r="J854" s="14" t="str">
        <f>IF(I854="","",F854*I854)</f>
        <v/>
      </c>
      <c r="K854" s="15">
        <f>IF(OR(J854="",$G$1279=0),"",J854/$G$1279*100)</f>
      </c>
      <c r="L854" s="12" t="str">
        <f>IF(C854-O854&gt;0,C854-O854,"")</f>
        <v/>
      </c>
      <c r="M854" s="14" t="str">
        <f>IF(L854="","",F854*L854)</f>
        <v/>
      </c>
      <c r="N854" s="15">
        <f>IF(OR(M854="",$G$1279=0),"",M854/$G$1279*100)</f>
      </c>
      <c r="O854" s="12">
        <v>60.32</v>
      </c>
      <c r="P854" s="14">
        <f>F854*O854</f>
        <v>1161304.1648</v>
      </c>
      <c r="Q854" s="15">
        <f>IF($P$1279=0,0,P854/$P$1279*100)</f>
      </c>
      <c r="R854" s="10" t="str">
        <f>IF(O854=C854,"TETAP",IF(C854=0,"BARU",IF(O854=0,"HAPUS",IF(O854&gt;C854,"TAMBAH","KURANG"))))</f>
        <v>TETAP</v>
      </c>
    </row>
    <row r="855" spans="1:18" x14ac:dyDescent="0.25">
      <c r="A855" s="10" t="s">
        <v>208</v>
      </c>
      <c r="B855" s="18" t="s">
        <v>374</v>
      </c>
      <c r="C855" s="12">
        <v>1.82</v>
      </c>
      <c r="D855" s="12">
        <v>0</v>
      </c>
      <c r="E855" s="10" t="s">
        <v>159</v>
      </c>
      <c r="F855" s="14">
        <v>1399567.05</v>
      </c>
      <c r="G855" s="14">
        <f>F855*C855</f>
        <v>2547212.031</v>
      </c>
      <c r="H855" s="15">
        <f>IF($G$1279=0,0,G855/$G$1279*100)</f>
      </c>
      <c r="I855" s="12" t="str">
        <f>IF(O855-C855&gt;0,O855-C855,"")</f>
        <v/>
      </c>
      <c r="J855" s="14" t="str">
        <f>IF(I855="","",F855*I855)</f>
        <v/>
      </c>
      <c r="K855" s="15">
        <f>IF(OR(J855="",$G$1279=0),"",J855/$G$1279*100)</f>
      </c>
      <c r="L855" s="12" t="str">
        <f>IF(C855-O855&gt;0,C855-O855,"")</f>
        <v/>
      </c>
      <c r="M855" s="14" t="str">
        <f>IF(L855="","",F855*L855)</f>
        <v/>
      </c>
      <c r="N855" s="15">
        <f>IF(OR(M855="",$G$1279=0),"",M855/$G$1279*100)</f>
      </c>
      <c r="O855" s="12">
        <v>1.82</v>
      </c>
      <c r="P855" s="14">
        <f>F855*O855</f>
        <v>2547212.031</v>
      </c>
      <c r="Q855" s="15">
        <f>IF($P$1279=0,0,P855/$P$1279*100)</f>
      </c>
      <c r="R855" s="10" t="str">
        <f>IF(O855=C855,"TETAP",IF(C855=0,"BARU",IF(O855=0,"HAPUS",IF(O855&gt;C855,"TAMBAH","KURANG"))))</f>
        <v>TETAP</v>
      </c>
    </row>
    <row r="856" spans="1:18" x14ac:dyDescent="0.25">
      <c r="A856" s="10" t="s">
        <v>209</v>
      </c>
      <c r="B856" s="18" t="s">
        <v>695</v>
      </c>
      <c r="C856" s="12">
        <v>1.82</v>
      </c>
      <c r="D856" s="12">
        <v>0</v>
      </c>
      <c r="E856" s="10" t="s">
        <v>159</v>
      </c>
      <c r="F856" s="14">
        <v>45149.88</v>
      </c>
      <c r="G856" s="14">
        <f>F856*C856</f>
        <v>82172.7816</v>
      </c>
      <c r="H856" s="15">
        <f>IF($G$1279=0,0,G856/$G$1279*100)</f>
      </c>
      <c r="I856" s="12" t="str">
        <f>IF(O856-C856&gt;0,O856-C856,"")</f>
        <v/>
      </c>
      <c r="J856" s="14" t="str">
        <f>IF(I856="","",F856*I856)</f>
        <v/>
      </c>
      <c r="K856" s="15">
        <f>IF(OR(J856="",$G$1279=0),"",J856/$G$1279*100)</f>
      </c>
      <c r="L856" s="12" t="str">
        <f>IF(C856-O856&gt;0,C856-O856,"")</f>
        <v/>
      </c>
      <c r="M856" s="14" t="str">
        <f>IF(L856="","",F856*L856)</f>
        <v/>
      </c>
      <c r="N856" s="15">
        <f>IF(OR(M856="",$G$1279=0),"",M856/$G$1279*100)</f>
      </c>
      <c r="O856" s="12">
        <v>1.82</v>
      </c>
      <c r="P856" s="14">
        <f>F856*O856</f>
        <v>82172.7816</v>
      </c>
      <c r="Q856" s="15">
        <f>IF($P$1279=0,0,P856/$P$1279*100)</f>
      </c>
      <c r="R856" s="10" t="str">
        <f>IF(O856=C856,"TETAP",IF(C856=0,"BARU",IF(O856=0,"HAPUS",IF(O856&gt;C856,"TAMBAH","KURANG"))))</f>
        <v>TETAP</v>
      </c>
    </row>
    <row r="857" spans="1:18" x14ac:dyDescent="0.25">
      <c r="A857" s="5" t="s">
        <v>108</v>
      </c>
      <c r="B857" s="17" t="s">
        <v>708</v>
      </c>
      <c r="C857" s="7"/>
      <c r="D857" s="7"/>
      <c r="E857" s="5"/>
      <c r="F857" s="8"/>
      <c r="G857" s="8"/>
      <c r="H857" s="9"/>
      <c r="I857" s="7"/>
      <c r="J857" s="8"/>
      <c r="K857" s="9"/>
      <c r="L857" s="7"/>
      <c r="M857" s="8"/>
      <c r="N857" s="9"/>
      <c r="O857" s="7"/>
      <c r="P857" s="8"/>
      <c r="Q857" s="9"/>
      <c r="R857" s="5"/>
    </row>
    <row r="858" spans="1:18" x14ac:dyDescent="0.25">
      <c r="A858" s="10" t="s">
        <v>212</v>
      </c>
      <c r="B858" s="18" t="s">
        <v>377</v>
      </c>
      <c r="C858" s="12">
        <v>6.08</v>
      </c>
      <c r="D858" s="12">
        <v>0</v>
      </c>
      <c r="E858" s="10" t="s">
        <v>26</v>
      </c>
      <c r="F858" s="14">
        <v>236600.08</v>
      </c>
      <c r="G858" s="14">
        <f>F858*C858</f>
        <v>1438528.4864</v>
      </c>
      <c r="H858" s="15">
        <f>IF($G$1279=0,0,G858/$G$1279*100)</f>
      </c>
      <c r="I858" s="12" t="str">
        <f>IF(O858-C858&gt;0,O858-C858,"")</f>
        <v/>
      </c>
      <c r="J858" s="14" t="str">
        <f>IF(I858="","",F858*I858)</f>
        <v/>
      </c>
      <c r="K858" s="15">
        <f>IF(OR(J858="",$G$1279=0),"",J858/$G$1279*100)</f>
      </c>
      <c r="L858" s="12" t="str">
        <f>IF(C858-O858&gt;0,C858-O858,"")</f>
        <v/>
      </c>
      <c r="M858" s="14" t="str">
        <f>IF(L858="","",F858*L858)</f>
        <v/>
      </c>
      <c r="N858" s="15">
        <f>IF(OR(M858="",$G$1279=0),"",M858/$G$1279*100)</f>
      </c>
      <c r="O858" s="12">
        <v>6.08</v>
      </c>
      <c r="P858" s="14">
        <f>F858*O858</f>
        <v>1438528.4864</v>
      </c>
      <c r="Q858" s="15">
        <f>IF($P$1279=0,0,P858/$P$1279*100)</f>
      </c>
      <c r="R858" s="10" t="str">
        <f>IF(O858=C858,"TETAP",IF(C858=0,"BARU",IF(O858=0,"HAPUS",IF(O858&gt;C858,"TAMBAH","KURANG"))))</f>
        <v>TETAP</v>
      </c>
    </row>
    <row r="859" spans="1:18" x14ac:dyDescent="0.25">
      <c r="A859" s="10" t="s">
        <v>214</v>
      </c>
      <c r="B859" s="18" t="s">
        <v>709</v>
      </c>
      <c r="C859" s="12">
        <v>24.66</v>
      </c>
      <c r="D859" s="12">
        <v>0</v>
      </c>
      <c r="E859" s="10" t="s">
        <v>169</v>
      </c>
      <c r="F859" s="14">
        <v>19252.39</v>
      </c>
      <c r="G859" s="14">
        <f>F859*C859</f>
        <v>474763.9374</v>
      </c>
      <c r="H859" s="15">
        <f>IF($G$1279=0,0,G859/$G$1279*100)</f>
      </c>
      <c r="I859" s="12" t="str">
        <f>IF(O859-C859&gt;0,O859-C859,"")</f>
        <v/>
      </c>
      <c r="J859" s="14" t="str">
        <f>IF(I859="","",F859*I859)</f>
        <v/>
      </c>
      <c r="K859" s="15">
        <f>IF(OR(J859="",$G$1279=0),"",J859/$G$1279*100)</f>
      </c>
      <c r="L859" s="12" t="str">
        <f>IF(C859-O859&gt;0,C859-O859,"")</f>
        <v/>
      </c>
      <c r="M859" s="14" t="str">
        <f>IF(L859="","",F859*L859)</f>
        <v/>
      </c>
      <c r="N859" s="15">
        <f>IF(OR(M859="",$G$1279=0),"",M859/$G$1279*100)</f>
      </c>
      <c r="O859" s="12">
        <v>24.66</v>
      </c>
      <c r="P859" s="14">
        <f>F859*O859</f>
        <v>474763.9374</v>
      </c>
      <c r="Q859" s="15">
        <f>IF($P$1279=0,0,P859/$P$1279*100)</f>
      </c>
      <c r="R859" s="10" t="str">
        <f>IF(O859=C859,"TETAP",IF(C859=0,"BARU",IF(O859=0,"HAPUS",IF(O859&gt;C859,"TAMBAH","KURANG"))))</f>
        <v>TETAP</v>
      </c>
    </row>
    <row r="860" spans="1:18" x14ac:dyDescent="0.25">
      <c r="A860" s="10" t="s">
        <v>216</v>
      </c>
      <c r="B860" s="18" t="s">
        <v>698</v>
      </c>
      <c r="C860" s="12">
        <v>16.62</v>
      </c>
      <c r="D860" s="12">
        <v>0</v>
      </c>
      <c r="E860" s="10" t="s">
        <v>169</v>
      </c>
      <c r="F860" s="14">
        <v>19252.39</v>
      </c>
      <c r="G860" s="14">
        <f>F860*C860</f>
        <v>319974.7218</v>
      </c>
      <c r="H860" s="15">
        <f>IF($G$1279=0,0,G860/$G$1279*100)</f>
      </c>
      <c r="I860" s="12" t="str">
        <f>IF(O860-C860&gt;0,O860-C860,"")</f>
        <v/>
      </c>
      <c r="J860" s="14" t="str">
        <f>IF(I860="","",F860*I860)</f>
        <v/>
      </c>
      <c r="K860" s="15">
        <f>IF(OR(J860="",$G$1279=0),"",J860/$G$1279*100)</f>
      </c>
      <c r="L860" s="12" t="str">
        <f>IF(C860-O860&gt;0,C860-O860,"")</f>
        <v/>
      </c>
      <c r="M860" s="14" t="str">
        <f>IF(L860="","",F860*L860)</f>
        <v/>
      </c>
      <c r="N860" s="15">
        <f>IF(OR(M860="",$G$1279=0),"",M860/$G$1279*100)</f>
      </c>
      <c r="O860" s="12">
        <v>16.62</v>
      </c>
      <c r="P860" s="14">
        <f>F860*O860</f>
        <v>319974.7218</v>
      </c>
      <c r="Q860" s="15">
        <f>IF($P$1279=0,0,P860/$P$1279*100)</f>
      </c>
      <c r="R860" s="10" t="str">
        <f>IF(O860=C860,"TETAP",IF(C860=0,"BARU",IF(O860=0,"HAPUS",IF(O860&gt;C860,"TAMBAH","KURANG"))))</f>
        <v>TETAP</v>
      </c>
    </row>
    <row r="861" spans="1:18" x14ac:dyDescent="0.25">
      <c r="A861" s="10" t="s">
        <v>218</v>
      </c>
      <c r="B861" s="18" t="s">
        <v>374</v>
      </c>
      <c r="C861" s="12">
        <v>0.48</v>
      </c>
      <c r="D861" s="12">
        <v>0</v>
      </c>
      <c r="E861" s="10" t="s">
        <v>159</v>
      </c>
      <c r="F861" s="14">
        <v>1399567.05</v>
      </c>
      <c r="G861" s="14">
        <f>F861*C861</f>
        <v>671792.184</v>
      </c>
      <c r="H861" s="15">
        <f>IF($G$1279=0,0,G861/$G$1279*100)</f>
      </c>
      <c r="I861" s="12" t="str">
        <f>IF(O861-C861&gt;0,O861-C861,"")</f>
        <v/>
      </c>
      <c r="J861" s="14" t="str">
        <f>IF(I861="","",F861*I861)</f>
        <v/>
      </c>
      <c r="K861" s="15">
        <f>IF(OR(J861="",$G$1279=0),"",J861/$G$1279*100)</f>
      </c>
      <c r="L861" s="12" t="str">
        <f>IF(C861-O861&gt;0,C861-O861,"")</f>
        <v/>
      </c>
      <c r="M861" s="14" t="str">
        <f>IF(L861="","",F861*L861)</f>
        <v/>
      </c>
      <c r="N861" s="15">
        <f>IF(OR(M861="",$G$1279=0),"",M861/$G$1279*100)</f>
      </c>
      <c r="O861" s="12">
        <v>0.48</v>
      </c>
      <c r="P861" s="14">
        <f>F861*O861</f>
        <v>671792.184</v>
      </c>
      <c r="Q861" s="15">
        <f>IF($P$1279=0,0,P861/$P$1279*100)</f>
      </c>
      <c r="R861" s="10" t="str">
        <f>IF(O861=C861,"TETAP",IF(C861=0,"BARU",IF(O861=0,"HAPUS",IF(O861&gt;C861,"TAMBAH","KURANG"))))</f>
        <v>TETAP</v>
      </c>
    </row>
    <row r="862" spans="1:18" x14ac:dyDescent="0.25">
      <c r="A862" s="10" t="s">
        <v>219</v>
      </c>
      <c r="B862" s="18" t="s">
        <v>695</v>
      </c>
      <c r="C862" s="12">
        <v>0.48</v>
      </c>
      <c r="D862" s="12">
        <v>0</v>
      </c>
      <c r="E862" s="10" t="s">
        <v>159</v>
      </c>
      <c r="F862" s="14">
        <v>45149.88</v>
      </c>
      <c r="G862" s="14">
        <f>F862*C862</f>
        <v>21671.942399999996</v>
      </c>
      <c r="H862" s="15">
        <f>IF($G$1279=0,0,G862/$G$1279*100)</f>
      </c>
      <c r="I862" s="12" t="str">
        <f>IF(O862-C862&gt;0,O862-C862,"")</f>
        <v/>
      </c>
      <c r="J862" s="14" t="str">
        <f>IF(I862="","",F862*I862)</f>
        <v/>
      </c>
      <c r="K862" s="15">
        <f>IF(OR(J862="",$G$1279=0),"",J862/$G$1279*100)</f>
      </c>
      <c r="L862" s="12" t="str">
        <f>IF(C862-O862&gt;0,C862-O862,"")</f>
        <v/>
      </c>
      <c r="M862" s="14" t="str">
        <f>IF(L862="","",F862*L862)</f>
        <v/>
      </c>
      <c r="N862" s="15">
        <f>IF(OR(M862="",$G$1279=0),"",M862/$G$1279*100)</f>
      </c>
      <c r="O862" s="12">
        <v>0.48</v>
      </c>
      <c r="P862" s="14">
        <f>F862*O862</f>
        <v>21671.942399999996</v>
      </c>
      <c r="Q862" s="15">
        <f>IF($P$1279=0,0,P862/$P$1279*100)</f>
      </c>
      <c r="R862" s="10" t="str">
        <f>IF(O862=C862,"TETAP",IF(C862=0,"BARU",IF(O862=0,"HAPUS",IF(O862&gt;C862,"TAMBAH","KURANG"))))</f>
        <v>TETAP</v>
      </c>
    </row>
    <row r="863" spans="1:18" x14ac:dyDescent="0.25">
      <c r="A863" s="5" t="s">
        <v>110</v>
      </c>
      <c r="B863" s="17" t="s">
        <v>710</v>
      </c>
      <c r="C863" s="7"/>
      <c r="D863" s="7"/>
      <c r="E863" s="5"/>
      <c r="F863" s="8"/>
      <c r="G863" s="8"/>
      <c r="H863" s="9"/>
      <c r="I863" s="7"/>
      <c r="J863" s="8"/>
      <c r="K863" s="9"/>
      <c r="L863" s="7"/>
      <c r="M863" s="8"/>
      <c r="N863" s="9"/>
      <c r="O863" s="7"/>
      <c r="P863" s="8"/>
      <c r="Q863" s="9"/>
      <c r="R863" s="5"/>
    </row>
    <row r="864" spans="1:18" x14ac:dyDescent="0.25">
      <c r="A864" s="10" t="s">
        <v>275</v>
      </c>
      <c r="B864" s="18" t="s">
        <v>377</v>
      </c>
      <c r="C864" s="12">
        <v>22.23</v>
      </c>
      <c r="D864" s="12">
        <v>0</v>
      </c>
      <c r="E864" s="10" t="s">
        <v>26</v>
      </c>
      <c r="F864" s="14">
        <v>236600.08</v>
      </c>
      <c r="G864" s="14">
        <f>F864*C864</f>
        <v>5259619.7784</v>
      </c>
      <c r="H864" s="15">
        <f>IF($G$1279=0,0,G864/$G$1279*100)</f>
      </c>
      <c r="I864" s="12" t="str">
        <f>IF(O864-C864&gt;0,O864-C864,"")</f>
        <v/>
      </c>
      <c r="J864" s="14" t="str">
        <f>IF(I864="","",F864*I864)</f>
        <v/>
      </c>
      <c r="K864" s="15">
        <f>IF(OR(J864="",$G$1279=0),"",J864/$G$1279*100)</f>
      </c>
      <c r="L864" s="12" t="str">
        <f>IF(C864-O864&gt;0,C864-O864,"")</f>
        <v/>
      </c>
      <c r="M864" s="14" t="str">
        <f>IF(L864="","",F864*L864)</f>
        <v/>
      </c>
      <c r="N864" s="15">
        <f>IF(OR(M864="",$G$1279=0),"",M864/$G$1279*100)</f>
      </c>
      <c r="O864" s="12">
        <v>22.23</v>
      </c>
      <c r="P864" s="14">
        <f>F864*O864</f>
        <v>5259619.7784</v>
      </c>
      <c r="Q864" s="15">
        <f>IF($P$1279=0,0,P864/$P$1279*100)</f>
      </c>
      <c r="R864" s="10" t="str">
        <f>IF(O864=C864,"TETAP",IF(C864=0,"BARU",IF(O864=0,"HAPUS",IF(O864&gt;C864,"TAMBAH","KURANG"))))</f>
        <v>TETAP</v>
      </c>
    </row>
    <row r="865" spans="1:18" x14ac:dyDescent="0.25">
      <c r="A865" s="10" t="s">
        <v>278</v>
      </c>
      <c r="B865" s="18" t="s">
        <v>711</v>
      </c>
      <c r="C865" s="12">
        <v>72.13</v>
      </c>
      <c r="D865" s="12">
        <v>0</v>
      </c>
      <c r="E865" s="10" t="s">
        <v>169</v>
      </c>
      <c r="F865" s="14">
        <v>19252.39</v>
      </c>
      <c r="G865" s="14">
        <f>F865*C865</f>
        <v>1388674.8906999999</v>
      </c>
      <c r="H865" s="15">
        <f>IF($G$1279=0,0,G865/$G$1279*100)</f>
      </c>
      <c r="I865" s="12" t="str">
        <f>IF(O865-C865&gt;0,O865-C865,"")</f>
        <v/>
      </c>
      <c r="J865" s="14" t="str">
        <f>IF(I865="","",F865*I865)</f>
        <v/>
      </c>
      <c r="K865" s="15">
        <f>IF(OR(J865="",$G$1279=0),"",J865/$G$1279*100)</f>
      </c>
      <c r="L865" s="12" t="str">
        <f>IF(C865-O865&gt;0,C865-O865,"")</f>
        <v/>
      </c>
      <c r="M865" s="14" t="str">
        <f>IF(L865="","",F865*L865)</f>
        <v/>
      </c>
      <c r="N865" s="15">
        <f>IF(OR(M865="",$G$1279=0),"",M865/$G$1279*100)</f>
      </c>
      <c r="O865" s="12">
        <v>72.13</v>
      </c>
      <c r="P865" s="14">
        <f>F865*O865</f>
        <v>1388674.8906999999</v>
      </c>
      <c r="Q865" s="15">
        <f>IF($P$1279=0,0,P865/$P$1279*100)</f>
      </c>
      <c r="R865" s="10" t="str">
        <f>IF(O865=C865,"TETAP",IF(C865=0,"BARU",IF(O865=0,"HAPUS",IF(O865&gt;C865,"TAMBAH","KURANG"))))</f>
        <v>TETAP</v>
      </c>
    </row>
    <row r="866" spans="1:18" x14ac:dyDescent="0.25">
      <c r="A866" s="10" t="s">
        <v>279</v>
      </c>
      <c r="B866" s="18" t="s">
        <v>703</v>
      </c>
      <c r="C866" s="12">
        <v>81.38</v>
      </c>
      <c r="D866" s="12">
        <v>0</v>
      </c>
      <c r="E866" s="10" t="s">
        <v>169</v>
      </c>
      <c r="F866" s="14">
        <v>19252.39</v>
      </c>
      <c r="G866" s="14">
        <f>F866*C866</f>
        <v>1566759.4981999998</v>
      </c>
      <c r="H866" s="15">
        <f>IF($G$1279=0,0,G866/$G$1279*100)</f>
      </c>
      <c r="I866" s="12" t="str">
        <f>IF(O866-C866&gt;0,O866-C866,"")</f>
        <v/>
      </c>
      <c r="J866" s="14" t="str">
        <f>IF(I866="","",F866*I866)</f>
        <v/>
      </c>
      <c r="K866" s="15">
        <f>IF(OR(J866="",$G$1279=0),"",J866/$G$1279*100)</f>
      </c>
      <c r="L866" s="12" t="str">
        <f>IF(C866-O866&gt;0,C866-O866,"")</f>
        <v/>
      </c>
      <c r="M866" s="14" t="str">
        <f>IF(L866="","",F866*L866)</f>
        <v/>
      </c>
      <c r="N866" s="15">
        <f>IF(OR(M866="",$G$1279=0),"",M866/$G$1279*100)</f>
      </c>
      <c r="O866" s="12">
        <v>81.38</v>
      </c>
      <c r="P866" s="14">
        <f>F866*O866</f>
        <v>1566759.4981999998</v>
      </c>
      <c r="Q866" s="15">
        <f>IF($P$1279=0,0,P866/$P$1279*100)</f>
      </c>
      <c r="R866" s="10" t="str">
        <f>IF(O866=C866,"TETAP",IF(C866=0,"BARU",IF(O866=0,"HAPUS",IF(O866&gt;C866,"TAMBAH","KURANG"))))</f>
        <v>TETAP</v>
      </c>
    </row>
    <row r="867" spans="1:18" x14ac:dyDescent="0.25">
      <c r="A867" s="10" t="s">
        <v>281</v>
      </c>
      <c r="B867" s="18" t="s">
        <v>698</v>
      </c>
      <c r="C867" s="12">
        <v>61.87</v>
      </c>
      <c r="D867" s="12">
        <v>0</v>
      </c>
      <c r="E867" s="10" t="s">
        <v>169</v>
      </c>
      <c r="F867" s="14">
        <v>19252.39</v>
      </c>
      <c r="G867" s="14">
        <f>F867*C867</f>
        <v>1191145.3693</v>
      </c>
      <c r="H867" s="15">
        <f>IF($G$1279=0,0,G867/$G$1279*100)</f>
      </c>
      <c r="I867" s="12" t="str">
        <f>IF(O867-C867&gt;0,O867-C867,"")</f>
        <v/>
      </c>
      <c r="J867" s="14" t="str">
        <f>IF(I867="","",F867*I867)</f>
        <v/>
      </c>
      <c r="K867" s="15">
        <f>IF(OR(J867="",$G$1279=0),"",J867/$G$1279*100)</f>
      </c>
      <c r="L867" s="12" t="str">
        <f>IF(C867-O867&gt;0,C867-O867,"")</f>
        <v/>
      </c>
      <c r="M867" s="14" t="str">
        <f>IF(L867="","",F867*L867)</f>
        <v/>
      </c>
      <c r="N867" s="15">
        <f>IF(OR(M867="",$G$1279=0),"",M867/$G$1279*100)</f>
      </c>
      <c r="O867" s="12">
        <v>61.87</v>
      </c>
      <c r="P867" s="14">
        <f>F867*O867</f>
        <v>1191145.3693</v>
      </c>
      <c r="Q867" s="15">
        <f>IF($P$1279=0,0,P867/$P$1279*100)</f>
      </c>
      <c r="R867" s="10" t="str">
        <f>IF(O867=C867,"TETAP",IF(C867=0,"BARU",IF(O867=0,"HAPUS",IF(O867&gt;C867,"TAMBAH","KURANG"))))</f>
        <v>TETAP</v>
      </c>
    </row>
    <row r="868" spans="1:18" x14ac:dyDescent="0.25">
      <c r="A868" s="10" t="s">
        <v>282</v>
      </c>
      <c r="B868" s="18" t="s">
        <v>374</v>
      </c>
      <c r="C868" s="12">
        <v>1.4</v>
      </c>
      <c r="D868" s="12">
        <v>0</v>
      </c>
      <c r="E868" s="10" t="s">
        <v>159</v>
      </c>
      <c r="F868" s="14">
        <v>1399567.05</v>
      </c>
      <c r="G868" s="14">
        <f>F868*C868</f>
        <v>1959393.8699999999</v>
      </c>
      <c r="H868" s="15">
        <f>IF($G$1279=0,0,G868/$G$1279*100)</f>
      </c>
      <c r="I868" s="12" t="str">
        <f>IF(O868-C868&gt;0,O868-C868,"")</f>
        <v/>
      </c>
      <c r="J868" s="14" t="str">
        <f>IF(I868="","",F868*I868)</f>
        <v/>
      </c>
      <c r="K868" s="15">
        <f>IF(OR(J868="",$G$1279=0),"",J868/$G$1279*100)</f>
      </c>
      <c r="L868" s="12" t="str">
        <f>IF(C868-O868&gt;0,C868-O868,"")</f>
        <v/>
      </c>
      <c r="M868" s="14" t="str">
        <f>IF(L868="","",F868*L868)</f>
        <v/>
      </c>
      <c r="N868" s="15">
        <f>IF(OR(M868="",$G$1279=0),"",M868/$G$1279*100)</f>
      </c>
      <c r="O868" s="12">
        <v>1.4</v>
      </c>
      <c r="P868" s="14">
        <f>F868*O868</f>
        <v>1959393.8699999999</v>
      </c>
      <c r="Q868" s="15">
        <f>IF($P$1279=0,0,P868/$P$1279*100)</f>
      </c>
      <c r="R868" s="10" t="str">
        <f>IF(O868=C868,"TETAP",IF(C868=0,"BARU",IF(O868=0,"HAPUS",IF(O868&gt;C868,"TAMBAH","KURANG"))))</f>
        <v>TETAP</v>
      </c>
    </row>
    <row r="869" spans="1:18" x14ac:dyDescent="0.25">
      <c r="A869" s="10" t="s">
        <v>283</v>
      </c>
      <c r="B869" s="18" t="s">
        <v>695</v>
      </c>
      <c r="C869" s="12">
        <v>1.4</v>
      </c>
      <c r="D869" s="12">
        <v>0</v>
      </c>
      <c r="E869" s="10" t="s">
        <v>159</v>
      </c>
      <c r="F869" s="14">
        <v>45149.88</v>
      </c>
      <c r="G869" s="14">
        <f>F869*C869</f>
        <v>63209.831999999995</v>
      </c>
      <c r="H869" s="15">
        <f>IF($G$1279=0,0,G869/$G$1279*100)</f>
      </c>
      <c r="I869" s="12" t="str">
        <f>IF(O869-C869&gt;0,O869-C869,"")</f>
        <v/>
      </c>
      <c r="J869" s="14" t="str">
        <f>IF(I869="","",F869*I869)</f>
        <v/>
      </c>
      <c r="K869" s="15">
        <f>IF(OR(J869="",$G$1279=0),"",J869/$G$1279*100)</f>
      </c>
      <c r="L869" s="12" t="str">
        <f>IF(C869-O869&gt;0,C869-O869,"")</f>
        <v/>
      </c>
      <c r="M869" s="14" t="str">
        <f>IF(L869="","",F869*L869)</f>
        <v/>
      </c>
      <c r="N869" s="15">
        <f>IF(OR(M869="",$G$1279=0),"",M869/$G$1279*100)</f>
      </c>
      <c r="O869" s="12">
        <v>1.4</v>
      </c>
      <c r="P869" s="14">
        <f>F869*O869</f>
        <v>63209.831999999995</v>
      </c>
      <c r="Q869" s="15">
        <f>IF($P$1279=0,0,P869/$P$1279*100)</f>
      </c>
      <c r="R869" s="10" t="str">
        <f>IF(O869=C869,"TETAP",IF(C869=0,"BARU",IF(O869=0,"HAPUS",IF(O869&gt;C869,"TAMBAH","KURANG"))))</f>
        <v>TETAP</v>
      </c>
    </row>
    <row r="870" spans="1:18" x14ac:dyDescent="0.25">
      <c r="A870" s="5" t="s">
        <v>112</v>
      </c>
      <c r="B870" s="17" t="s">
        <v>448</v>
      </c>
      <c r="C870" s="7"/>
      <c r="D870" s="7"/>
      <c r="E870" s="5"/>
      <c r="F870" s="8"/>
      <c r="G870" s="8"/>
      <c r="H870" s="9"/>
      <c r="I870" s="7"/>
      <c r="J870" s="8"/>
      <c r="K870" s="9"/>
      <c r="L870" s="7"/>
      <c r="M870" s="8"/>
      <c r="N870" s="9"/>
      <c r="O870" s="7"/>
      <c r="P870" s="8"/>
      <c r="Q870" s="9"/>
      <c r="R870" s="5"/>
    </row>
    <row r="871" spans="1:18" x14ac:dyDescent="0.25">
      <c r="A871" s="10" t="s">
        <v>287</v>
      </c>
      <c r="B871" s="18" t="s">
        <v>320</v>
      </c>
      <c r="C871" s="12">
        <v>33.44</v>
      </c>
      <c r="D871" s="12">
        <v>0</v>
      </c>
      <c r="E871" s="10" t="s">
        <v>26</v>
      </c>
      <c r="F871" s="14">
        <v>243079.61</v>
      </c>
      <c r="G871" s="14">
        <f>F871*C871</f>
        <v>8128582.158399999</v>
      </c>
      <c r="H871" s="15">
        <f>IF($G$1279=0,0,G871/$G$1279*100)</f>
      </c>
      <c r="I871" s="12" t="str">
        <f>IF(O871-C871&gt;0,O871-C871,"")</f>
        <v/>
      </c>
      <c r="J871" s="14" t="str">
        <f>IF(I871="","",F871*I871)</f>
        <v/>
      </c>
      <c r="K871" s="15">
        <f>IF(OR(J871="",$G$1279=0),"",J871/$G$1279*100)</f>
      </c>
      <c r="L871" s="12" t="str">
        <f>IF(C871-O871&gt;0,C871-O871,"")</f>
        <v/>
      </c>
      <c r="M871" s="14" t="str">
        <f>IF(L871="","",F871*L871)</f>
        <v/>
      </c>
      <c r="N871" s="15">
        <f>IF(OR(M871="",$G$1279=0),"",M871/$G$1279*100)</f>
      </c>
      <c r="O871" s="12">
        <v>33.44</v>
      </c>
      <c r="P871" s="14">
        <f>F871*O871</f>
        <v>8128582.158399999</v>
      </c>
      <c r="Q871" s="15">
        <f>IF($P$1279=0,0,P871/$P$1279*100)</f>
      </c>
      <c r="R871" s="10" t="str">
        <f>IF(O871=C871,"TETAP",IF(C871=0,"BARU",IF(O871=0,"HAPUS",IF(O871&gt;C871,"TAMBAH","KURANG"))))</f>
        <v>TETAP</v>
      </c>
    </row>
    <row r="872" spans="1:18" x14ac:dyDescent="0.25">
      <c r="A872" s="10" t="s">
        <v>288</v>
      </c>
      <c r="B872" s="18" t="s">
        <v>712</v>
      </c>
      <c r="C872" s="12">
        <v>72</v>
      </c>
      <c r="D872" s="12">
        <v>0</v>
      </c>
      <c r="E872" s="10" t="s">
        <v>26</v>
      </c>
      <c r="F872" s="14">
        <v>70152.73</v>
      </c>
      <c r="G872" s="14">
        <f>F872*C872</f>
        <v>5050996.56</v>
      </c>
      <c r="H872" s="15">
        <f>IF($G$1279=0,0,G872/$G$1279*100)</f>
      </c>
      <c r="I872" s="12" t="str">
        <f>IF(O872-C872&gt;0,O872-C872,"")</f>
        <v/>
      </c>
      <c r="J872" s="14" t="str">
        <f>IF(I872="","",F872*I872)</f>
        <v/>
      </c>
      <c r="K872" s="15">
        <f>IF(OR(J872="",$G$1279=0),"",J872/$G$1279*100)</f>
      </c>
      <c r="L872" s="12" t="str">
        <f>IF(C872-O872&gt;0,C872-O872,"")</f>
        <v/>
      </c>
      <c r="M872" s="14" t="str">
        <f>IF(L872="","",F872*L872)</f>
        <v/>
      </c>
      <c r="N872" s="15">
        <f>IF(OR(M872="",$G$1279=0),"",M872/$G$1279*100)</f>
      </c>
      <c r="O872" s="12">
        <v>72</v>
      </c>
      <c r="P872" s="14">
        <f>F872*O872</f>
        <v>5050996.56</v>
      </c>
      <c r="Q872" s="15">
        <f>IF($P$1279=0,0,P872/$P$1279*100)</f>
      </c>
      <c r="R872" s="10" t="str">
        <f>IF(O872=C872,"TETAP",IF(C872=0,"BARU",IF(O872=0,"HAPUS",IF(O872&gt;C872,"TAMBAH","KURANG"))))</f>
        <v>TETAP</v>
      </c>
    </row>
    <row r="873" spans="1:18" x14ac:dyDescent="0.25">
      <c r="A873" s="10" t="s">
        <v>289</v>
      </c>
      <c r="B873" s="18" t="s">
        <v>468</v>
      </c>
      <c r="C873" s="12">
        <v>4.48</v>
      </c>
      <c r="D873" s="12">
        <v>0</v>
      </c>
      <c r="E873" s="10" t="s">
        <v>159</v>
      </c>
      <c r="F873" s="14">
        <v>1504340.14</v>
      </c>
      <c r="G873" s="14">
        <f>F873*C873</f>
        <v>6739443.8272</v>
      </c>
      <c r="H873" s="15">
        <f>IF($G$1279=0,0,G873/$G$1279*100)</f>
      </c>
      <c r="I873" s="12" t="str">
        <f>IF(O873-C873&gt;0,O873-C873,"")</f>
        <v/>
      </c>
      <c r="J873" s="14" t="str">
        <f>IF(I873="","",F873*I873)</f>
        <v/>
      </c>
      <c r="K873" s="15">
        <f>IF(OR(J873="",$G$1279=0),"",J873/$G$1279*100)</f>
      </c>
      <c r="L873" s="12" t="str">
        <f>IF(C873-O873&gt;0,C873-O873,"")</f>
        <v/>
      </c>
      <c r="M873" s="14" t="str">
        <f>IF(L873="","",F873*L873)</f>
        <v/>
      </c>
      <c r="N873" s="15">
        <f>IF(OR(M873="",$G$1279=0),"",M873/$G$1279*100)</f>
      </c>
      <c r="O873" s="12">
        <v>4.48</v>
      </c>
      <c r="P873" s="14">
        <f>F873*O873</f>
        <v>6739443.8272</v>
      </c>
      <c r="Q873" s="15">
        <f>IF($P$1279=0,0,P873/$P$1279*100)</f>
      </c>
      <c r="R873" s="10" t="str">
        <f>IF(O873=C873,"TETAP",IF(C873=0,"BARU",IF(O873=0,"HAPUS",IF(O873&gt;C873,"TAMBAH","KURANG"))))</f>
        <v>TETAP</v>
      </c>
    </row>
    <row r="874" spans="1:18" x14ac:dyDescent="0.25">
      <c r="A874" s="10" t="s">
        <v>290</v>
      </c>
      <c r="B874" s="18" t="s">
        <v>695</v>
      </c>
      <c r="C874" s="12">
        <v>4.48</v>
      </c>
      <c r="D874" s="12">
        <v>0</v>
      </c>
      <c r="E874" s="10" t="s">
        <v>159</v>
      </c>
      <c r="F874" s="14">
        <v>45149.88</v>
      </c>
      <c r="G874" s="14">
        <f>F874*C874</f>
        <v>202271.46240000002</v>
      </c>
      <c r="H874" s="15">
        <f>IF($G$1279=0,0,G874/$G$1279*100)</f>
      </c>
      <c r="I874" s="12" t="str">
        <f>IF(O874-C874&gt;0,O874-C874,"")</f>
        <v/>
      </c>
      <c r="J874" s="14" t="str">
        <f>IF(I874="","",F874*I874)</f>
        <v/>
      </c>
      <c r="K874" s="15">
        <f>IF(OR(J874="",$G$1279=0),"",J874/$G$1279*100)</f>
      </c>
      <c r="L874" s="12" t="str">
        <f>IF(C874-O874&gt;0,C874-O874,"")</f>
        <v/>
      </c>
      <c r="M874" s="14" t="str">
        <f>IF(L874="","",F874*L874)</f>
        <v/>
      </c>
      <c r="N874" s="15">
        <f>IF(OR(M874="",$G$1279=0),"",M874/$G$1279*100)</f>
      </c>
      <c r="O874" s="12">
        <v>4.48</v>
      </c>
      <c r="P874" s="14">
        <f>F874*O874</f>
        <v>202271.46240000002</v>
      </c>
      <c r="Q874" s="15">
        <f>IF($P$1279=0,0,P874/$P$1279*100)</f>
      </c>
      <c r="R874" s="10" t="str">
        <f>IF(O874=C874,"TETAP",IF(C874=0,"BARU",IF(O874=0,"HAPUS",IF(O874&gt;C874,"TAMBAH","KURANG"))))</f>
        <v>TETAP</v>
      </c>
    </row>
    <row r="875" spans="1:18" x14ac:dyDescent="0.25">
      <c r="A875" s="5" t="s">
        <v>713</v>
      </c>
      <c r="B875" s="16" t="s">
        <v>714</v>
      </c>
      <c r="C875" s="7"/>
      <c r="D875" s="7"/>
      <c r="E875" s="5"/>
      <c r="F875" s="8"/>
      <c r="G875" s="8"/>
      <c r="H875" s="9"/>
      <c r="I875" s="7"/>
      <c r="J875" s="8"/>
      <c r="K875" s="9"/>
      <c r="L875" s="7"/>
      <c r="M875" s="8"/>
      <c r="N875" s="9"/>
      <c r="O875" s="7"/>
      <c r="P875" s="8"/>
      <c r="Q875" s="9"/>
      <c r="R875" s="5"/>
    </row>
    <row r="876" spans="1:18" x14ac:dyDescent="0.25">
      <c r="A876" s="5" t="s">
        <v>24</v>
      </c>
      <c r="B876" s="17" t="s">
        <v>715</v>
      </c>
      <c r="C876" s="7"/>
      <c r="D876" s="7"/>
      <c r="E876" s="5"/>
      <c r="F876" s="8"/>
      <c r="G876" s="8"/>
      <c r="H876" s="9"/>
      <c r="I876" s="7"/>
      <c r="J876" s="8"/>
      <c r="K876" s="9"/>
      <c r="L876" s="7"/>
      <c r="M876" s="8"/>
      <c r="N876" s="9"/>
      <c r="O876" s="7"/>
      <c r="P876" s="8"/>
      <c r="Q876" s="9"/>
      <c r="R876" s="5"/>
    </row>
    <row r="877" spans="1:18" x14ac:dyDescent="0.25">
      <c r="A877" s="10" t="s">
        <v>157</v>
      </c>
      <c r="B877" s="18" t="s">
        <v>716</v>
      </c>
      <c r="C877" s="12">
        <v>1</v>
      </c>
      <c r="D877" s="12">
        <v>0</v>
      </c>
      <c r="E877" s="10" t="s">
        <v>119</v>
      </c>
      <c r="F877" s="14">
        <v>17545582.05</v>
      </c>
      <c r="G877" s="14">
        <f>F877*C877</f>
        <v>17545582.05</v>
      </c>
      <c r="H877" s="15">
        <f>IF($G$1279=0,0,G877/$G$1279*100)</f>
      </c>
      <c r="I877" s="12" t="str">
        <f>IF(O877-C877&gt;0,O877-C877,"")</f>
        <v/>
      </c>
      <c r="J877" s="14" t="str">
        <f>IF(I877="","",F877*I877)</f>
        <v/>
      </c>
      <c r="K877" s="15">
        <f>IF(OR(J877="",$G$1279=0),"",J877/$G$1279*100)</f>
      </c>
      <c r="L877" s="12" t="str">
        <f>IF(C877-O877&gt;0,C877-O877,"")</f>
        <v/>
      </c>
      <c r="M877" s="14" t="str">
        <f>IF(L877="","",F877*L877)</f>
        <v/>
      </c>
      <c r="N877" s="15">
        <f>IF(OR(M877="",$G$1279=0),"",M877/$G$1279*100)</f>
      </c>
      <c r="O877" s="12">
        <v>1</v>
      </c>
      <c r="P877" s="14">
        <f>F877*O877</f>
        <v>17545582.05</v>
      </c>
      <c r="Q877" s="15">
        <f>IF($P$1279=0,0,P877/$P$1279*100)</f>
      </c>
      <c r="R877" s="10" t="str">
        <f>IF(O877=C877,"TETAP",IF(C877=0,"BARU",IF(O877=0,"HAPUS",IF(O877&gt;C877,"TAMBAH","KURANG"))))</f>
        <v>TETAP</v>
      </c>
    </row>
    <row r="878" spans="1:18" x14ac:dyDescent="0.25">
      <c r="A878" s="10" t="s">
        <v>160</v>
      </c>
      <c r="B878" s="18" t="s">
        <v>717</v>
      </c>
      <c r="C878" s="12">
        <v>1</v>
      </c>
      <c r="D878" s="12">
        <v>0</v>
      </c>
      <c r="E878" s="10" t="s">
        <v>119</v>
      </c>
      <c r="F878" s="14">
        <v>50548362.1</v>
      </c>
      <c r="G878" s="14">
        <f>F878*C878</f>
        <v>50548362.1</v>
      </c>
      <c r="H878" s="15">
        <f>IF($G$1279=0,0,G878/$G$1279*100)</f>
      </c>
      <c r="I878" s="12" t="str">
        <f>IF(O878-C878&gt;0,O878-C878,"")</f>
        <v/>
      </c>
      <c r="J878" s="14" t="str">
        <f>IF(I878="","",F878*I878)</f>
        <v/>
      </c>
      <c r="K878" s="15">
        <f>IF(OR(J878="",$G$1279=0),"",J878/$G$1279*100)</f>
      </c>
      <c r="L878" s="12" t="str">
        <f>IF(C878-O878&gt;0,C878-O878,"")</f>
        <v/>
      </c>
      <c r="M878" s="14" t="str">
        <f>IF(L878="","",F878*L878)</f>
        <v/>
      </c>
      <c r="N878" s="15">
        <f>IF(OR(M878="",$G$1279=0),"",M878/$G$1279*100)</f>
      </c>
      <c r="O878" s="12">
        <v>1</v>
      </c>
      <c r="P878" s="14">
        <f>F878*O878</f>
        <v>50548362.1</v>
      </c>
      <c r="Q878" s="15">
        <f>IF($P$1279=0,0,P878/$P$1279*100)</f>
      </c>
      <c r="R878" s="10" t="str">
        <f>IF(O878=C878,"TETAP",IF(C878=0,"BARU",IF(O878=0,"HAPUS",IF(O878&gt;C878,"TAMBAH","KURANG"))))</f>
        <v>TETAP</v>
      </c>
    </row>
    <row r="879" spans="1:18" x14ac:dyDescent="0.25">
      <c r="A879" s="5" t="s">
        <v>27</v>
      </c>
      <c r="B879" s="17" t="s">
        <v>718</v>
      </c>
      <c r="C879" s="7"/>
      <c r="D879" s="7"/>
      <c r="E879" s="5"/>
      <c r="F879" s="8"/>
      <c r="G879" s="8"/>
      <c r="H879" s="9"/>
      <c r="I879" s="7"/>
      <c r="J879" s="8"/>
      <c r="K879" s="9"/>
      <c r="L879" s="7"/>
      <c r="M879" s="8"/>
      <c r="N879" s="9"/>
      <c r="O879" s="7"/>
      <c r="P879" s="8"/>
      <c r="Q879" s="9"/>
      <c r="R879" s="5"/>
    </row>
    <row r="880" spans="1:18" x14ac:dyDescent="0.25">
      <c r="A880" s="10" t="s">
        <v>165</v>
      </c>
      <c r="B880" s="18" t="s">
        <v>719</v>
      </c>
      <c r="C880" s="12">
        <v>5</v>
      </c>
      <c r="D880" s="12">
        <v>0</v>
      </c>
      <c r="E880" s="10" t="s">
        <v>32</v>
      </c>
      <c r="F880" s="14">
        <v>237296.03</v>
      </c>
      <c r="G880" s="14">
        <f>F880*C880</f>
        <v>1186480.15</v>
      </c>
      <c r="H880" s="15">
        <f>IF($G$1279=0,0,G880/$G$1279*100)</f>
      </c>
      <c r="I880" s="12" t="str">
        <f>IF(O880-C880&gt;0,O880-C880,"")</f>
        <v/>
      </c>
      <c r="J880" s="14" t="str">
        <f>IF(I880="","",F880*I880)</f>
        <v/>
      </c>
      <c r="K880" s="15">
        <f>IF(OR(J880="",$G$1279=0),"",J880/$G$1279*100)</f>
      </c>
      <c r="L880" s="12" t="str">
        <f>IF(C880-O880&gt;0,C880-O880,"")</f>
        <v/>
      </c>
      <c r="M880" s="14" t="str">
        <f>IF(L880="","",F880*L880)</f>
        <v/>
      </c>
      <c r="N880" s="15">
        <f>IF(OR(M880="",$G$1279=0),"",M880/$G$1279*100)</f>
      </c>
      <c r="O880" s="12">
        <v>5</v>
      </c>
      <c r="P880" s="14">
        <f>F880*O880</f>
        <v>1186480.15</v>
      </c>
      <c r="Q880" s="15">
        <f>IF($P$1279=0,0,P880/$P$1279*100)</f>
      </c>
      <c r="R880" s="10" t="str">
        <f>IF(O880=C880,"TETAP",IF(C880=0,"BARU",IF(O880=0,"HAPUS",IF(O880&gt;C880,"TAMBAH","KURANG"))))</f>
        <v>TETAP</v>
      </c>
    </row>
    <row r="881" spans="1:18" x14ac:dyDescent="0.25">
      <c r="A881" s="10" t="s">
        <v>167</v>
      </c>
      <c r="B881" s="18" t="s">
        <v>720</v>
      </c>
      <c r="C881" s="12">
        <v>5</v>
      </c>
      <c r="D881" s="12">
        <v>0</v>
      </c>
      <c r="E881" s="10" t="s">
        <v>32</v>
      </c>
      <c r="F881" s="14">
        <v>3025103.12</v>
      </c>
      <c r="G881" s="14">
        <f>F881*C881</f>
        <v>15125515.600000001</v>
      </c>
      <c r="H881" s="15">
        <f>IF($G$1279=0,0,G881/$G$1279*100)</f>
      </c>
      <c r="I881" s="12" t="str">
        <f>IF(O881-C881&gt;0,O881-C881,"")</f>
        <v/>
      </c>
      <c r="J881" s="14" t="str">
        <f>IF(I881="","",F881*I881)</f>
        <v/>
      </c>
      <c r="K881" s="15">
        <f>IF(OR(J881="",$G$1279=0),"",J881/$G$1279*100)</f>
      </c>
      <c r="L881" s="12" t="str">
        <f>IF(C881-O881&gt;0,C881-O881,"")</f>
        <v/>
      </c>
      <c r="M881" s="14" t="str">
        <f>IF(L881="","",F881*L881)</f>
        <v/>
      </c>
      <c r="N881" s="15">
        <f>IF(OR(M881="",$G$1279=0),"",M881/$G$1279*100)</f>
      </c>
      <c r="O881" s="12">
        <v>5</v>
      </c>
      <c r="P881" s="14">
        <f>F881*O881</f>
        <v>15125515.600000001</v>
      </c>
      <c r="Q881" s="15">
        <f>IF($P$1279=0,0,P881/$P$1279*100)</f>
      </c>
      <c r="R881" s="10" t="str">
        <f>IF(O881=C881,"TETAP",IF(C881=0,"BARU",IF(O881=0,"HAPUS",IF(O881&gt;C881,"TAMBAH","KURANG"))))</f>
        <v>TETAP</v>
      </c>
    </row>
    <row r="882" spans="1:18" x14ac:dyDescent="0.25">
      <c r="A882" s="10" t="s">
        <v>170</v>
      </c>
      <c r="B882" s="18" t="s">
        <v>721</v>
      </c>
      <c r="C882" s="12">
        <v>5</v>
      </c>
      <c r="D882" s="12">
        <v>0</v>
      </c>
      <c r="E882" s="10" t="s">
        <v>32</v>
      </c>
      <c r="F882" s="14">
        <v>268420.65</v>
      </c>
      <c r="G882" s="14">
        <f>F882*C882</f>
        <v>1342103.25</v>
      </c>
      <c r="H882" s="15">
        <f>IF($G$1279=0,0,G882/$G$1279*100)</f>
      </c>
      <c r="I882" s="12" t="str">
        <f>IF(O882-C882&gt;0,O882-C882,"")</f>
        <v/>
      </c>
      <c r="J882" s="14" t="str">
        <f>IF(I882="","",F882*I882)</f>
        <v/>
      </c>
      <c r="K882" s="15">
        <f>IF(OR(J882="",$G$1279=0),"",J882/$G$1279*100)</f>
      </c>
      <c r="L882" s="12" t="str">
        <f>IF(C882-O882&gt;0,C882-O882,"")</f>
        <v/>
      </c>
      <c r="M882" s="14" t="str">
        <f>IF(L882="","",F882*L882)</f>
        <v/>
      </c>
      <c r="N882" s="15">
        <f>IF(OR(M882="",$G$1279=0),"",M882/$G$1279*100)</f>
      </c>
      <c r="O882" s="12">
        <v>5</v>
      </c>
      <c r="P882" s="14">
        <f>F882*O882</f>
        <v>1342103.25</v>
      </c>
      <c r="Q882" s="15">
        <f>IF($P$1279=0,0,P882/$P$1279*100)</f>
      </c>
      <c r="R882" s="10" t="str">
        <f>IF(O882=C882,"TETAP",IF(C882=0,"BARU",IF(O882=0,"HAPUS",IF(O882&gt;C882,"TAMBAH","KURANG"))))</f>
        <v>TETAP</v>
      </c>
    </row>
    <row r="883" spans="1:18" x14ac:dyDescent="0.25">
      <c r="A883" s="10" t="s">
        <v>172</v>
      </c>
      <c r="B883" s="18" t="s">
        <v>722</v>
      </c>
      <c r="C883" s="12">
        <v>5</v>
      </c>
      <c r="D883" s="12">
        <v>0</v>
      </c>
      <c r="E883" s="10" t="s">
        <v>32</v>
      </c>
      <c r="F883" s="14">
        <v>277190.24</v>
      </c>
      <c r="G883" s="14">
        <f>F883*C883</f>
        <v>1385951.2</v>
      </c>
      <c r="H883" s="15">
        <f>IF($G$1279=0,0,G883/$G$1279*100)</f>
      </c>
      <c r="I883" s="12" t="str">
        <f>IF(O883-C883&gt;0,O883-C883,"")</f>
        <v/>
      </c>
      <c r="J883" s="14" t="str">
        <f>IF(I883="","",F883*I883)</f>
        <v/>
      </c>
      <c r="K883" s="15">
        <f>IF(OR(J883="",$G$1279=0),"",J883/$G$1279*100)</f>
      </c>
      <c r="L883" s="12" t="str">
        <f>IF(C883-O883&gt;0,C883-O883,"")</f>
        <v/>
      </c>
      <c r="M883" s="14" t="str">
        <f>IF(L883="","",F883*L883)</f>
        <v/>
      </c>
      <c r="N883" s="15">
        <f>IF(OR(M883="",$G$1279=0),"",M883/$G$1279*100)</f>
      </c>
      <c r="O883" s="12">
        <v>5</v>
      </c>
      <c r="P883" s="14">
        <f>F883*O883</f>
        <v>1385951.2</v>
      </c>
      <c r="Q883" s="15">
        <f>IF($P$1279=0,0,P883/$P$1279*100)</f>
      </c>
      <c r="R883" s="10" t="str">
        <f>IF(O883=C883,"TETAP",IF(C883=0,"BARU",IF(O883=0,"HAPUS",IF(O883&gt;C883,"TAMBAH","KURANG"))))</f>
        <v>TETAP</v>
      </c>
    </row>
    <row r="884" spans="1:18" x14ac:dyDescent="0.25">
      <c r="A884" s="5" t="s">
        <v>30</v>
      </c>
      <c r="B884" s="17" t="s">
        <v>723</v>
      </c>
      <c r="C884" s="7"/>
      <c r="D884" s="7"/>
      <c r="E884" s="5"/>
      <c r="F884" s="8"/>
      <c r="G884" s="8"/>
      <c r="H884" s="9"/>
      <c r="I884" s="7"/>
      <c r="J884" s="8"/>
      <c r="K884" s="9"/>
      <c r="L884" s="7"/>
      <c r="M884" s="8"/>
      <c r="N884" s="9"/>
      <c r="O884" s="7"/>
      <c r="P884" s="8"/>
      <c r="Q884" s="9"/>
      <c r="R884" s="5"/>
    </row>
    <row r="885" spans="1:18" x14ac:dyDescent="0.25">
      <c r="A885" s="10" t="s">
        <v>175</v>
      </c>
      <c r="B885" s="18" t="s">
        <v>724</v>
      </c>
      <c r="C885" s="12">
        <v>43.98</v>
      </c>
      <c r="D885" s="12">
        <v>0</v>
      </c>
      <c r="E885" s="10" t="s">
        <v>37</v>
      </c>
      <c r="F885" s="14">
        <v>159774.02</v>
      </c>
      <c r="G885" s="14">
        <f>F885*C885</f>
        <v>7026861.399599999</v>
      </c>
      <c r="H885" s="15">
        <f>IF($G$1279=0,0,G885/$G$1279*100)</f>
      </c>
      <c r="I885" s="12" t="str">
        <f>IF(O885-C885&gt;0,O885-C885,"")</f>
        <v/>
      </c>
      <c r="J885" s="14" t="str">
        <f>IF(I885="","",F885*I885)</f>
        <v/>
      </c>
      <c r="K885" s="15">
        <f>IF(OR(J885="",$G$1279=0),"",J885/$G$1279*100)</f>
      </c>
      <c r="L885" s="12" t="str">
        <f>IF(C885-O885&gt;0,C885-O885,"")</f>
        <v/>
      </c>
      <c r="M885" s="14" t="str">
        <f>IF(L885="","",F885*L885)</f>
        <v/>
      </c>
      <c r="N885" s="15">
        <f>IF(OR(M885="",$G$1279=0),"",M885/$G$1279*100)</f>
      </c>
      <c r="O885" s="12">
        <v>43.98</v>
      </c>
      <c r="P885" s="14">
        <f>F885*O885</f>
        <v>7026861.399599999</v>
      </c>
      <c r="Q885" s="15">
        <f>IF($P$1279=0,0,P885/$P$1279*100)</f>
      </c>
      <c r="R885" s="10" t="str">
        <f>IF(O885=C885,"TETAP",IF(C885=0,"BARU",IF(O885=0,"HAPUS",IF(O885&gt;C885,"TAMBAH","KURANG"))))</f>
        <v>TETAP</v>
      </c>
    </row>
    <row r="886" spans="1:18" x14ac:dyDescent="0.25">
      <c r="A886" s="10" t="s">
        <v>176</v>
      </c>
      <c r="B886" s="18" t="s">
        <v>725</v>
      </c>
      <c r="C886" s="12">
        <v>97.37</v>
      </c>
      <c r="D886" s="12">
        <v>0</v>
      </c>
      <c r="E886" s="10" t="s">
        <v>37</v>
      </c>
      <c r="F886" s="14">
        <v>159774.02</v>
      </c>
      <c r="G886" s="14">
        <f>F886*C886</f>
        <v>15557196.327399999</v>
      </c>
      <c r="H886" s="15">
        <f>IF($G$1279=0,0,G886/$G$1279*100)</f>
      </c>
      <c r="I886" s="12" t="str">
        <f>IF(O886-C886&gt;0,O886-C886,"")</f>
        <v/>
      </c>
      <c r="J886" s="14" t="str">
        <f>IF(I886="","",F886*I886)</f>
        <v/>
      </c>
      <c r="K886" s="15">
        <f>IF(OR(J886="",$G$1279=0),"",J886/$G$1279*100)</f>
      </c>
      <c r="L886" s="12" t="str">
        <f>IF(C886-O886&gt;0,C886-O886,"")</f>
        <v/>
      </c>
      <c r="M886" s="14" t="str">
        <f>IF(L886="","",F886*L886)</f>
        <v/>
      </c>
      <c r="N886" s="15">
        <f>IF(OR(M886="",$G$1279=0),"",M886/$G$1279*100)</f>
      </c>
      <c r="O886" s="12">
        <v>97.37</v>
      </c>
      <c r="P886" s="14">
        <f>F886*O886</f>
        <v>15557196.327399999</v>
      </c>
      <c r="Q886" s="15">
        <f>IF($P$1279=0,0,P886/$P$1279*100)</f>
      </c>
      <c r="R886" s="10" t="str">
        <f>IF(O886=C886,"TETAP",IF(C886=0,"BARU",IF(O886=0,"HAPUS",IF(O886&gt;C886,"TAMBAH","KURANG"))))</f>
        <v>TETAP</v>
      </c>
    </row>
    <row r="887" spans="1:18" x14ac:dyDescent="0.25">
      <c r="A887" s="5" t="s">
        <v>33</v>
      </c>
      <c r="B887" s="17" t="s">
        <v>726</v>
      </c>
      <c r="C887" s="7"/>
      <c r="D887" s="7"/>
      <c r="E887" s="5"/>
      <c r="F887" s="8"/>
      <c r="G887" s="8"/>
      <c r="H887" s="9"/>
      <c r="I887" s="7"/>
      <c r="J887" s="8"/>
      <c r="K887" s="9"/>
      <c r="L887" s="7"/>
      <c r="M887" s="8"/>
      <c r="N887" s="9"/>
      <c r="O887" s="7"/>
      <c r="P887" s="8"/>
      <c r="Q887" s="9"/>
      <c r="R887" s="5"/>
    </row>
    <row r="888" spans="1:18" x14ac:dyDescent="0.25">
      <c r="A888" s="10" t="s">
        <v>186</v>
      </c>
      <c r="B888" s="18" t="s">
        <v>727</v>
      </c>
      <c r="C888" s="12">
        <v>3.2</v>
      </c>
      <c r="D888" s="12">
        <v>0</v>
      </c>
      <c r="E888" s="10" t="s">
        <v>37</v>
      </c>
      <c r="F888" s="14">
        <v>30562.21</v>
      </c>
      <c r="G888" s="14">
        <f>F888*C888</f>
        <v>97799.072</v>
      </c>
      <c r="H888" s="15">
        <f>IF($G$1279=0,0,G888/$G$1279*100)</f>
      </c>
      <c r="I888" s="12" t="str">
        <f>IF(O888-C888&gt;0,O888-C888,"")</f>
        <v/>
      </c>
      <c r="J888" s="14" t="str">
        <f>IF(I888="","",F888*I888)</f>
        <v/>
      </c>
      <c r="K888" s="15">
        <f>IF(OR(J888="",$G$1279=0),"",J888/$G$1279*100)</f>
      </c>
      <c r="L888" s="12" t="str">
        <f>IF(C888-O888&gt;0,C888-O888,"")</f>
        <v/>
      </c>
      <c r="M888" s="14" t="str">
        <f>IF(L888="","",F888*L888)</f>
        <v/>
      </c>
      <c r="N888" s="15">
        <f>IF(OR(M888="",$G$1279=0),"",M888/$G$1279*100)</f>
      </c>
      <c r="O888" s="12">
        <v>3.2</v>
      </c>
      <c r="P888" s="14">
        <f>F888*O888</f>
        <v>97799.072</v>
      </c>
      <c r="Q888" s="15">
        <f>IF($P$1279=0,0,P888/$P$1279*100)</f>
      </c>
      <c r="R888" s="10" t="str">
        <f>IF(O888=C888,"TETAP",IF(C888=0,"BARU",IF(O888=0,"HAPUS",IF(O888&gt;C888,"TAMBAH","KURANG"))))</f>
        <v>TETAP</v>
      </c>
    </row>
    <row r="889" spans="1:18" x14ac:dyDescent="0.25">
      <c r="A889" s="10" t="s">
        <v>188</v>
      </c>
      <c r="B889" s="18" t="s">
        <v>728</v>
      </c>
      <c r="C889" s="12">
        <v>1</v>
      </c>
      <c r="D889" s="12">
        <v>0</v>
      </c>
      <c r="E889" s="10" t="s">
        <v>32</v>
      </c>
      <c r="F889" s="14">
        <v>106885.15</v>
      </c>
      <c r="G889" s="14">
        <f>F889*C889</f>
        <v>106885.15</v>
      </c>
      <c r="H889" s="15">
        <f>IF($G$1279=0,0,G889/$G$1279*100)</f>
      </c>
      <c r="I889" s="12" t="str">
        <f>IF(O889-C889&gt;0,O889-C889,"")</f>
        <v/>
      </c>
      <c r="J889" s="14" t="str">
        <f>IF(I889="","",F889*I889)</f>
        <v/>
      </c>
      <c r="K889" s="15">
        <f>IF(OR(J889="",$G$1279=0),"",J889/$G$1279*100)</f>
      </c>
      <c r="L889" s="12" t="str">
        <f>IF(C889-O889&gt;0,C889-O889,"")</f>
        <v/>
      </c>
      <c r="M889" s="14" t="str">
        <f>IF(L889="","",F889*L889)</f>
        <v/>
      </c>
      <c r="N889" s="15">
        <f>IF(OR(M889="",$G$1279=0),"",M889/$G$1279*100)</f>
      </c>
      <c r="O889" s="12">
        <v>1</v>
      </c>
      <c r="P889" s="14">
        <f>F889*O889</f>
        <v>106885.15</v>
      </c>
      <c r="Q889" s="15">
        <f>IF($P$1279=0,0,P889/$P$1279*100)</f>
      </c>
      <c r="R889" s="10" t="str">
        <f>IF(O889=C889,"TETAP",IF(C889=0,"BARU",IF(O889=0,"HAPUS",IF(O889&gt;C889,"TAMBAH","KURANG"))))</f>
        <v>TETAP</v>
      </c>
    </row>
    <row r="890" spans="1:18" x14ac:dyDescent="0.25">
      <c r="A890" s="5" t="s">
        <v>35</v>
      </c>
      <c r="B890" s="17" t="s">
        <v>729</v>
      </c>
      <c r="C890" s="7"/>
      <c r="D890" s="7"/>
      <c r="E890" s="5"/>
      <c r="F890" s="8"/>
      <c r="G890" s="8"/>
      <c r="H890" s="9"/>
      <c r="I890" s="7"/>
      <c r="J890" s="8"/>
      <c r="K890" s="9"/>
      <c r="L890" s="7"/>
      <c r="M890" s="8"/>
      <c r="N890" s="9"/>
      <c r="O890" s="7"/>
      <c r="P890" s="8"/>
      <c r="Q890" s="9"/>
      <c r="R890" s="5"/>
    </row>
    <row r="891" spans="1:18" x14ac:dyDescent="0.25">
      <c r="A891" s="10" t="s">
        <v>193</v>
      </c>
      <c r="B891" s="18" t="s">
        <v>727</v>
      </c>
      <c r="C891" s="12">
        <v>3.2</v>
      </c>
      <c r="D891" s="12">
        <v>0</v>
      </c>
      <c r="E891" s="10" t="s">
        <v>37</v>
      </c>
      <c r="F891" s="14">
        <v>30562.21</v>
      </c>
      <c r="G891" s="14">
        <f>F891*C891</f>
        <v>97799.072</v>
      </c>
      <c r="H891" s="15">
        <f>IF($G$1279=0,0,G891/$G$1279*100)</f>
      </c>
      <c r="I891" s="12" t="str">
        <f>IF(O891-C891&gt;0,O891-C891,"")</f>
        <v/>
      </c>
      <c r="J891" s="14" t="str">
        <f>IF(I891="","",F891*I891)</f>
        <v/>
      </c>
      <c r="K891" s="15">
        <f>IF(OR(J891="",$G$1279=0),"",J891/$G$1279*100)</f>
      </c>
      <c r="L891" s="12" t="str">
        <f>IF(C891-O891&gt;0,C891-O891,"")</f>
        <v/>
      </c>
      <c r="M891" s="14" t="str">
        <f>IF(L891="","",F891*L891)</f>
        <v/>
      </c>
      <c r="N891" s="15">
        <f>IF(OR(M891="",$G$1279=0),"",M891/$G$1279*100)</f>
      </c>
      <c r="O891" s="12">
        <v>3.2</v>
      </c>
      <c r="P891" s="14">
        <f>F891*O891</f>
        <v>97799.072</v>
      </c>
      <c r="Q891" s="15">
        <f>IF($P$1279=0,0,P891/$P$1279*100)</f>
      </c>
      <c r="R891" s="10" t="str">
        <f>IF(O891=C891,"TETAP",IF(C891=0,"BARU",IF(O891=0,"HAPUS",IF(O891&gt;C891,"TAMBAH","KURANG"))))</f>
        <v>TETAP</v>
      </c>
    </row>
    <row r="892" spans="1:18" x14ac:dyDescent="0.25">
      <c r="A892" s="10" t="s">
        <v>195</v>
      </c>
      <c r="B892" s="18" t="s">
        <v>728</v>
      </c>
      <c r="C892" s="12">
        <v>1</v>
      </c>
      <c r="D892" s="12">
        <v>0</v>
      </c>
      <c r="E892" s="10" t="s">
        <v>32</v>
      </c>
      <c r="F892" s="14">
        <v>106885.15</v>
      </c>
      <c r="G892" s="14">
        <f>F892*C892</f>
        <v>106885.15</v>
      </c>
      <c r="H892" s="15">
        <f>IF($G$1279=0,0,G892/$G$1279*100)</f>
      </c>
      <c r="I892" s="12" t="str">
        <f>IF(O892-C892&gt;0,O892-C892,"")</f>
        <v/>
      </c>
      <c r="J892" s="14" t="str">
        <f>IF(I892="","",F892*I892)</f>
        <v/>
      </c>
      <c r="K892" s="15">
        <f>IF(OR(J892="",$G$1279=0),"",J892/$G$1279*100)</f>
      </c>
      <c r="L892" s="12" t="str">
        <f>IF(C892-O892&gt;0,C892-O892,"")</f>
        <v/>
      </c>
      <c r="M892" s="14" t="str">
        <f>IF(L892="","",F892*L892)</f>
        <v/>
      </c>
      <c r="N892" s="15">
        <f>IF(OR(M892="",$G$1279=0),"",M892/$G$1279*100)</f>
      </c>
      <c r="O892" s="12">
        <v>1</v>
      </c>
      <c r="P892" s="14">
        <f>F892*O892</f>
        <v>106885.15</v>
      </c>
      <c r="Q892" s="15">
        <f>IF($P$1279=0,0,P892/$P$1279*100)</f>
      </c>
      <c r="R892" s="10" t="str">
        <f>IF(O892=C892,"TETAP",IF(C892=0,"BARU",IF(O892=0,"HAPUS",IF(O892&gt;C892,"TAMBAH","KURANG"))))</f>
        <v>TETAP</v>
      </c>
    </row>
    <row r="893" spans="1:18" x14ac:dyDescent="0.25">
      <c r="A893" s="5" t="s">
        <v>38</v>
      </c>
      <c r="B893" s="17" t="s">
        <v>730</v>
      </c>
      <c r="C893" s="7"/>
      <c r="D893" s="7"/>
      <c r="E893" s="5"/>
      <c r="F893" s="8"/>
      <c r="G893" s="8"/>
      <c r="H893" s="9"/>
      <c r="I893" s="7"/>
      <c r="J893" s="8"/>
      <c r="K893" s="9"/>
      <c r="L893" s="7"/>
      <c r="M893" s="8"/>
      <c r="N893" s="9"/>
      <c r="O893" s="7"/>
      <c r="P893" s="8"/>
      <c r="Q893" s="9"/>
      <c r="R893" s="5"/>
    </row>
    <row r="894" spans="1:18" x14ac:dyDescent="0.25">
      <c r="A894" s="10" t="s">
        <v>200</v>
      </c>
      <c r="B894" s="18" t="s">
        <v>727</v>
      </c>
      <c r="C894" s="12">
        <v>3.2</v>
      </c>
      <c r="D894" s="12">
        <v>0</v>
      </c>
      <c r="E894" s="10" t="s">
        <v>37</v>
      </c>
      <c r="F894" s="14">
        <v>30562.21</v>
      </c>
      <c r="G894" s="14">
        <f>F894*C894</f>
        <v>97799.072</v>
      </c>
      <c r="H894" s="15">
        <f>IF($G$1279=0,0,G894/$G$1279*100)</f>
      </c>
      <c r="I894" s="12" t="str">
        <f>IF(O894-C894&gt;0,O894-C894,"")</f>
        <v/>
      </c>
      <c r="J894" s="14" t="str">
        <f>IF(I894="","",F894*I894)</f>
        <v/>
      </c>
      <c r="K894" s="15">
        <f>IF(OR(J894="",$G$1279=0),"",J894/$G$1279*100)</f>
      </c>
      <c r="L894" s="12" t="str">
        <f>IF(C894-O894&gt;0,C894-O894,"")</f>
        <v/>
      </c>
      <c r="M894" s="14" t="str">
        <f>IF(L894="","",F894*L894)</f>
        <v/>
      </c>
      <c r="N894" s="15">
        <f>IF(OR(M894="",$G$1279=0),"",M894/$G$1279*100)</f>
      </c>
      <c r="O894" s="12">
        <v>3.2</v>
      </c>
      <c r="P894" s="14">
        <f>F894*O894</f>
        <v>97799.072</v>
      </c>
      <c r="Q894" s="15">
        <f>IF($P$1279=0,0,P894/$P$1279*100)</f>
      </c>
      <c r="R894" s="10" t="str">
        <f>IF(O894=C894,"TETAP",IF(C894=0,"BARU",IF(O894=0,"HAPUS",IF(O894&gt;C894,"TAMBAH","KURANG"))))</f>
        <v>TETAP</v>
      </c>
    </row>
    <row r="895" spans="1:18" x14ac:dyDescent="0.25">
      <c r="A895" s="10" t="s">
        <v>202</v>
      </c>
      <c r="B895" s="18" t="s">
        <v>728</v>
      </c>
      <c r="C895" s="12">
        <v>1</v>
      </c>
      <c r="D895" s="12">
        <v>0</v>
      </c>
      <c r="E895" s="10" t="s">
        <v>32</v>
      </c>
      <c r="F895" s="14">
        <v>106885.15</v>
      </c>
      <c r="G895" s="14">
        <f>F895*C895</f>
        <v>106885.15</v>
      </c>
      <c r="H895" s="15">
        <f>IF($G$1279=0,0,G895/$G$1279*100)</f>
      </c>
      <c r="I895" s="12" t="str">
        <f>IF(O895-C895&gt;0,O895-C895,"")</f>
        <v/>
      </c>
      <c r="J895" s="14" t="str">
        <f>IF(I895="","",F895*I895)</f>
        <v/>
      </c>
      <c r="K895" s="15">
        <f>IF(OR(J895="",$G$1279=0),"",J895/$G$1279*100)</f>
      </c>
      <c r="L895" s="12" t="str">
        <f>IF(C895-O895&gt;0,C895-O895,"")</f>
        <v/>
      </c>
      <c r="M895" s="14" t="str">
        <f>IF(L895="","",F895*L895)</f>
        <v/>
      </c>
      <c r="N895" s="15">
        <f>IF(OR(M895="",$G$1279=0),"",M895/$G$1279*100)</f>
      </c>
      <c r="O895" s="12">
        <v>1</v>
      </c>
      <c r="P895" s="14">
        <f>F895*O895</f>
        <v>106885.15</v>
      </c>
      <c r="Q895" s="15">
        <f>IF($P$1279=0,0,P895/$P$1279*100)</f>
      </c>
      <c r="R895" s="10" t="str">
        <f>IF(O895=C895,"TETAP",IF(C895=0,"BARU",IF(O895=0,"HAPUS",IF(O895&gt;C895,"TAMBAH","KURANG"))))</f>
        <v>TETAP</v>
      </c>
    </row>
    <row r="896" spans="1:18" x14ac:dyDescent="0.25">
      <c r="A896" s="5" t="s">
        <v>108</v>
      </c>
      <c r="B896" s="17" t="s">
        <v>731</v>
      </c>
      <c r="C896" s="7"/>
      <c r="D896" s="7"/>
      <c r="E896" s="5"/>
      <c r="F896" s="8"/>
      <c r="G896" s="8"/>
      <c r="H896" s="9"/>
      <c r="I896" s="7"/>
      <c r="J896" s="8"/>
      <c r="K896" s="9"/>
      <c r="L896" s="7"/>
      <c r="M896" s="8"/>
      <c r="N896" s="9"/>
      <c r="O896" s="7"/>
      <c r="P896" s="8"/>
      <c r="Q896" s="9"/>
      <c r="R896" s="5"/>
    </row>
    <row r="897" spans="1:18" x14ac:dyDescent="0.25">
      <c r="A897" s="10" t="s">
        <v>212</v>
      </c>
      <c r="B897" s="18" t="s">
        <v>727</v>
      </c>
      <c r="C897" s="12">
        <v>3.2</v>
      </c>
      <c r="D897" s="12">
        <v>0</v>
      </c>
      <c r="E897" s="10" t="s">
        <v>37</v>
      </c>
      <c r="F897" s="14">
        <v>30562.21</v>
      </c>
      <c r="G897" s="14">
        <f>F897*C897</f>
        <v>97799.072</v>
      </c>
      <c r="H897" s="15">
        <f>IF($G$1279=0,0,G897/$G$1279*100)</f>
      </c>
      <c r="I897" s="12" t="str">
        <f>IF(O897-C897&gt;0,O897-C897,"")</f>
        <v/>
      </c>
      <c r="J897" s="14" t="str">
        <f>IF(I897="","",F897*I897)</f>
        <v/>
      </c>
      <c r="K897" s="15">
        <f>IF(OR(J897="",$G$1279=0),"",J897/$G$1279*100)</f>
      </c>
      <c r="L897" s="12" t="str">
        <f>IF(C897-O897&gt;0,C897-O897,"")</f>
        <v/>
      </c>
      <c r="M897" s="14" t="str">
        <f>IF(L897="","",F897*L897)</f>
        <v/>
      </c>
      <c r="N897" s="15">
        <f>IF(OR(M897="",$G$1279=0),"",M897/$G$1279*100)</f>
      </c>
      <c r="O897" s="12">
        <v>3.2</v>
      </c>
      <c r="P897" s="14">
        <f>F897*O897</f>
        <v>97799.072</v>
      </c>
      <c r="Q897" s="15">
        <f>IF($P$1279=0,0,P897/$P$1279*100)</f>
      </c>
      <c r="R897" s="10" t="str">
        <f>IF(O897=C897,"TETAP",IF(C897=0,"BARU",IF(O897=0,"HAPUS",IF(O897&gt;C897,"TAMBAH","KURANG"))))</f>
        <v>TETAP</v>
      </c>
    </row>
    <row r="898" spans="1:18" x14ac:dyDescent="0.25">
      <c r="A898" s="10" t="s">
        <v>214</v>
      </c>
      <c r="B898" s="18" t="s">
        <v>728</v>
      </c>
      <c r="C898" s="12">
        <v>1</v>
      </c>
      <c r="D898" s="12">
        <v>0</v>
      </c>
      <c r="E898" s="10" t="s">
        <v>32</v>
      </c>
      <c r="F898" s="14">
        <v>106885.15</v>
      </c>
      <c r="G898" s="14">
        <f>F898*C898</f>
        <v>106885.15</v>
      </c>
      <c r="H898" s="15">
        <f>IF($G$1279=0,0,G898/$G$1279*100)</f>
      </c>
      <c r="I898" s="12" t="str">
        <f>IF(O898-C898&gt;0,O898-C898,"")</f>
        <v/>
      </c>
      <c r="J898" s="14" t="str">
        <f>IF(I898="","",F898*I898)</f>
        <v/>
      </c>
      <c r="K898" s="15">
        <f>IF(OR(J898="",$G$1279=0),"",J898/$G$1279*100)</f>
      </c>
      <c r="L898" s="12" t="str">
        <f>IF(C898-O898&gt;0,C898-O898,"")</f>
        <v/>
      </c>
      <c r="M898" s="14" t="str">
        <f>IF(L898="","",F898*L898)</f>
        <v/>
      </c>
      <c r="N898" s="15">
        <f>IF(OR(M898="",$G$1279=0),"",M898/$G$1279*100)</f>
      </c>
      <c r="O898" s="12">
        <v>1</v>
      </c>
      <c r="P898" s="14">
        <f>F898*O898</f>
        <v>106885.15</v>
      </c>
      <c r="Q898" s="15">
        <f>IF($P$1279=0,0,P898/$P$1279*100)</f>
      </c>
      <c r="R898" s="10" t="str">
        <f>IF(O898=C898,"TETAP",IF(C898=0,"BARU",IF(O898=0,"HAPUS",IF(O898&gt;C898,"TAMBAH","KURANG"))))</f>
        <v>TETAP</v>
      </c>
    </row>
    <row r="899" spans="1:18" x14ac:dyDescent="0.25">
      <c r="A899" s="5" t="s">
        <v>110</v>
      </c>
      <c r="B899" s="17" t="s">
        <v>732</v>
      </c>
      <c r="C899" s="7"/>
      <c r="D899" s="7"/>
      <c r="E899" s="5"/>
      <c r="F899" s="8"/>
      <c r="G899" s="8"/>
      <c r="H899" s="9"/>
      <c r="I899" s="7"/>
      <c r="J899" s="8"/>
      <c r="K899" s="9"/>
      <c r="L899" s="7"/>
      <c r="M899" s="8"/>
      <c r="N899" s="9"/>
      <c r="O899" s="7"/>
      <c r="P899" s="8"/>
      <c r="Q899" s="9"/>
      <c r="R899" s="5"/>
    </row>
    <row r="900" spans="1:18" x14ac:dyDescent="0.25">
      <c r="A900" s="10" t="s">
        <v>275</v>
      </c>
      <c r="B900" s="18" t="s">
        <v>727</v>
      </c>
      <c r="C900" s="12">
        <v>3.2</v>
      </c>
      <c r="D900" s="12">
        <v>0</v>
      </c>
      <c r="E900" s="10" t="s">
        <v>37</v>
      </c>
      <c r="F900" s="14">
        <v>30562.21</v>
      </c>
      <c r="G900" s="14">
        <f>F900*C900</f>
        <v>97799.072</v>
      </c>
      <c r="H900" s="15">
        <f>IF($G$1279=0,0,G900/$G$1279*100)</f>
      </c>
      <c r="I900" s="12" t="str">
        <f>IF(O900-C900&gt;0,O900-C900,"")</f>
        <v/>
      </c>
      <c r="J900" s="14" t="str">
        <f>IF(I900="","",F900*I900)</f>
        <v/>
      </c>
      <c r="K900" s="15">
        <f>IF(OR(J900="",$G$1279=0),"",J900/$G$1279*100)</f>
      </c>
      <c r="L900" s="12" t="str">
        <f>IF(C900-O900&gt;0,C900-O900,"")</f>
        <v/>
      </c>
      <c r="M900" s="14" t="str">
        <f>IF(L900="","",F900*L900)</f>
        <v/>
      </c>
      <c r="N900" s="15">
        <f>IF(OR(M900="",$G$1279=0),"",M900/$G$1279*100)</f>
      </c>
      <c r="O900" s="12">
        <v>3.2</v>
      </c>
      <c r="P900" s="14">
        <f>F900*O900</f>
        <v>97799.072</v>
      </c>
      <c r="Q900" s="15">
        <f>IF($P$1279=0,0,P900/$P$1279*100)</f>
      </c>
      <c r="R900" s="10" t="str">
        <f>IF(O900=C900,"TETAP",IF(C900=0,"BARU",IF(O900=0,"HAPUS",IF(O900&gt;C900,"TAMBAH","KURANG"))))</f>
        <v>TETAP</v>
      </c>
    </row>
    <row r="901" spans="1:18" x14ac:dyDescent="0.25">
      <c r="A901" s="10" t="s">
        <v>276</v>
      </c>
      <c r="B901" s="18" t="s">
        <v>728</v>
      </c>
      <c r="C901" s="12">
        <v>1</v>
      </c>
      <c r="D901" s="12">
        <v>0</v>
      </c>
      <c r="E901" s="10" t="s">
        <v>32</v>
      </c>
      <c r="F901" s="14">
        <v>106885.15</v>
      </c>
      <c r="G901" s="14">
        <f>F901*C901</f>
        <v>106885.15</v>
      </c>
      <c r="H901" s="15">
        <f>IF($G$1279=0,0,G901/$G$1279*100)</f>
      </c>
      <c r="I901" s="12" t="str">
        <f>IF(O901-C901&gt;0,O901-C901,"")</f>
        <v/>
      </c>
      <c r="J901" s="14" t="str">
        <f>IF(I901="","",F901*I901)</f>
        <v/>
      </c>
      <c r="K901" s="15">
        <f>IF(OR(J901="",$G$1279=0),"",J901/$G$1279*100)</f>
      </c>
      <c r="L901" s="12" t="str">
        <f>IF(C901-O901&gt;0,C901-O901,"")</f>
        <v/>
      </c>
      <c r="M901" s="14" t="str">
        <f>IF(L901="","",F901*L901)</f>
        <v/>
      </c>
      <c r="N901" s="15">
        <f>IF(OR(M901="",$G$1279=0),"",M901/$G$1279*100)</f>
      </c>
      <c r="O901" s="12">
        <v>1</v>
      </c>
      <c r="P901" s="14">
        <f>F901*O901</f>
        <v>106885.15</v>
      </c>
      <c r="Q901" s="15">
        <f>IF($P$1279=0,0,P901/$P$1279*100)</f>
      </c>
      <c r="R901" s="10" t="str">
        <f>IF(O901=C901,"TETAP",IF(C901=0,"BARU",IF(O901=0,"HAPUS",IF(O901&gt;C901,"TAMBAH","KURANG"))))</f>
        <v>TETAP</v>
      </c>
    </row>
    <row r="902" spans="1:18" x14ac:dyDescent="0.25">
      <c r="A902" s="10" t="s">
        <v>112</v>
      </c>
      <c r="B902" s="20" t="s">
        <v>733</v>
      </c>
      <c r="C902" s="12">
        <v>1</v>
      </c>
      <c r="D902" s="12">
        <v>0</v>
      </c>
      <c r="E902" s="10" t="s">
        <v>119</v>
      </c>
      <c r="F902" s="14">
        <v>1234811.35</v>
      </c>
      <c r="G902" s="14">
        <f>F902*C902</f>
        <v>1234811.35</v>
      </c>
      <c r="H902" s="15">
        <f>IF($G$1279=0,0,G902/$G$1279*100)</f>
      </c>
      <c r="I902" s="12" t="str">
        <f>IF(O902-C902&gt;0,O902-C902,"")</f>
        <v/>
      </c>
      <c r="J902" s="14" t="str">
        <f>IF(I902="","",F902*I902)</f>
        <v/>
      </c>
      <c r="K902" s="15">
        <f>IF(OR(J902="",$G$1279=0),"",J902/$G$1279*100)</f>
      </c>
      <c r="L902" s="12" t="str">
        <f>IF(C902-O902&gt;0,C902-O902,"")</f>
        <v/>
      </c>
      <c r="M902" s="14" t="str">
        <f>IF(L902="","",F902*L902)</f>
        <v/>
      </c>
      <c r="N902" s="15">
        <f>IF(OR(M902="",$G$1279=0),"",M902/$G$1279*100)</f>
      </c>
      <c r="O902" s="12">
        <v>1</v>
      </c>
      <c r="P902" s="14">
        <f>F902*O902</f>
        <v>1234811.35</v>
      </c>
      <c r="Q902" s="15">
        <f>IF($P$1279=0,0,P902/$P$1279*100)</f>
      </c>
      <c r="R902" s="10" t="str">
        <f>IF(O902=C902,"TETAP",IF(C902=0,"BARU",IF(O902=0,"HAPUS",IF(O902&gt;C902,"TAMBAH","KURANG"))))</f>
        <v>TETAP</v>
      </c>
    </row>
    <row r="903" spans="1:18" x14ac:dyDescent="0.25">
      <c r="A903" s="10" t="s">
        <v>115</v>
      </c>
      <c r="B903" s="20" t="s">
        <v>547</v>
      </c>
      <c r="C903" s="12">
        <v>1</v>
      </c>
      <c r="D903" s="12">
        <v>0</v>
      </c>
      <c r="E903" s="10" t="s">
        <v>119</v>
      </c>
      <c r="F903" s="14">
        <v>1633652.94</v>
      </c>
      <c r="G903" s="14">
        <f>F903*C903</f>
        <v>1633652.94</v>
      </c>
      <c r="H903" s="15">
        <f>IF($G$1279=0,0,G903/$G$1279*100)</f>
      </c>
      <c r="I903" s="12" t="str">
        <f>IF(O903-C903&gt;0,O903-C903,"")</f>
        <v/>
      </c>
      <c r="J903" s="14" t="str">
        <f>IF(I903="","",F903*I903)</f>
        <v/>
      </c>
      <c r="K903" s="15">
        <f>IF(OR(J903="",$G$1279=0),"",J903/$G$1279*100)</f>
      </c>
      <c r="L903" s="12" t="str">
        <f>IF(C903-O903&gt;0,C903-O903,"")</f>
        <v/>
      </c>
      <c r="M903" s="14" t="str">
        <f>IF(L903="","",F903*L903)</f>
        <v/>
      </c>
      <c r="N903" s="15">
        <f>IF(OR(M903="",$G$1279=0),"",M903/$G$1279*100)</f>
      </c>
      <c r="O903" s="12">
        <v>1</v>
      </c>
      <c r="P903" s="14">
        <f>F903*O903</f>
        <v>1633652.94</v>
      </c>
      <c r="Q903" s="15">
        <f>IF($P$1279=0,0,P903/$P$1279*100)</f>
      </c>
      <c r="R903" s="10" t="str">
        <f>IF(O903=C903,"TETAP",IF(C903=0,"BARU",IF(O903=0,"HAPUS",IF(O903&gt;C903,"TAMBAH","KURANG"))))</f>
        <v>TETAP</v>
      </c>
    </row>
    <row r="904" spans="1:18" x14ac:dyDescent="0.25">
      <c r="A904" s="5" t="s">
        <v>734</v>
      </c>
      <c r="B904" s="16" t="s">
        <v>735</v>
      </c>
      <c r="C904" s="7"/>
      <c r="D904" s="7"/>
      <c r="E904" s="5"/>
      <c r="F904" s="8"/>
      <c r="G904" s="8"/>
      <c r="H904" s="9"/>
      <c r="I904" s="7"/>
      <c r="J904" s="8"/>
      <c r="K904" s="9"/>
      <c r="L904" s="7"/>
      <c r="M904" s="8"/>
      <c r="N904" s="9"/>
      <c r="O904" s="7"/>
      <c r="P904" s="8"/>
      <c r="Q904" s="9"/>
      <c r="R904" s="5"/>
    </row>
    <row r="905" spans="1:18" x14ac:dyDescent="0.25">
      <c r="A905" s="5" t="s">
        <v>736</v>
      </c>
      <c r="B905" s="16" t="s">
        <v>737</v>
      </c>
      <c r="C905" s="7"/>
      <c r="D905" s="7"/>
      <c r="E905" s="5"/>
      <c r="F905" s="8"/>
      <c r="G905" s="8"/>
      <c r="H905" s="9"/>
      <c r="I905" s="7"/>
      <c r="J905" s="8"/>
      <c r="K905" s="9"/>
      <c r="L905" s="7"/>
      <c r="M905" s="8"/>
      <c r="N905" s="9"/>
      <c r="O905" s="7"/>
      <c r="P905" s="8"/>
      <c r="Q905" s="9"/>
      <c r="R905" s="5"/>
    </row>
    <row r="906" spans="1:18" x14ac:dyDescent="0.25">
      <c r="A906" s="5" t="s">
        <v>24</v>
      </c>
      <c r="B906" s="17" t="s">
        <v>738</v>
      </c>
      <c r="C906" s="7"/>
      <c r="D906" s="7"/>
      <c r="E906" s="5"/>
      <c r="F906" s="8"/>
      <c r="G906" s="8"/>
      <c r="H906" s="9"/>
      <c r="I906" s="7"/>
      <c r="J906" s="8"/>
      <c r="K906" s="9"/>
      <c r="L906" s="7"/>
      <c r="M906" s="8"/>
      <c r="N906" s="9"/>
      <c r="O906" s="7"/>
      <c r="P906" s="8"/>
      <c r="Q906" s="9"/>
      <c r="R906" s="5"/>
    </row>
    <row r="907" spans="1:18" x14ac:dyDescent="0.25">
      <c r="A907" s="10" t="s">
        <v>157</v>
      </c>
      <c r="B907" s="18" t="s">
        <v>739</v>
      </c>
      <c r="C907" s="12">
        <v>1</v>
      </c>
      <c r="D907" s="13">
        <v>1</v>
      </c>
      <c r="E907" s="10" t="s">
        <v>114</v>
      </c>
      <c r="F907" s="14">
        <v>10952214.35</v>
      </c>
      <c r="G907" s="14">
        <f>F907*C907</f>
        <v>10952214.35</v>
      </c>
      <c r="H907" s="15">
        <f>IF($G$1279=0,0,G907/$G$1279*100)</f>
      </c>
      <c r="I907" s="12" t="str">
        <f>IF(O907-C907&gt;0,O907-C907,"")</f>
        <v/>
      </c>
      <c r="J907" s="14" t="str">
        <f>IF(I907="","",F907*I907)</f>
        <v/>
      </c>
      <c r="K907" s="15">
        <f>IF(OR(J907="",$G$1279=0),"",J907/$G$1279*100)</f>
      </c>
      <c r="L907" s="12" t="str">
        <f>IF(C907-O907&gt;0,C907-O907,"")</f>
        <v/>
      </c>
      <c r="M907" s="14" t="str">
        <f>IF(L907="","",F907*L907)</f>
        <v/>
      </c>
      <c r="N907" s="15">
        <f>IF(OR(M907="",$G$1279=0),"",M907/$G$1279*100)</f>
      </c>
      <c r="O907" s="12">
        <v>1</v>
      </c>
      <c r="P907" s="14">
        <f>F907*O907</f>
        <v>10952214.35</v>
      </c>
      <c r="Q907" s="15">
        <f>IF($P$1279=0,0,P907/$P$1279*100)</f>
      </c>
      <c r="R907" s="10" t="str">
        <f>IF(O907=C907,"TETAP",IF(C907=0,"BARU",IF(O907=0,"HAPUS",IF(O907&gt;C907,"TAMBAH","KURANG"))))</f>
        <v>TETAP</v>
      </c>
    </row>
    <row r="908" spans="1:18" x14ac:dyDescent="0.25">
      <c r="A908" s="5" t="s">
        <v>27</v>
      </c>
      <c r="B908" s="17" t="s">
        <v>740</v>
      </c>
      <c r="C908" s="7"/>
      <c r="D908" s="7"/>
      <c r="E908" s="5"/>
      <c r="F908" s="8"/>
      <c r="G908" s="8"/>
      <c r="H908" s="9"/>
      <c r="I908" s="7"/>
      <c r="J908" s="8"/>
      <c r="K908" s="9"/>
      <c r="L908" s="7"/>
      <c r="M908" s="8"/>
      <c r="N908" s="9"/>
      <c r="O908" s="7"/>
      <c r="P908" s="8"/>
      <c r="Q908" s="9"/>
      <c r="R908" s="5"/>
    </row>
    <row r="909" spans="1:18" x14ac:dyDescent="0.25">
      <c r="A909" s="10" t="s">
        <v>165</v>
      </c>
      <c r="B909" s="18" t="s">
        <v>741</v>
      </c>
      <c r="C909" s="12">
        <v>60</v>
      </c>
      <c r="D909" s="12">
        <v>0</v>
      </c>
      <c r="E909" s="10" t="s">
        <v>37</v>
      </c>
      <c r="F909" s="14">
        <v>526607.59</v>
      </c>
      <c r="G909" s="14">
        <f>F909*C909</f>
        <v>31596455.4</v>
      </c>
      <c r="H909" s="15">
        <f>IF($G$1279=0,0,G909/$G$1279*100)</f>
      </c>
      <c r="I909" s="12" t="str">
        <f>IF(O909-C909&gt;0,O909-C909,"")</f>
        <v/>
      </c>
      <c r="J909" s="14" t="str">
        <f>IF(I909="","",F909*I909)</f>
        <v/>
      </c>
      <c r="K909" s="15">
        <f>IF(OR(J909="",$G$1279=0),"",J909/$G$1279*100)</f>
      </c>
      <c r="L909" s="12" t="str">
        <f>IF(C909-O909&gt;0,C909-O909,"")</f>
        <v/>
      </c>
      <c r="M909" s="14" t="str">
        <f>IF(L909="","",F909*L909)</f>
        <v/>
      </c>
      <c r="N909" s="15">
        <f>IF(OR(M909="",$G$1279=0),"",M909/$G$1279*100)</f>
      </c>
      <c r="O909" s="12">
        <v>60</v>
      </c>
      <c r="P909" s="14">
        <f>F909*O909</f>
        <v>31596455.4</v>
      </c>
      <c r="Q909" s="15">
        <f>IF($P$1279=0,0,P909/$P$1279*100)</f>
      </c>
      <c r="R909" s="10" t="str">
        <f>IF(O909=C909,"TETAP",IF(C909=0,"BARU",IF(O909=0,"HAPUS",IF(O909&gt;C909,"TAMBAH","KURANG"))))</f>
        <v>TETAP</v>
      </c>
    </row>
    <row r="910" spans="1:18" x14ac:dyDescent="0.25">
      <c r="A910" s="10" t="s">
        <v>167</v>
      </c>
      <c r="B910" s="18" t="s">
        <v>742</v>
      </c>
      <c r="C910" s="12">
        <v>60</v>
      </c>
      <c r="D910" s="12">
        <v>0</v>
      </c>
      <c r="E910" s="10" t="s">
        <v>37</v>
      </c>
      <c r="F910" s="14">
        <v>2296197.08</v>
      </c>
      <c r="G910" s="14">
        <f>F910*C910</f>
        <v>137771824.8</v>
      </c>
      <c r="H910" s="15">
        <f>IF($G$1279=0,0,G910/$G$1279*100)</f>
      </c>
      <c r="I910" s="12" t="str">
        <f>IF(O910-C910&gt;0,O910-C910,"")</f>
        <v/>
      </c>
      <c r="J910" s="14" t="str">
        <f>IF(I910="","",F910*I910)</f>
        <v/>
      </c>
      <c r="K910" s="15">
        <f>IF(OR(J910="",$G$1279=0),"",J910/$G$1279*100)</f>
      </c>
      <c r="L910" s="12" t="str">
        <f>IF(C910-O910&gt;0,C910-O910,"")</f>
        <v/>
      </c>
      <c r="M910" s="14" t="str">
        <f>IF(L910="","",F910*L910)</f>
        <v/>
      </c>
      <c r="N910" s="15">
        <f>IF(OR(M910="",$G$1279=0),"",M910/$G$1279*100)</f>
      </c>
      <c r="O910" s="12">
        <v>60</v>
      </c>
      <c r="P910" s="14">
        <f>F910*O910</f>
        <v>137771824.8</v>
      </c>
      <c r="Q910" s="15">
        <f>IF($P$1279=0,0,P910/$P$1279*100)</f>
      </c>
      <c r="R910" s="10" t="str">
        <f>IF(O910=C910,"TETAP",IF(C910=0,"BARU",IF(O910=0,"HAPUS",IF(O910&gt;C910,"TAMBAH","KURANG"))))</f>
        <v>TETAP</v>
      </c>
    </row>
    <row r="911" spans="1:18" x14ac:dyDescent="0.25">
      <c r="A911" s="10" t="s">
        <v>170</v>
      </c>
      <c r="B911" s="18" t="s">
        <v>743</v>
      </c>
      <c r="C911" s="12">
        <v>6.594</v>
      </c>
      <c r="D911" s="12">
        <v>0</v>
      </c>
      <c r="E911" s="10" t="s">
        <v>37</v>
      </c>
      <c r="F911" s="14">
        <v>49236.22</v>
      </c>
      <c r="G911" s="14">
        <f>F911*C911</f>
        <v>324663.63468</v>
      </c>
      <c r="H911" s="15">
        <f>IF($G$1279=0,0,G911/$G$1279*100)</f>
      </c>
      <c r="I911" s="12" t="str">
        <f>IF(O911-C911&gt;0,O911-C911,"")</f>
        <v/>
      </c>
      <c r="J911" s="14" t="str">
        <f>IF(I911="","",F911*I911)</f>
        <v/>
      </c>
      <c r="K911" s="15">
        <f>IF(OR(J911="",$G$1279=0),"",J911/$G$1279*100)</f>
      </c>
      <c r="L911" s="12" t="str">
        <f>IF(C911-O911&gt;0,C911-O911,"")</f>
        <v/>
      </c>
      <c r="M911" s="14" t="str">
        <f>IF(L911="","",F911*L911)</f>
        <v/>
      </c>
      <c r="N911" s="15">
        <f>IF(OR(M911="",$G$1279=0),"",M911/$G$1279*100)</f>
      </c>
      <c r="O911" s="12">
        <v>6.594</v>
      </c>
      <c r="P911" s="14">
        <f>F911*O911</f>
        <v>324663.63468</v>
      </c>
      <c r="Q911" s="15">
        <f>IF($P$1279=0,0,P911/$P$1279*100)</f>
      </c>
      <c r="R911" s="10" t="str">
        <f>IF(O911=C911,"TETAP",IF(C911=0,"BARU",IF(O911=0,"HAPUS",IF(O911&gt;C911,"TAMBAH","KURANG"))))</f>
        <v>TETAP</v>
      </c>
    </row>
    <row r="912" spans="1:18" x14ac:dyDescent="0.25">
      <c r="A912" s="10" t="s">
        <v>172</v>
      </c>
      <c r="B912" s="18" t="s">
        <v>744</v>
      </c>
      <c r="C912" s="12">
        <v>8</v>
      </c>
      <c r="D912" s="12">
        <v>0</v>
      </c>
      <c r="E912" s="10" t="s">
        <v>37</v>
      </c>
      <c r="F912" s="14">
        <v>412613.7</v>
      </c>
      <c r="G912" s="14">
        <f>F912*C912</f>
        <v>3300909.6</v>
      </c>
      <c r="H912" s="15">
        <f>IF($G$1279=0,0,G912/$G$1279*100)</f>
      </c>
      <c r="I912" s="12" t="str">
        <f>IF(O912-C912&gt;0,O912-C912,"")</f>
        <v/>
      </c>
      <c r="J912" s="14" t="str">
        <f>IF(I912="","",F912*I912)</f>
        <v/>
      </c>
      <c r="K912" s="15">
        <f>IF(OR(J912="",$G$1279=0),"",J912/$G$1279*100)</f>
      </c>
      <c r="L912" s="12" t="str">
        <f>IF(C912-O912&gt;0,C912-O912,"")</f>
        <v/>
      </c>
      <c r="M912" s="14" t="str">
        <f>IF(L912="","",F912*L912)</f>
        <v/>
      </c>
      <c r="N912" s="15">
        <f>IF(OR(M912="",$G$1279=0),"",M912/$G$1279*100)</f>
      </c>
      <c r="O912" s="12">
        <v>8</v>
      </c>
      <c r="P912" s="14">
        <f>F912*O912</f>
        <v>3300909.6</v>
      </c>
      <c r="Q912" s="15">
        <f>IF($P$1279=0,0,P912/$P$1279*100)</f>
      </c>
      <c r="R912" s="10" t="str">
        <f>IF(O912=C912,"TETAP",IF(C912=0,"BARU",IF(O912=0,"HAPUS",IF(O912&gt;C912,"TAMBAH","KURANG"))))</f>
        <v>TETAP</v>
      </c>
    </row>
    <row r="913" spans="1:18" x14ac:dyDescent="0.25">
      <c r="A913" s="10" t="s">
        <v>30</v>
      </c>
      <c r="B913" s="20" t="s">
        <v>745</v>
      </c>
      <c r="C913" s="12">
        <v>1.914</v>
      </c>
      <c r="D913" s="12">
        <v>0</v>
      </c>
      <c r="E913" s="10" t="s">
        <v>159</v>
      </c>
      <c r="F913" s="14">
        <v>792710.11</v>
      </c>
      <c r="G913" s="14">
        <f>F913*C913</f>
        <v>1517247.1505399998</v>
      </c>
      <c r="H913" s="15">
        <f>IF($G$1279=0,0,G913/$G$1279*100)</f>
      </c>
      <c r="I913" s="12" t="str">
        <f>IF(O913-C913&gt;0,O913-C913,"")</f>
        <v/>
      </c>
      <c r="J913" s="14" t="str">
        <f>IF(I913="","",F913*I913)</f>
        <v/>
      </c>
      <c r="K913" s="15">
        <f>IF(OR(J913="",$G$1279=0),"",J913/$G$1279*100)</f>
      </c>
      <c r="L913" s="12" t="str">
        <f>IF(C913-O913&gt;0,C913-O913,"")</f>
        <v/>
      </c>
      <c r="M913" s="14" t="str">
        <f>IF(L913="","",F913*L913)</f>
        <v/>
      </c>
      <c r="N913" s="15">
        <f>IF(OR(M913="",$G$1279=0),"",M913/$G$1279*100)</f>
      </c>
      <c r="O913" s="12">
        <v>1.914</v>
      </c>
      <c r="P913" s="14">
        <f>F913*O913</f>
        <v>1517247.1505399998</v>
      </c>
      <c r="Q913" s="15">
        <f>IF($P$1279=0,0,P913/$P$1279*100)</f>
      </c>
      <c r="R913" s="10" t="str">
        <f>IF(O913=C913,"TETAP",IF(C913=0,"BARU",IF(O913=0,"HAPUS",IF(O913&gt;C913,"TAMBAH","KURANG"))))</f>
        <v>TETAP</v>
      </c>
    </row>
    <row r="914" spans="1:18" x14ac:dyDescent="0.25">
      <c r="A914" s="10" t="s">
        <v>33</v>
      </c>
      <c r="B914" s="20" t="s">
        <v>746</v>
      </c>
      <c r="C914" s="12">
        <v>0.027</v>
      </c>
      <c r="D914" s="12">
        <v>0</v>
      </c>
      <c r="E914" s="10" t="s">
        <v>159</v>
      </c>
      <c r="F914" s="14">
        <v>26293527</v>
      </c>
      <c r="G914" s="14">
        <f>F914*C914</f>
        <v>709925.2289999999</v>
      </c>
      <c r="H914" s="15">
        <f>IF($G$1279=0,0,G914/$G$1279*100)</f>
      </c>
      <c r="I914" s="12" t="str">
        <f>IF(O914-C914&gt;0,O914-C914,"")</f>
        <v/>
      </c>
      <c r="J914" s="14" t="str">
        <f>IF(I914="","",F914*I914)</f>
        <v/>
      </c>
      <c r="K914" s="15">
        <f>IF(OR(J914="",$G$1279=0),"",J914/$G$1279*100)</f>
      </c>
      <c r="L914" s="12" t="str">
        <f>IF(C914-O914&gt;0,C914-O914,"")</f>
        <v/>
      </c>
      <c r="M914" s="14" t="str">
        <f>IF(L914="","",F914*L914)</f>
        <v/>
      </c>
      <c r="N914" s="15">
        <f>IF(OR(M914="",$G$1279=0),"",M914/$G$1279*100)</f>
      </c>
      <c r="O914" s="12">
        <v>0.027</v>
      </c>
      <c r="P914" s="14">
        <f>F914*O914</f>
        <v>709925.2289999999</v>
      </c>
      <c r="Q914" s="15">
        <f>IF($P$1279=0,0,P914/$P$1279*100)</f>
      </c>
      <c r="R914" s="10" t="str">
        <f>IF(O914=C914,"TETAP",IF(C914=0,"BARU",IF(O914=0,"HAPUS",IF(O914&gt;C914,"TAMBAH","KURANG"))))</f>
        <v>TETAP</v>
      </c>
    </row>
    <row r="915" spans="1:18" x14ac:dyDescent="0.25">
      <c r="A915" s="5" t="s">
        <v>35</v>
      </c>
      <c r="B915" s="17" t="s">
        <v>747</v>
      </c>
      <c r="C915" s="7"/>
      <c r="D915" s="7"/>
      <c r="E915" s="5"/>
      <c r="F915" s="8"/>
      <c r="G915" s="8"/>
      <c r="H915" s="9"/>
      <c r="I915" s="7"/>
      <c r="J915" s="8"/>
      <c r="K915" s="9"/>
      <c r="L915" s="7"/>
      <c r="M915" s="8"/>
      <c r="N915" s="9"/>
      <c r="O915" s="7"/>
      <c r="P915" s="8"/>
      <c r="Q915" s="9"/>
      <c r="R915" s="5"/>
    </row>
    <row r="916" spans="1:18" x14ac:dyDescent="0.25">
      <c r="A916" s="10" t="s">
        <v>193</v>
      </c>
      <c r="B916" s="18" t="s">
        <v>406</v>
      </c>
      <c r="C916" s="12">
        <v>1.14</v>
      </c>
      <c r="D916" s="12">
        <v>0</v>
      </c>
      <c r="E916" s="10" t="s">
        <v>159</v>
      </c>
      <c r="F916" s="14">
        <v>48730.7</v>
      </c>
      <c r="G916" s="14">
        <f>F916*C916</f>
        <v>55552.99799999999</v>
      </c>
      <c r="H916" s="15">
        <f>IF($G$1279=0,0,G916/$G$1279*100)</f>
      </c>
      <c r="I916" s="12" t="str">
        <f>IF(O916-C916&gt;0,O916-C916,"")</f>
        <v/>
      </c>
      <c r="J916" s="14" t="str">
        <f>IF(I916="","",F916*I916)</f>
        <v/>
      </c>
      <c r="K916" s="15">
        <f>IF(OR(J916="",$G$1279=0),"",J916/$G$1279*100)</f>
      </c>
      <c r="L916" s="12" t="str">
        <f>IF(C916-O916&gt;0,C916-O916,"")</f>
        <v/>
      </c>
      <c r="M916" s="14" t="str">
        <f>IF(L916="","",F916*L916)</f>
        <v/>
      </c>
      <c r="N916" s="15">
        <f>IF(OR(M916="",$G$1279=0),"",M916/$G$1279*100)</f>
      </c>
      <c r="O916" s="12">
        <v>1.14</v>
      </c>
      <c r="P916" s="14">
        <f>F916*O916</f>
        <v>55552.99799999999</v>
      </c>
      <c r="Q916" s="15">
        <f>IF($P$1279=0,0,P916/$P$1279*100)</f>
      </c>
      <c r="R916" s="10" t="str">
        <f>IF(O916=C916,"TETAP",IF(C916=0,"BARU",IF(O916=0,"HAPUS",IF(O916&gt;C916,"TAMBAH","KURANG"))))</f>
        <v>TETAP</v>
      </c>
    </row>
    <row r="917" spans="1:18" x14ac:dyDescent="0.25">
      <c r="A917" s="5" t="s">
        <v>195</v>
      </c>
      <c r="B917" s="19" t="s">
        <v>470</v>
      </c>
      <c r="C917" s="7"/>
      <c r="D917" s="7"/>
      <c r="E917" s="5"/>
      <c r="F917" s="8"/>
      <c r="G917" s="8"/>
      <c r="H917" s="9"/>
      <c r="I917" s="7"/>
      <c r="J917" s="8"/>
      <c r="K917" s="9"/>
      <c r="L917" s="7"/>
      <c r="M917" s="8"/>
      <c r="N917" s="9"/>
      <c r="O917" s="7"/>
      <c r="P917" s="8"/>
      <c r="Q917" s="9"/>
      <c r="R917" s="5"/>
    </row>
    <row r="918" spans="1:18" x14ac:dyDescent="0.25">
      <c r="A918" s="10" t="s">
        <v>748</v>
      </c>
      <c r="B918" s="18" t="s">
        <v>555</v>
      </c>
      <c r="C918" s="12">
        <v>1.24</v>
      </c>
      <c r="D918" s="12">
        <v>0</v>
      </c>
      <c r="E918" s="10" t="s">
        <v>26</v>
      </c>
      <c r="F918" s="14">
        <v>184387.03</v>
      </c>
      <c r="G918" s="14">
        <f>F918*C918</f>
        <v>228639.9172</v>
      </c>
      <c r="H918" s="15">
        <f>IF($G$1279=0,0,G918/$G$1279*100)</f>
      </c>
      <c r="I918" s="12" t="str">
        <f>IF(O918-C918&gt;0,O918-C918,"")</f>
        <v/>
      </c>
      <c r="J918" s="14" t="str">
        <f>IF(I918="","",F918*I918)</f>
        <v/>
      </c>
      <c r="K918" s="15">
        <f>IF(OR(J918="",$G$1279=0),"",J918/$G$1279*100)</f>
      </c>
      <c r="L918" s="12" t="str">
        <f>IF(C918-O918&gt;0,C918-O918,"")</f>
        <v/>
      </c>
      <c r="M918" s="14" t="str">
        <f>IF(L918="","",F918*L918)</f>
        <v/>
      </c>
      <c r="N918" s="15">
        <f>IF(OR(M918="",$G$1279=0),"",M918/$G$1279*100)</f>
      </c>
      <c r="O918" s="12">
        <v>1.24</v>
      </c>
      <c r="P918" s="14">
        <f>F918*O918</f>
        <v>228639.9172</v>
      </c>
      <c r="Q918" s="15">
        <f>IF($P$1279=0,0,P918/$P$1279*100)</f>
      </c>
      <c r="R918" s="10" t="str">
        <f>IF(O918=C918,"TETAP",IF(C918=0,"BARU",IF(O918=0,"HAPUS",IF(O918&gt;C918,"TAMBAH","KURANG"))))</f>
        <v>TETAP</v>
      </c>
    </row>
    <row r="919" spans="1:18" x14ac:dyDescent="0.25">
      <c r="A919" s="10" t="s">
        <v>749</v>
      </c>
      <c r="B919" s="18" t="s">
        <v>750</v>
      </c>
      <c r="C919" s="12">
        <v>2.94</v>
      </c>
      <c r="D919" s="12">
        <v>0</v>
      </c>
      <c r="E919" s="10" t="s">
        <v>26</v>
      </c>
      <c r="F919" s="14">
        <v>70152.73</v>
      </c>
      <c r="G919" s="14">
        <f>F919*C919</f>
        <v>206249.0262</v>
      </c>
      <c r="H919" s="15">
        <f>IF($G$1279=0,0,G919/$G$1279*100)</f>
      </c>
      <c r="I919" s="12" t="str">
        <f>IF(O919-C919&gt;0,O919-C919,"")</f>
        <v/>
      </c>
      <c r="J919" s="14" t="str">
        <f>IF(I919="","",F919*I919)</f>
        <v/>
      </c>
      <c r="K919" s="15">
        <f>IF(OR(J919="",$G$1279=0),"",J919/$G$1279*100)</f>
      </c>
      <c r="L919" s="12" t="str">
        <f>IF(C919-O919&gt;0,C919-O919,"")</f>
        <v/>
      </c>
      <c r="M919" s="14" t="str">
        <f>IF(L919="","",F919*L919)</f>
        <v/>
      </c>
      <c r="N919" s="15">
        <f>IF(OR(M919="",$G$1279=0),"",M919/$G$1279*100)</f>
      </c>
      <c r="O919" s="12">
        <v>2.94</v>
      </c>
      <c r="P919" s="14">
        <f>F919*O919</f>
        <v>206249.0262</v>
      </c>
      <c r="Q919" s="15">
        <f>IF($P$1279=0,0,P919/$P$1279*100)</f>
      </c>
      <c r="R919" s="10" t="str">
        <f>IF(O919=C919,"TETAP",IF(C919=0,"BARU",IF(O919=0,"HAPUS",IF(O919&gt;C919,"TAMBAH","KURANG"))))</f>
        <v>TETAP</v>
      </c>
    </row>
    <row r="920" spans="1:18" x14ac:dyDescent="0.25">
      <c r="A920" s="10" t="s">
        <v>751</v>
      </c>
      <c r="B920" s="18" t="s">
        <v>559</v>
      </c>
      <c r="C920" s="12">
        <v>0.588</v>
      </c>
      <c r="D920" s="12">
        <v>0</v>
      </c>
      <c r="E920" s="10" t="s">
        <v>159</v>
      </c>
      <c r="F920" s="14">
        <v>1399567.05</v>
      </c>
      <c r="G920" s="14">
        <f>F920*C920</f>
        <v>822945.4254</v>
      </c>
      <c r="H920" s="15">
        <f>IF($G$1279=0,0,G920/$G$1279*100)</f>
      </c>
      <c r="I920" s="12" t="str">
        <f>IF(O920-C920&gt;0,O920-C920,"")</f>
        <v/>
      </c>
      <c r="J920" s="14" t="str">
        <f>IF(I920="","",F920*I920)</f>
        <v/>
      </c>
      <c r="K920" s="15">
        <f>IF(OR(J920="",$G$1279=0),"",J920/$G$1279*100)</f>
      </c>
      <c r="L920" s="12" t="str">
        <f>IF(C920-O920&gt;0,C920-O920,"")</f>
        <v/>
      </c>
      <c r="M920" s="14" t="str">
        <f>IF(L920="","",F920*L920)</f>
        <v/>
      </c>
      <c r="N920" s="15">
        <f>IF(OR(M920="",$G$1279=0),"",M920/$G$1279*100)</f>
      </c>
      <c r="O920" s="12">
        <v>0.588</v>
      </c>
      <c r="P920" s="14">
        <f>F920*O920</f>
        <v>822945.4254</v>
      </c>
      <c r="Q920" s="15">
        <f>IF($P$1279=0,0,P920/$P$1279*100)</f>
      </c>
      <c r="R920" s="10" t="str">
        <f>IF(O920=C920,"TETAP",IF(C920=0,"BARU",IF(O920=0,"HAPUS",IF(O920&gt;C920,"TAMBAH","KURANG"))))</f>
        <v>TETAP</v>
      </c>
    </row>
    <row r="921" spans="1:18" x14ac:dyDescent="0.25">
      <c r="A921" s="10" t="s">
        <v>197</v>
      </c>
      <c r="B921" s="18" t="s">
        <v>752</v>
      </c>
      <c r="C921" s="12">
        <v>2.3</v>
      </c>
      <c r="D921" s="12">
        <v>0</v>
      </c>
      <c r="E921" s="10" t="s">
        <v>26</v>
      </c>
      <c r="F921" s="14">
        <v>164501.03</v>
      </c>
      <c r="G921" s="14">
        <f>F921*C921</f>
        <v>378352.36899999995</v>
      </c>
      <c r="H921" s="15">
        <f>IF($G$1279=0,0,G921/$G$1279*100)</f>
      </c>
      <c r="I921" s="12" t="str">
        <f>IF(O921-C921&gt;0,O921-C921,"")</f>
        <v/>
      </c>
      <c r="J921" s="14" t="str">
        <f>IF(I921="","",F921*I921)</f>
        <v/>
      </c>
      <c r="K921" s="15">
        <f>IF(OR(J921="",$G$1279=0),"",J921/$G$1279*100)</f>
      </c>
      <c r="L921" s="12" t="str">
        <f>IF(C921-O921&gt;0,C921-O921,"")</f>
        <v/>
      </c>
      <c r="M921" s="14" t="str">
        <f>IF(L921="","",F921*L921)</f>
        <v/>
      </c>
      <c r="N921" s="15">
        <f>IF(OR(M921="",$G$1279=0),"",M921/$G$1279*100)</f>
      </c>
      <c r="O921" s="12">
        <v>2.3</v>
      </c>
      <c r="P921" s="14">
        <f>F921*O921</f>
        <v>378352.36899999995</v>
      </c>
      <c r="Q921" s="15">
        <f>IF($P$1279=0,0,P921/$P$1279*100)</f>
      </c>
      <c r="R921" s="10" t="str">
        <f>IF(O921=C921,"TETAP",IF(C921=0,"BARU",IF(O921=0,"HAPUS",IF(O921&gt;C921,"TAMBAH","KURANG"))))</f>
        <v>TETAP</v>
      </c>
    </row>
    <row r="922" spans="1:18" x14ac:dyDescent="0.25">
      <c r="A922" s="10" t="s">
        <v>198</v>
      </c>
      <c r="B922" s="18" t="s">
        <v>402</v>
      </c>
      <c r="C922" s="12">
        <v>5.11</v>
      </c>
      <c r="D922" s="12">
        <v>0</v>
      </c>
      <c r="E922" s="10" t="s">
        <v>26</v>
      </c>
      <c r="F922" s="14">
        <v>60093.87</v>
      </c>
      <c r="G922" s="14">
        <f>F922*C922</f>
        <v>307079.6757</v>
      </c>
      <c r="H922" s="15">
        <f>IF($G$1279=0,0,G922/$G$1279*100)</f>
      </c>
      <c r="I922" s="12" t="str">
        <f>IF(O922-C922&gt;0,O922-C922,"")</f>
        <v/>
      </c>
      <c r="J922" s="14" t="str">
        <f>IF(I922="","",F922*I922)</f>
        <v/>
      </c>
      <c r="K922" s="15">
        <f>IF(OR(J922="",$G$1279=0),"",J922/$G$1279*100)</f>
      </c>
      <c r="L922" s="12" t="str">
        <f>IF(C922-O922&gt;0,C922-O922,"")</f>
        <v/>
      </c>
      <c r="M922" s="14" t="str">
        <f>IF(L922="","",F922*L922)</f>
        <v/>
      </c>
      <c r="N922" s="15">
        <f>IF(OR(M922="",$G$1279=0),"",M922/$G$1279*100)</f>
      </c>
      <c r="O922" s="12">
        <v>5.11</v>
      </c>
      <c r="P922" s="14">
        <f>F922*O922</f>
        <v>307079.6757</v>
      </c>
      <c r="Q922" s="15">
        <f>IF($P$1279=0,0,P922/$P$1279*100)</f>
      </c>
      <c r="R922" s="10" t="str">
        <f>IF(O922=C922,"TETAP",IF(C922=0,"BARU",IF(O922=0,"HAPUS",IF(O922&gt;C922,"TAMBAH","KURANG"))))</f>
        <v>TETAP</v>
      </c>
    </row>
    <row r="923" spans="1:18" x14ac:dyDescent="0.25">
      <c r="A923" s="10" t="s">
        <v>264</v>
      </c>
      <c r="B923" s="18" t="s">
        <v>182</v>
      </c>
      <c r="C923" s="12">
        <v>5.11</v>
      </c>
      <c r="D923" s="12">
        <v>0</v>
      </c>
      <c r="E923" s="10" t="s">
        <v>26</v>
      </c>
      <c r="F923" s="14">
        <v>44344.2</v>
      </c>
      <c r="G923" s="14">
        <f>F923*C923</f>
        <v>226598.862</v>
      </c>
      <c r="H923" s="15">
        <f>IF($G$1279=0,0,G923/$G$1279*100)</f>
      </c>
      <c r="I923" s="12" t="str">
        <f>IF(O923-C923&gt;0,O923-C923,"")</f>
        <v/>
      </c>
      <c r="J923" s="14" t="str">
        <f>IF(I923="","",F923*I923)</f>
        <v/>
      </c>
      <c r="K923" s="15">
        <f>IF(OR(J923="",$G$1279=0),"",J923/$G$1279*100)</f>
      </c>
      <c r="L923" s="12" t="str">
        <f>IF(C923-O923&gt;0,C923-O923,"")</f>
        <v/>
      </c>
      <c r="M923" s="14" t="str">
        <f>IF(L923="","",F923*L923)</f>
        <v/>
      </c>
      <c r="N923" s="15">
        <f>IF(OR(M923="",$G$1279=0),"",M923/$G$1279*100)</f>
      </c>
      <c r="O923" s="12">
        <v>5.11</v>
      </c>
      <c r="P923" s="14">
        <f>F923*O923</f>
        <v>226598.862</v>
      </c>
      <c r="Q923" s="15">
        <f>IF($P$1279=0,0,P923/$P$1279*100)</f>
      </c>
      <c r="R923" s="10" t="str">
        <f>IF(O923=C923,"TETAP",IF(C923=0,"BARU",IF(O923=0,"HAPUS",IF(O923&gt;C923,"TAMBAH","KURANG"))))</f>
        <v>TETAP</v>
      </c>
    </row>
    <row r="924" spans="1:18" x14ac:dyDescent="0.25">
      <c r="A924" s="10" t="s">
        <v>265</v>
      </c>
      <c r="B924" s="18" t="s">
        <v>753</v>
      </c>
      <c r="C924" s="12">
        <v>1</v>
      </c>
      <c r="D924" s="12">
        <v>0</v>
      </c>
      <c r="E924" s="10" t="s">
        <v>119</v>
      </c>
      <c r="F924" s="14">
        <v>3284621.39</v>
      </c>
      <c r="G924" s="14">
        <f>F924*C924</f>
        <v>3284621.39</v>
      </c>
      <c r="H924" s="15">
        <f>IF($G$1279=0,0,G924/$G$1279*100)</f>
      </c>
      <c r="I924" s="12" t="str">
        <f>IF(O924-C924&gt;0,O924-C924,"")</f>
        <v/>
      </c>
      <c r="J924" s="14" t="str">
        <f>IF(I924="","",F924*I924)</f>
        <v/>
      </c>
      <c r="K924" s="15">
        <f>IF(OR(J924="",$G$1279=0),"",J924/$G$1279*100)</f>
      </c>
      <c r="L924" s="12" t="str">
        <f>IF(C924-O924&gt;0,C924-O924,"")</f>
        <v/>
      </c>
      <c r="M924" s="14" t="str">
        <f>IF(L924="","",F924*L924)</f>
        <v/>
      </c>
      <c r="N924" s="15">
        <f>IF(OR(M924="",$G$1279=0),"",M924/$G$1279*100)</f>
      </c>
      <c r="O924" s="12">
        <v>1</v>
      </c>
      <c r="P924" s="14">
        <f>F924*O924</f>
        <v>3284621.39</v>
      </c>
      <c r="Q924" s="15">
        <f>IF($P$1279=0,0,P924/$P$1279*100)</f>
      </c>
      <c r="R924" s="10" t="str">
        <f>IF(O924=C924,"TETAP",IF(C924=0,"BARU",IF(O924=0,"HAPUS",IF(O924&gt;C924,"TAMBAH","KURANG"))))</f>
        <v>TETAP</v>
      </c>
    </row>
    <row r="925" spans="1:18" x14ac:dyDescent="0.25">
      <c r="A925" s="5" t="s">
        <v>754</v>
      </c>
      <c r="B925" s="16" t="s">
        <v>755</v>
      </c>
      <c r="C925" s="7"/>
      <c r="D925" s="7"/>
      <c r="E925" s="5"/>
      <c r="F925" s="8"/>
      <c r="G925" s="8"/>
      <c r="H925" s="9"/>
      <c r="I925" s="7"/>
      <c r="J925" s="8"/>
      <c r="K925" s="9"/>
      <c r="L925" s="7"/>
      <c r="M925" s="8"/>
      <c r="N925" s="9"/>
      <c r="O925" s="7"/>
      <c r="P925" s="8"/>
      <c r="Q925" s="9"/>
      <c r="R925" s="5"/>
    </row>
    <row r="926" spans="1:18" x14ac:dyDescent="0.25">
      <c r="A926" s="10" t="s">
        <v>24</v>
      </c>
      <c r="B926" s="20" t="s">
        <v>756</v>
      </c>
      <c r="C926" s="12">
        <v>1</v>
      </c>
      <c r="D926" s="12">
        <v>0</v>
      </c>
      <c r="E926" s="10" t="s">
        <v>119</v>
      </c>
      <c r="F926" s="14">
        <v>63516626.67</v>
      </c>
      <c r="G926" s="14">
        <f>F926*C926</f>
        <v>63516626.67</v>
      </c>
      <c r="H926" s="15">
        <f>IF($G$1279=0,0,G926/$G$1279*100)</f>
      </c>
      <c r="I926" s="12" t="str">
        <f>IF(O926-C926&gt;0,O926-C926,"")</f>
        <v/>
      </c>
      <c r="J926" s="14" t="str">
        <f>IF(I926="","",F926*I926)</f>
        <v/>
      </c>
      <c r="K926" s="15">
        <f>IF(OR(J926="",$G$1279=0),"",J926/$G$1279*100)</f>
      </c>
      <c r="L926" s="12" t="str">
        <f>IF(C926-O926&gt;0,C926-O926,"")</f>
        <v/>
      </c>
      <c r="M926" s="14" t="str">
        <f>IF(L926="","",F926*L926)</f>
        <v/>
      </c>
      <c r="N926" s="15">
        <f>IF(OR(M926="",$G$1279=0),"",M926/$G$1279*100)</f>
      </c>
      <c r="O926" s="12">
        <v>1</v>
      </c>
      <c r="P926" s="14">
        <f>F926*O926</f>
        <v>63516626.67</v>
      </c>
      <c r="Q926" s="15">
        <f>IF($P$1279=0,0,P926/$P$1279*100)</f>
      </c>
      <c r="R926" s="10" t="str">
        <f>IF(O926=C926,"TETAP",IF(C926=0,"BARU",IF(O926=0,"HAPUS",IF(O926&gt;C926,"TAMBAH","KURANG"))))</f>
        <v>TETAP</v>
      </c>
    </row>
    <row r="927" spans="1:18" x14ac:dyDescent="0.25">
      <c r="A927" s="10" t="s">
        <v>27</v>
      </c>
      <c r="B927" s="20" t="s">
        <v>757</v>
      </c>
      <c r="C927" s="12">
        <v>1</v>
      </c>
      <c r="D927" s="12">
        <v>0</v>
      </c>
      <c r="E927" s="10" t="s">
        <v>119</v>
      </c>
      <c r="F927" s="14">
        <v>4028670.98</v>
      </c>
      <c r="G927" s="14">
        <f>F927*C927</f>
        <v>4028670.98</v>
      </c>
      <c r="H927" s="15">
        <f>IF($G$1279=0,0,G927/$G$1279*100)</f>
      </c>
      <c r="I927" s="12" t="str">
        <f>IF(O927-C927&gt;0,O927-C927,"")</f>
        <v/>
      </c>
      <c r="J927" s="14" t="str">
        <f>IF(I927="","",F927*I927)</f>
        <v/>
      </c>
      <c r="K927" s="15">
        <f>IF(OR(J927="",$G$1279=0),"",J927/$G$1279*100)</f>
      </c>
      <c r="L927" s="12" t="str">
        <f>IF(C927-O927&gt;0,C927-O927,"")</f>
        <v/>
      </c>
      <c r="M927" s="14" t="str">
        <f>IF(L927="","",F927*L927)</f>
        <v/>
      </c>
      <c r="N927" s="15">
        <f>IF(OR(M927="",$G$1279=0),"",M927/$G$1279*100)</f>
      </c>
      <c r="O927" s="12">
        <v>1</v>
      </c>
      <c r="P927" s="14">
        <f>F927*O927</f>
        <v>4028670.98</v>
      </c>
      <c r="Q927" s="15">
        <f>IF($P$1279=0,0,P927/$P$1279*100)</f>
      </c>
      <c r="R927" s="10" t="str">
        <f>IF(O927=C927,"TETAP",IF(C927=0,"BARU",IF(O927=0,"HAPUS",IF(O927&gt;C927,"TAMBAH","KURANG"))))</f>
        <v>TETAP</v>
      </c>
    </row>
    <row r="928" spans="1:18" x14ac:dyDescent="0.25">
      <c r="A928" s="10" t="s">
        <v>30</v>
      </c>
      <c r="B928" s="20" t="s">
        <v>758</v>
      </c>
      <c r="C928" s="12">
        <v>60</v>
      </c>
      <c r="D928" s="12">
        <v>0</v>
      </c>
      <c r="E928" s="10" t="s">
        <v>37</v>
      </c>
      <c r="F928" s="14">
        <v>34088.85</v>
      </c>
      <c r="G928" s="14">
        <f>F928*C928</f>
        <v>2045331</v>
      </c>
      <c r="H928" s="15">
        <f>IF($G$1279=0,0,G928/$G$1279*100)</f>
      </c>
      <c r="I928" s="12" t="str">
        <f>IF(O928-C928&gt;0,O928-C928,"")</f>
        <v/>
      </c>
      <c r="J928" s="14" t="str">
        <f>IF(I928="","",F928*I928)</f>
        <v/>
      </c>
      <c r="K928" s="15">
        <f>IF(OR(J928="",$G$1279=0),"",J928/$G$1279*100)</f>
      </c>
      <c r="L928" s="12" t="str">
        <f>IF(C928-O928&gt;0,C928-O928,"")</f>
        <v/>
      </c>
      <c r="M928" s="14" t="str">
        <f>IF(L928="","",F928*L928)</f>
        <v/>
      </c>
      <c r="N928" s="15">
        <f>IF(OR(M928="",$G$1279=0),"",M928/$G$1279*100)</f>
      </c>
      <c r="O928" s="12">
        <v>60</v>
      </c>
      <c r="P928" s="14">
        <f>F928*O928</f>
        <v>2045331</v>
      </c>
      <c r="Q928" s="15">
        <f>IF($P$1279=0,0,P928/$P$1279*100)</f>
      </c>
      <c r="R928" s="10" t="str">
        <f>IF(O928=C928,"TETAP",IF(C928=0,"BARU",IF(O928=0,"HAPUS",IF(O928&gt;C928,"TAMBAH","KURANG"))))</f>
        <v>TETAP</v>
      </c>
    </row>
    <row r="929" spans="1:18" x14ac:dyDescent="0.25">
      <c r="A929" s="10" t="s">
        <v>33</v>
      </c>
      <c r="B929" s="20" t="s">
        <v>759</v>
      </c>
      <c r="C929" s="12">
        <v>60</v>
      </c>
      <c r="D929" s="12">
        <v>0</v>
      </c>
      <c r="E929" s="10" t="s">
        <v>37</v>
      </c>
      <c r="F929" s="14">
        <v>48142.97</v>
      </c>
      <c r="G929" s="14">
        <f>F929*C929</f>
        <v>2888578.2</v>
      </c>
      <c r="H929" s="15">
        <f>IF($G$1279=0,0,G929/$G$1279*100)</f>
      </c>
      <c r="I929" s="12" t="str">
        <f>IF(O929-C929&gt;0,O929-C929,"")</f>
        <v/>
      </c>
      <c r="J929" s="14" t="str">
        <f>IF(I929="","",F929*I929)</f>
        <v/>
      </c>
      <c r="K929" s="15">
        <f>IF(OR(J929="",$G$1279=0),"",J929/$G$1279*100)</f>
      </c>
      <c r="L929" s="12" t="str">
        <f>IF(C929-O929&gt;0,C929-O929,"")</f>
        <v/>
      </c>
      <c r="M929" s="14" t="str">
        <f>IF(L929="","",F929*L929)</f>
        <v/>
      </c>
      <c r="N929" s="15">
        <f>IF(OR(M929="",$G$1279=0),"",M929/$G$1279*100)</f>
      </c>
      <c r="O929" s="12">
        <v>60</v>
      </c>
      <c r="P929" s="14">
        <f>F929*O929</f>
        <v>2888578.2</v>
      </c>
      <c r="Q929" s="15">
        <f>IF($P$1279=0,0,P929/$P$1279*100)</f>
      </c>
      <c r="R929" s="10" t="str">
        <f>IF(O929=C929,"TETAP",IF(C929=0,"BARU",IF(O929=0,"HAPUS",IF(O929&gt;C929,"TAMBAH","KURANG"))))</f>
        <v>TETAP</v>
      </c>
    </row>
    <row r="930" spans="1:18" x14ac:dyDescent="0.25">
      <c r="A930" s="10" t="s">
        <v>35</v>
      </c>
      <c r="B930" s="20" t="s">
        <v>760</v>
      </c>
      <c r="C930" s="12">
        <v>1</v>
      </c>
      <c r="D930" s="12">
        <v>0</v>
      </c>
      <c r="E930" s="10" t="s">
        <v>119</v>
      </c>
      <c r="F930" s="14">
        <v>4125807.85</v>
      </c>
      <c r="G930" s="14">
        <f>F930*C930</f>
        <v>4125807.85</v>
      </c>
      <c r="H930" s="15">
        <f>IF($G$1279=0,0,G930/$G$1279*100)</f>
      </c>
      <c r="I930" s="12" t="str">
        <f>IF(O930-C930&gt;0,O930-C930,"")</f>
        <v/>
      </c>
      <c r="J930" s="14" t="str">
        <f>IF(I930="","",F930*I930)</f>
        <v/>
      </c>
      <c r="K930" s="15">
        <f>IF(OR(J930="",$G$1279=0),"",J930/$G$1279*100)</f>
      </c>
      <c r="L930" s="12" t="str">
        <f>IF(C930-O930&gt;0,C930-O930,"")</f>
        <v/>
      </c>
      <c r="M930" s="14" t="str">
        <f>IF(L930="","",F930*L930)</f>
        <v/>
      </c>
      <c r="N930" s="15">
        <f>IF(OR(M930="",$G$1279=0),"",M930/$G$1279*100)</f>
      </c>
      <c r="O930" s="12">
        <v>1</v>
      </c>
      <c r="P930" s="14">
        <f>F930*O930</f>
        <v>4125807.85</v>
      </c>
      <c r="Q930" s="15">
        <f>IF($P$1279=0,0,P930/$P$1279*100)</f>
      </c>
      <c r="R930" s="10" t="str">
        <f>IF(O930=C930,"TETAP",IF(C930=0,"BARU",IF(O930=0,"HAPUS",IF(O930&gt;C930,"TAMBAH","KURANG"))))</f>
        <v>TETAP</v>
      </c>
    </row>
    <row r="931" spans="1:18" x14ac:dyDescent="0.25">
      <c r="A931" s="10" t="s">
        <v>38</v>
      </c>
      <c r="B931" s="20" t="s">
        <v>761</v>
      </c>
      <c r="C931" s="12">
        <v>60</v>
      </c>
      <c r="D931" s="12">
        <v>0</v>
      </c>
      <c r="E931" s="10" t="s">
        <v>37</v>
      </c>
      <c r="F931" s="14">
        <v>136783.06</v>
      </c>
      <c r="G931" s="14">
        <f>F931*C931</f>
        <v>8206983.6</v>
      </c>
      <c r="H931" s="15">
        <f>IF($G$1279=0,0,G931/$G$1279*100)</f>
      </c>
      <c r="I931" s="12" t="str">
        <f>IF(O931-C931&gt;0,O931-C931,"")</f>
        <v/>
      </c>
      <c r="J931" s="14" t="str">
        <f>IF(I931="","",F931*I931)</f>
        <v/>
      </c>
      <c r="K931" s="15">
        <f>IF(OR(J931="",$G$1279=0),"",J931/$G$1279*100)</f>
      </c>
      <c r="L931" s="12" t="str">
        <f>IF(C931-O931&gt;0,C931-O931,"")</f>
        <v/>
      </c>
      <c r="M931" s="14" t="str">
        <f>IF(L931="","",F931*L931)</f>
        <v/>
      </c>
      <c r="N931" s="15">
        <f>IF(OR(M931="",$G$1279=0),"",M931/$G$1279*100)</f>
      </c>
      <c r="O931" s="12">
        <v>60</v>
      </c>
      <c r="P931" s="14">
        <f>F931*O931</f>
        <v>8206983.6</v>
      </c>
      <c r="Q931" s="15">
        <f>IF($P$1279=0,0,P931/$P$1279*100)</f>
      </c>
      <c r="R931" s="10" t="str">
        <f>IF(O931=C931,"TETAP",IF(C931=0,"BARU",IF(O931=0,"HAPUS",IF(O931&gt;C931,"TAMBAH","KURANG"))))</f>
        <v>TETAP</v>
      </c>
    </row>
    <row r="932" spans="1:18" x14ac:dyDescent="0.25">
      <c r="A932" s="5" t="s">
        <v>762</v>
      </c>
      <c r="B932" s="6" t="s">
        <v>763</v>
      </c>
      <c r="C932" s="7"/>
      <c r="D932" s="7"/>
      <c r="E932" s="5"/>
      <c r="F932" s="8"/>
      <c r="G932" s="8"/>
      <c r="H932" s="9"/>
      <c r="I932" s="7"/>
      <c r="J932" s="8"/>
      <c r="K932" s="9"/>
      <c r="L932" s="7"/>
      <c r="M932" s="8"/>
      <c r="N932" s="9"/>
      <c r="O932" s="7"/>
      <c r="P932" s="8"/>
      <c r="Q932" s="9"/>
      <c r="R932" s="5"/>
    </row>
    <row r="933" spans="1:18" x14ac:dyDescent="0.25">
      <c r="A933" s="5" t="s">
        <v>764</v>
      </c>
      <c r="B933" s="16" t="s">
        <v>765</v>
      </c>
      <c r="C933" s="7"/>
      <c r="D933" s="7"/>
      <c r="E933" s="5"/>
      <c r="F933" s="8"/>
      <c r="G933" s="8"/>
      <c r="H933" s="9"/>
      <c r="I933" s="7"/>
      <c r="J933" s="8"/>
      <c r="K933" s="9"/>
      <c r="L933" s="7"/>
      <c r="M933" s="8"/>
      <c r="N933" s="9"/>
      <c r="O933" s="7"/>
      <c r="P933" s="8"/>
      <c r="Q933" s="9"/>
      <c r="R933" s="5"/>
    </row>
    <row r="934" spans="1:18" x14ac:dyDescent="0.25">
      <c r="A934" s="5" t="s">
        <v>24</v>
      </c>
      <c r="B934" s="17" t="s">
        <v>766</v>
      </c>
      <c r="C934" s="7"/>
      <c r="D934" s="7"/>
      <c r="E934" s="5"/>
      <c r="F934" s="8"/>
      <c r="G934" s="8"/>
      <c r="H934" s="9"/>
      <c r="I934" s="7"/>
      <c r="J934" s="8"/>
      <c r="K934" s="9"/>
      <c r="L934" s="7"/>
      <c r="M934" s="8"/>
      <c r="N934" s="9"/>
      <c r="O934" s="7"/>
      <c r="P934" s="8"/>
      <c r="Q934" s="9"/>
      <c r="R934" s="5"/>
    </row>
    <row r="935" spans="1:18" x14ac:dyDescent="0.25">
      <c r="A935" s="10" t="s">
        <v>157</v>
      </c>
      <c r="B935" s="18" t="s">
        <v>406</v>
      </c>
      <c r="C935" s="12">
        <v>10.37</v>
      </c>
      <c r="D935" s="12">
        <v>0</v>
      </c>
      <c r="E935" s="10" t="s">
        <v>159</v>
      </c>
      <c r="F935" s="14">
        <v>48730.7</v>
      </c>
      <c r="G935" s="14">
        <f>F935*C935</f>
        <v>505337.35899999994</v>
      </c>
      <c r="H935" s="15">
        <f>IF($G$1279=0,0,G935/$G$1279*100)</f>
      </c>
      <c r="I935" s="12" t="str">
        <f>IF(O935-C935&gt;0,O935-C935,"")</f>
        <v/>
      </c>
      <c r="J935" s="14" t="str">
        <f>IF(I935="","",F935*I935)</f>
        <v/>
      </c>
      <c r="K935" s="15">
        <f>IF(OR(J935="",$G$1279=0),"",J935/$G$1279*100)</f>
      </c>
      <c r="L935" s="12" t="str">
        <f>IF(C935-O935&gt;0,C935-O935,"")</f>
        <v/>
      </c>
      <c r="M935" s="14" t="str">
        <f>IF(L935="","",F935*L935)</f>
        <v/>
      </c>
      <c r="N935" s="15">
        <f>IF(OR(M935="",$G$1279=0),"",M935/$G$1279*100)</f>
      </c>
      <c r="O935" s="12">
        <v>10.37</v>
      </c>
      <c r="P935" s="14">
        <f>F935*O935</f>
        <v>505337.35899999994</v>
      </c>
      <c r="Q935" s="15">
        <f>IF($P$1279=0,0,P935/$P$1279*100)</f>
      </c>
      <c r="R935" s="10" t="str">
        <f>IF(O935=C935,"TETAP",IF(C935=0,"BARU",IF(O935=0,"HAPUS",IF(O935&gt;C935,"TAMBAH","KURANG"))))</f>
        <v>TETAP</v>
      </c>
    </row>
    <row r="936" spans="1:18" x14ac:dyDescent="0.25">
      <c r="A936" s="10" t="s">
        <v>160</v>
      </c>
      <c r="B936" s="18" t="s">
        <v>691</v>
      </c>
      <c r="C936" s="12">
        <v>0.58</v>
      </c>
      <c r="D936" s="12">
        <v>0</v>
      </c>
      <c r="E936" s="10" t="s">
        <v>159</v>
      </c>
      <c r="F936" s="14">
        <v>342654.98</v>
      </c>
      <c r="G936" s="14">
        <f>F936*C936</f>
        <v>198739.88839999997</v>
      </c>
      <c r="H936" s="15">
        <f>IF($G$1279=0,0,G936/$G$1279*100)</f>
      </c>
      <c r="I936" s="12" t="str">
        <f>IF(O936-C936&gt;0,O936-C936,"")</f>
        <v/>
      </c>
      <c r="J936" s="14" t="str">
        <f>IF(I936="","",F936*I936)</f>
        <v/>
      </c>
      <c r="K936" s="15">
        <f>IF(OR(J936="",$G$1279=0),"",J936/$G$1279*100)</f>
      </c>
      <c r="L936" s="12" t="str">
        <f>IF(C936-O936&gt;0,C936-O936,"")</f>
        <v/>
      </c>
      <c r="M936" s="14" t="str">
        <f>IF(L936="","",F936*L936)</f>
        <v/>
      </c>
      <c r="N936" s="15">
        <f>IF(OR(M936="",$G$1279=0),"",M936/$G$1279*100)</f>
      </c>
      <c r="O936" s="12">
        <v>0.58</v>
      </c>
      <c r="P936" s="14">
        <f>F936*O936</f>
        <v>198739.88839999997</v>
      </c>
      <c r="Q936" s="15">
        <f>IF($P$1279=0,0,P936/$P$1279*100)</f>
      </c>
      <c r="R936" s="10" t="str">
        <f>IF(O936=C936,"TETAP",IF(C936=0,"BARU",IF(O936=0,"HAPUS",IF(O936&gt;C936,"TAMBAH","KURANG"))))</f>
        <v>TETAP</v>
      </c>
    </row>
    <row r="937" spans="1:18" x14ac:dyDescent="0.25">
      <c r="A937" s="10" t="s">
        <v>162</v>
      </c>
      <c r="B937" s="18" t="s">
        <v>351</v>
      </c>
      <c r="C937" s="12">
        <v>0.35</v>
      </c>
      <c r="D937" s="12">
        <v>0</v>
      </c>
      <c r="E937" s="10" t="s">
        <v>159</v>
      </c>
      <c r="F937" s="14">
        <v>1243301.43</v>
      </c>
      <c r="G937" s="14">
        <f>F937*C937</f>
        <v>435155.50049999997</v>
      </c>
      <c r="H937" s="15">
        <f>IF($G$1279=0,0,G937/$G$1279*100)</f>
      </c>
      <c r="I937" s="12" t="str">
        <f>IF(O937-C937&gt;0,O937-C937,"")</f>
        <v/>
      </c>
      <c r="J937" s="14" t="str">
        <f>IF(I937="","",F937*I937)</f>
        <v/>
      </c>
      <c r="K937" s="15">
        <f>IF(OR(J937="",$G$1279=0),"",J937/$G$1279*100)</f>
      </c>
      <c r="L937" s="12" t="str">
        <f>IF(C937-O937&gt;0,C937-O937,"")</f>
        <v/>
      </c>
      <c r="M937" s="14" t="str">
        <f>IF(L937="","",F937*L937)</f>
        <v/>
      </c>
      <c r="N937" s="15">
        <f>IF(OR(M937="",$G$1279=0),"",M937/$G$1279*100)</f>
      </c>
      <c r="O937" s="12">
        <v>0.35</v>
      </c>
      <c r="P937" s="14">
        <f>F937*O937</f>
        <v>435155.50049999997</v>
      </c>
      <c r="Q937" s="15">
        <f>IF($P$1279=0,0,P937/$P$1279*100)</f>
      </c>
      <c r="R937" s="10" t="str">
        <f>IF(O937=C937,"TETAP",IF(C937=0,"BARU",IF(O937=0,"HAPUS",IF(O937&gt;C937,"TAMBAH","KURANG"))))</f>
        <v>TETAP</v>
      </c>
    </row>
    <row r="938" spans="1:18" x14ac:dyDescent="0.25">
      <c r="A938" s="10" t="s">
        <v>340</v>
      </c>
      <c r="B938" s="18" t="s">
        <v>767</v>
      </c>
      <c r="C938" s="12">
        <v>11.52</v>
      </c>
      <c r="D938" s="12">
        <v>0</v>
      </c>
      <c r="E938" s="10" t="s">
        <v>26</v>
      </c>
      <c r="F938" s="14">
        <v>184387.03</v>
      </c>
      <c r="G938" s="14">
        <f>F938*C938</f>
        <v>2124138.5856</v>
      </c>
      <c r="H938" s="15">
        <f>IF($G$1279=0,0,G938/$G$1279*100)</f>
      </c>
      <c r="I938" s="12" t="str">
        <f>IF(O938-C938&gt;0,O938-C938,"")</f>
        <v/>
      </c>
      <c r="J938" s="14" t="str">
        <f>IF(I938="","",F938*I938)</f>
        <v/>
      </c>
      <c r="K938" s="15">
        <f>IF(OR(J938="",$G$1279=0),"",J938/$G$1279*100)</f>
      </c>
      <c r="L938" s="12" t="str">
        <f>IF(C938-O938&gt;0,C938-O938,"")</f>
        <v/>
      </c>
      <c r="M938" s="14" t="str">
        <f>IF(L938="","",F938*L938)</f>
        <v/>
      </c>
      <c r="N938" s="15">
        <f>IF(OR(M938="",$G$1279=0),"",M938/$G$1279*100)</f>
      </c>
      <c r="O938" s="12">
        <v>11.52</v>
      </c>
      <c r="P938" s="14">
        <f>F938*O938</f>
        <v>2124138.5856</v>
      </c>
      <c r="Q938" s="15">
        <f>IF($P$1279=0,0,P938/$P$1279*100)</f>
      </c>
      <c r="R938" s="10" t="str">
        <f>IF(O938=C938,"TETAP",IF(C938=0,"BARU",IF(O938=0,"HAPUS",IF(O938&gt;C938,"TAMBAH","KURANG"))))</f>
        <v>TETAP</v>
      </c>
    </row>
    <row r="939" spans="1:18" x14ac:dyDescent="0.25">
      <c r="A939" s="10" t="s">
        <v>341</v>
      </c>
      <c r="B939" s="18" t="s">
        <v>768</v>
      </c>
      <c r="C939" s="12">
        <v>158.81</v>
      </c>
      <c r="D939" s="12">
        <v>0</v>
      </c>
      <c r="E939" s="10" t="s">
        <v>169</v>
      </c>
      <c r="F939" s="14">
        <v>19252.39</v>
      </c>
      <c r="G939" s="14">
        <f>F939*C939</f>
        <v>3057472.0559</v>
      </c>
      <c r="H939" s="15">
        <f>IF($G$1279=0,0,G939/$G$1279*100)</f>
      </c>
      <c r="I939" s="12" t="str">
        <f>IF(O939-C939&gt;0,O939-C939,"")</f>
        <v/>
      </c>
      <c r="J939" s="14" t="str">
        <f>IF(I939="","",F939*I939)</f>
        <v/>
      </c>
      <c r="K939" s="15">
        <f>IF(OR(J939="",$G$1279=0),"",J939/$G$1279*100)</f>
      </c>
      <c r="L939" s="12" t="str">
        <f>IF(C939-O939&gt;0,C939-O939,"")</f>
        <v/>
      </c>
      <c r="M939" s="14" t="str">
        <f>IF(L939="","",F939*L939)</f>
        <v/>
      </c>
      <c r="N939" s="15">
        <f>IF(OR(M939="",$G$1279=0),"",M939/$G$1279*100)</f>
      </c>
      <c r="O939" s="12">
        <v>158.81</v>
      </c>
      <c r="P939" s="14">
        <f>F939*O939</f>
        <v>3057472.0559</v>
      </c>
      <c r="Q939" s="15">
        <f>IF($P$1279=0,0,P939/$P$1279*100)</f>
      </c>
      <c r="R939" s="10" t="str">
        <f>IF(O939=C939,"TETAP",IF(C939=0,"BARU",IF(O939=0,"HAPUS",IF(O939&gt;C939,"TAMBAH","KURANG"))))</f>
        <v>TETAP</v>
      </c>
    </row>
    <row r="940" spans="1:18" x14ac:dyDescent="0.25">
      <c r="A940" s="10" t="s">
        <v>342</v>
      </c>
      <c r="B940" s="18" t="s">
        <v>374</v>
      </c>
      <c r="C940" s="12">
        <v>3.46</v>
      </c>
      <c r="D940" s="12">
        <v>0</v>
      </c>
      <c r="E940" s="10" t="s">
        <v>159</v>
      </c>
      <c r="F940" s="14">
        <v>1399567.05</v>
      </c>
      <c r="G940" s="14">
        <f>F940*C940</f>
        <v>4842501.993</v>
      </c>
      <c r="H940" s="15">
        <f>IF($G$1279=0,0,G940/$G$1279*100)</f>
      </c>
      <c r="I940" s="12" t="str">
        <f>IF(O940-C940&gt;0,O940-C940,"")</f>
        <v/>
      </c>
      <c r="J940" s="14" t="str">
        <f>IF(I940="","",F940*I940)</f>
        <v/>
      </c>
      <c r="K940" s="15">
        <f>IF(OR(J940="",$G$1279=0),"",J940/$G$1279*100)</f>
      </c>
      <c r="L940" s="12" t="str">
        <f>IF(C940-O940&gt;0,C940-O940,"")</f>
        <v/>
      </c>
      <c r="M940" s="14" t="str">
        <f>IF(L940="","",F940*L940)</f>
        <v/>
      </c>
      <c r="N940" s="15">
        <f>IF(OR(M940="",$G$1279=0),"",M940/$G$1279*100)</f>
      </c>
      <c r="O940" s="12">
        <v>3.46</v>
      </c>
      <c r="P940" s="14">
        <f>F940*O940</f>
        <v>4842501.993</v>
      </c>
      <c r="Q940" s="15">
        <f>IF($P$1279=0,0,P940/$P$1279*100)</f>
      </c>
      <c r="R940" s="10" t="str">
        <f>IF(O940=C940,"TETAP",IF(C940=0,"BARU",IF(O940=0,"HAPUS",IF(O940&gt;C940,"TAMBAH","KURANG"))))</f>
        <v>TETAP</v>
      </c>
    </row>
    <row r="941" spans="1:18" x14ac:dyDescent="0.25">
      <c r="A941" s="5" t="s">
        <v>27</v>
      </c>
      <c r="B941" s="17" t="s">
        <v>769</v>
      </c>
      <c r="C941" s="7"/>
      <c r="D941" s="7"/>
      <c r="E941" s="5"/>
      <c r="F941" s="8"/>
      <c r="G941" s="8"/>
      <c r="H941" s="9"/>
      <c r="I941" s="7"/>
      <c r="J941" s="8"/>
      <c r="K941" s="9"/>
      <c r="L941" s="7"/>
      <c r="M941" s="8"/>
      <c r="N941" s="9"/>
      <c r="O941" s="7"/>
      <c r="P941" s="8"/>
      <c r="Q941" s="9"/>
      <c r="R941" s="5"/>
    </row>
    <row r="942" spans="1:18" x14ac:dyDescent="0.25">
      <c r="A942" s="10" t="s">
        <v>165</v>
      </c>
      <c r="B942" s="18" t="s">
        <v>371</v>
      </c>
      <c r="C942" s="12">
        <v>11.2</v>
      </c>
      <c r="D942" s="12">
        <v>0</v>
      </c>
      <c r="E942" s="10" t="s">
        <v>26</v>
      </c>
      <c r="F942" s="14">
        <v>229284.3</v>
      </c>
      <c r="G942" s="14">
        <f>F942*C942</f>
        <v>2567984.1599999997</v>
      </c>
      <c r="H942" s="15">
        <f>IF($G$1279=0,0,G942/$G$1279*100)</f>
      </c>
      <c r="I942" s="12" t="str">
        <f>IF(O942-C942&gt;0,O942-C942,"")</f>
        <v/>
      </c>
      <c r="J942" s="14" t="str">
        <f>IF(I942="","",F942*I942)</f>
        <v/>
      </c>
      <c r="K942" s="15">
        <f>IF(OR(J942="",$G$1279=0),"",J942/$G$1279*100)</f>
      </c>
      <c r="L942" s="12" t="str">
        <f>IF(C942-O942&gt;0,C942-O942,"")</f>
        <v/>
      </c>
      <c r="M942" s="14" t="str">
        <f>IF(L942="","",F942*L942)</f>
        <v/>
      </c>
      <c r="N942" s="15">
        <f>IF(OR(M942="",$G$1279=0),"",M942/$G$1279*100)</f>
      </c>
      <c r="O942" s="12">
        <v>11.2</v>
      </c>
      <c r="P942" s="14">
        <f>F942*O942</f>
        <v>2567984.1599999997</v>
      </c>
      <c r="Q942" s="15">
        <f>IF($P$1279=0,0,P942/$P$1279*100)</f>
      </c>
      <c r="R942" s="10" t="str">
        <f>IF(O942=C942,"TETAP",IF(C942=0,"BARU",IF(O942=0,"HAPUS",IF(O942&gt;C942,"TAMBAH","KURANG"))))</f>
        <v>TETAP</v>
      </c>
    </row>
    <row r="943" spans="1:18" x14ac:dyDescent="0.25">
      <c r="A943" s="10" t="s">
        <v>167</v>
      </c>
      <c r="B943" s="18" t="s">
        <v>770</v>
      </c>
      <c r="C943" s="12">
        <v>36.5</v>
      </c>
      <c r="D943" s="12">
        <v>0</v>
      </c>
      <c r="E943" s="10" t="s">
        <v>169</v>
      </c>
      <c r="F943" s="14">
        <v>19252.39</v>
      </c>
      <c r="G943" s="14">
        <f>F943*C943</f>
        <v>702712.235</v>
      </c>
      <c r="H943" s="15">
        <f>IF($G$1279=0,0,G943/$G$1279*100)</f>
      </c>
      <c r="I943" s="12" t="str">
        <f>IF(O943-C943&gt;0,O943-C943,"")</f>
        <v/>
      </c>
      <c r="J943" s="14" t="str">
        <f>IF(I943="","",F943*I943)</f>
        <v/>
      </c>
      <c r="K943" s="15">
        <f>IF(OR(J943="",$G$1279=0),"",J943/$G$1279*100)</f>
      </c>
      <c r="L943" s="12" t="str">
        <f>IF(C943-O943&gt;0,C943-O943,"")</f>
        <v/>
      </c>
      <c r="M943" s="14" t="str">
        <f>IF(L943="","",F943*L943)</f>
        <v/>
      </c>
      <c r="N943" s="15">
        <f>IF(OR(M943="",$G$1279=0),"",M943/$G$1279*100)</f>
      </c>
      <c r="O943" s="12">
        <v>36.5</v>
      </c>
      <c r="P943" s="14">
        <f>F943*O943</f>
        <v>702712.235</v>
      </c>
      <c r="Q943" s="15">
        <f>IF($P$1279=0,0,P943/$P$1279*100)</f>
      </c>
      <c r="R943" s="10" t="str">
        <f>IF(O943=C943,"TETAP",IF(C943=0,"BARU",IF(O943=0,"HAPUS",IF(O943&gt;C943,"TAMBAH","KURANG"))))</f>
        <v>TETAP</v>
      </c>
    </row>
    <row r="944" spans="1:18" x14ac:dyDescent="0.25">
      <c r="A944" s="10" t="s">
        <v>170</v>
      </c>
      <c r="B944" s="18" t="s">
        <v>771</v>
      </c>
      <c r="C944" s="12">
        <v>23.67</v>
      </c>
      <c r="D944" s="12">
        <v>0</v>
      </c>
      <c r="E944" s="10" t="s">
        <v>169</v>
      </c>
      <c r="F944" s="14">
        <v>19252.39</v>
      </c>
      <c r="G944" s="14">
        <f>F944*C944</f>
        <v>455704.0713</v>
      </c>
      <c r="H944" s="15">
        <f>IF($G$1279=0,0,G944/$G$1279*100)</f>
      </c>
      <c r="I944" s="12" t="str">
        <f>IF(O944-C944&gt;0,O944-C944,"")</f>
        <v/>
      </c>
      <c r="J944" s="14" t="str">
        <f>IF(I944="","",F944*I944)</f>
        <v/>
      </c>
      <c r="K944" s="15">
        <f>IF(OR(J944="",$G$1279=0),"",J944/$G$1279*100)</f>
      </c>
      <c r="L944" s="12" t="str">
        <f>IF(C944-O944&gt;0,C944-O944,"")</f>
        <v/>
      </c>
      <c r="M944" s="14" t="str">
        <f>IF(L944="","",F944*L944)</f>
        <v/>
      </c>
      <c r="N944" s="15">
        <f>IF(OR(M944="",$G$1279=0),"",M944/$G$1279*100)</f>
      </c>
      <c r="O944" s="12">
        <v>23.67</v>
      </c>
      <c r="P944" s="14">
        <f>F944*O944</f>
        <v>455704.0713</v>
      </c>
      <c r="Q944" s="15">
        <f>IF($P$1279=0,0,P944/$P$1279*100)</f>
      </c>
      <c r="R944" s="10" t="str">
        <f>IF(O944=C944,"TETAP",IF(C944=0,"BARU",IF(O944=0,"HAPUS",IF(O944&gt;C944,"TAMBAH","KURANG"))))</f>
        <v>TETAP</v>
      </c>
    </row>
    <row r="945" spans="1:18" x14ac:dyDescent="0.25">
      <c r="A945" s="10" t="s">
        <v>172</v>
      </c>
      <c r="B945" s="18" t="s">
        <v>374</v>
      </c>
      <c r="C945" s="12">
        <v>1.4</v>
      </c>
      <c r="D945" s="12">
        <v>0</v>
      </c>
      <c r="E945" s="10" t="s">
        <v>159</v>
      </c>
      <c r="F945" s="14">
        <v>1399567.05</v>
      </c>
      <c r="G945" s="14">
        <f>F945*C945</f>
        <v>1959393.8699999999</v>
      </c>
      <c r="H945" s="15">
        <f>IF($G$1279=0,0,G945/$G$1279*100)</f>
      </c>
      <c r="I945" s="12" t="str">
        <f>IF(O945-C945&gt;0,O945-C945,"")</f>
        <v/>
      </c>
      <c r="J945" s="14" t="str">
        <f>IF(I945="","",F945*I945)</f>
        <v/>
      </c>
      <c r="K945" s="15">
        <f>IF(OR(J945="",$G$1279=0),"",J945/$G$1279*100)</f>
      </c>
      <c r="L945" s="12" t="str">
        <f>IF(C945-O945&gt;0,C945-O945,"")</f>
        <v/>
      </c>
      <c r="M945" s="14" t="str">
        <f>IF(L945="","",F945*L945)</f>
        <v/>
      </c>
      <c r="N945" s="15">
        <f>IF(OR(M945="",$G$1279=0),"",M945/$G$1279*100)</f>
      </c>
      <c r="O945" s="12">
        <v>1.4</v>
      </c>
      <c r="P945" s="14">
        <f>F945*O945</f>
        <v>1959393.8699999999</v>
      </c>
      <c r="Q945" s="15">
        <f>IF($P$1279=0,0,P945/$P$1279*100)</f>
      </c>
      <c r="R945" s="10" t="str">
        <f>IF(O945=C945,"TETAP",IF(C945=0,"BARU",IF(O945=0,"HAPUS",IF(O945&gt;C945,"TAMBAH","KURANG"))))</f>
        <v>TETAP</v>
      </c>
    </row>
    <row r="946" spans="1:18" x14ac:dyDescent="0.25">
      <c r="A946" s="10" t="s">
        <v>30</v>
      </c>
      <c r="B946" s="20" t="s">
        <v>772</v>
      </c>
      <c r="C946" s="12">
        <v>3</v>
      </c>
      <c r="D946" s="12">
        <v>0</v>
      </c>
      <c r="E946" s="10" t="s">
        <v>119</v>
      </c>
      <c r="F946" s="14">
        <v>10089592.25</v>
      </c>
      <c r="G946" s="14">
        <f>F946*C946</f>
        <v>30268776.75</v>
      </c>
      <c r="H946" s="15">
        <f>IF($G$1279=0,0,G946/$G$1279*100)</f>
      </c>
      <c r="I946" s="12" t="str">
        <f>IF(O946-C946&gt;0,O946-C946,"")</f>
        <v/>
      </c>
      <c r="J946" s="14" t="str">
        <f>IF(I946="","",F946*I946)</f>
        <v/>
      </c>
      <c r="K946" s="15">
        <f>IF(OR(J946="",$G$1279=0),"",J946/$G$1279*100)</f>
      </c>
      <c r="L946" s="12" t="str">
        <f>IF(C946-O946&gt;0,C946-O946,"")</f>
        <v/>
      </c>
      <c r="M946" s="14" t="str">
        <f>IF(L946="","",F946*L946)</f>
        <v/>
      </c>
      <c r="N946" s="15">
        <f>IF(OR(M946="",$G$1279=0),"",M946/$G$1279*100)</f>
      </c>
      <c r="O946" s="12">
        <v>3</v>
      </c>
      <c r="P946" s="14">
        <f>F946*O946</f>
        <v>30268776.75</v>
      </c>
      <c r="Q946" s="15">
        <f>IF($P$1279=0,0,P946/$P$1279*100)</f>
      </c>
      <c r="R946" s="10" t="str">
        <f>IF(O946=C946,"TETAP",IF(C946=0,"BARU",IF(O946=0,"HAPUS",IF(O946&gt;C946,"TAMBAH","KURANG"))))</f>
        <v>TETAP</v>
      </c>
    </row>
    <row r="947" spans="1:18" x14ac:dyDescent="0.25">
      <c r="A947" s="10" t="s">
        <v>33</v>
      </c>
      <c r="B947" s="20" t="s">
        <v>773</v>
      </c>
      <c r="C947" s="12">
        <v>5</v>
      </c>
      <c r="D947" s="12">
        <v>0</v>
      </c>
      <c r="E947" s="10" t="s">
        <v>119</v>
      </c>
      <c r="F947" s="14">
        <v>6054735.41</v>
      </c>
      <c r="G947" s="14">
        <f>F947*C947</f>
        <v>30273677.05</v>
      </c>
      <c r="H947" s="15">
        <f>IF($G$1279=0,0,G947/$G$1279*100)</f>
      </c>
      <c r="I947" s="12" t="str">
        <f>IF(O947-C947&gt;0,O947-C947,"")</f>
        <v/>
      </c>
      <c r="J947" s="14" t="str">
        <f>IF(I947="","",F947*I947)</f>
        <v/>
      </c>
      <c r="K947" s="15">
        <f>IF(OR(J947="",$G$1279=0),"",J947/$G$1279*100)</f>
      </c>
      <c r="L947" s="12" t="str">
        <f>IF(C947-O947&gt;0,C947-O947,"")</f>
        <v/>
      </c>
      <c r="M947" s="14" t="str">
        <f>IF(L947="","",F947*L947)</f>
        <v/>
      </c>
      <c r="N947" s="15">
        <f>IF(OR(M947="",$G$1279=0),"",M947/$G$1279*100)</f>
      </c>
      <c r="O947" s="12">
        <v>5</v>
      </c>
      <c r="P947" s="14">
        <f>F947*O947</f>
        <v>30273677.05</v>
      </c>
      <c r="Q947" s="15">
        <f>IF($P$1279=0,0,P947/$P$1279*100)</f>
      </c>
      <c r="R947" s="10" t="str">
        <f>IF(O947=C947,"TETAP",IF(C947=0,"BARU",IF(O947=0,"HAPUS",IF(O947&gt;C947,"TAMBAH","KURANG"))))</f>
        <v>TETAP</v>
      </c>
    </row>
    <row r="948" spans="1:18" x14ac:dyDescent="0.25">
      <c r="A948" s="10" t="s">
        <v>35</v>
      </c>
      <c r="B948" s="20" t="s">
        <v>774</v>
      </c>
      <c r="C948" s="12">
        <v>8</v>
      </c>
      <c r="D948" s="12">
        <v>0</v>
      </c>
      <c r="E948" s="10" t="s">
        <v>119</v>
      </c>
      <c r="F948" s="14">
        <v>10227324.86</v>
      </c>
      <c r="G948" s="14">
        <f>F948*C948</f>
        <v>81818598.88</v>
      </c>
      <c r="H948" s="15">
        <f>IF($G$1279=0,0,G948/$G$1279*100)</f>
      </c>
      <c r="I948" s="12" t="str">
        <f>IF(O948-C948&gt;0,O948-C948,"")</f>
        <v/>
      </c>
      <c r="J948" s="14" t="str">
        <f>IF(I948="","",F948*I948)</f>
        <v/>
      </c>
      <c r="K948" s="15">
        <f>IF(OR(J948="",$G$1279=0),"",J948/$G$1279*100)</f>
      </c>
      <c r="L948" s="12" t="str">
        <f>IF(C948-O948&gt;0,C948-O948,"")</f>
        <v/>
      </c>
      <c r="M948" s="14" t="str">
        <f>IF(L948="","",F948*L948)</f>
        <v/>
      </c>
      <c r="N948" s="15">
        <f>IF(OR(M948="",$G$1279=0),"",M948/$G$1279*100)</f>
      </c>
      <c r="O948" s="12">
        <v>8</v>
      </c>
      <c r="P948" s="14">
        <f>F948*O948</f>
        <v>81818598.88</v>
      </c>
      <c r="Q948" s="15">
        <f>IF($P$1279=0,0,P948/$P$1279*100)</f>
      </c>
      <c r="R948" s="10" t="str">
        <f>IF(O948=C948,"TETAP",IF(C948=0,"BARU",IF(O948=0,"HAPUS",IF(O948&gt;C948,"TAMBAH","KURANG"))))</f>
        <v>TETAP</v>
      </c>
    </row>
    <row r="949" spans="1:18" x14ac:dyDescent="0.25">
      <c r="A949" s="10" t="s">
        <v>38</v>
      </c>
      <c r="B949" s="20" t="s">
        <v>775</v>
      </c>
      <c r="C949" s="12">
        <v>16</v>
      </c>
      <c r="D949" s="12">
        <v>0</v>
      </c>
      <c r="E949" s="10" t="s">
        <v>119</v>
      </c>
      <c r="F949" s="14">
        <v>731216.69</v>
      </c>
      <c r="G949" s="14">
        <f>F949*C949</f>
        <v>11699467.04</v>
      </c>
      <c r="H949" s="15">
        <f>IF($G$1279=0,0,G949/$G$1279*100)</f>
      </c>
      <c r="I949" s="12" t="str">
        <f>IF(O949-C949&gt;0,O949-C949,"")</f>
        <v/>
      </c>
      <c r="J949" s="14" t="str">
        <f>IF(I949="","",F949*I949)</f>
        <v/>
      </c>
      <c r="K949" s="15">
        <f>IF(OR(J949="",$G$1279=0),"",J949/$G$1279*100)</f>
      </c>
      <c r="L949" s="12" t="str">
        <f>IF(C949-O949&gt;0,C949-O949,"")</f>
        <v/>
      </c>
      <c r="M949" s="14" t="str">
        <f>IF(L949="","",F949*L949)</f>
        <v/>
      </c>
      <c r="N949" s="15">
        <f>IF(OR(M949="",$G$1279=0),"",M949/$G$1279*100)</f>
      </c>
      <c r="O949" s="12">
        <v>16</v>
      </c>
      <c r="P949" s="14">
        <f>F949*O949</f>
        <v>11699467.04</v>
      </c>
      <c r="Q949" s="15">
        <f>IF($P$1279=0,0,P949/$P$1279*100)</f>
      </c>
      <c r="R949" s="10" t="str">
        <f>IF(O949=C949,"TETAP",IF(C949=0,"BARU",IF(O949=0,"HAPUS",IF(O949&gt;C949,"TAMBAH","KURANG"))))</f>
        <v>TETAP</v>
      </c>
    </row>
    <row r="950" spans="1:18" x14ac:dyDescent="0.25">
      <c r="A950" s="5" t="s">
        <v>776</v>
      </c>
      <c r="B950" s="16" t="s">
        <v>425</v>
      </c>
      <c r="C950" s="7"/>
      <c r="D950" s="7"/>
      <c r="E950" s="5"/>
      <c r="F950" s="8"/>
      <c r="G950" s="8"/>
      <c r="H950" s="9"/>
      <c r="I950" s="7"/>
      <c r="J950" s="8"/>
      <c r="K950" s="9"/>
      <c r="L950" s="7"/>
      <c r="M950" s="8"/>
      <c r="N950" s="9"/>
      <c r="O950" s="7"/>
      <c r="P950" s="8"/>
      <c r="Q950" s="9"/>
      <c r="R950" s="5"/>
    </row>
    <row r="951" spans="1:18" x14ac:dyDescent="0.25">
      <c r="A951" s="10" t="s">
        <v>24</v>
      </c>
      <c r="B951" s="20" t="s">
        <v>777</v>
      </c>
      <c r="C951" s="12">
        <v>1</v>
      </c>
      <c r="D951" s="12">
        <v>0</v>
      </c>
      <c r="E951" s="10" t="s">
        <v>119</v>
      </c>
      <c r="F951" s="14">
        <v>2494999.75</v>
      </c>
      <c r="G951" s="14">
        <f>F951*C951</f>
        <v>2494999.75</v>
      </c>
      <c r="H951" s="15">
        <f>IF($G$1279=0,0,G951/$G$1279*100)</f>
      </c>
      <c r="I951" s="12" t="str">
        <f>IF(O951-C951&gt;0,O951-C951,"")</f>
        <v/>
      </c>
      <c r="J951" s="14" t="str">
        <f>IF(I951="","",F951*I951)</f>
        <v/>
      </c>
      <c r="K951" s="15">
        <f>IF(OR(J951="",$G$1279=0),"",J951/$G$1279*100)</f>
      </c>
      <c r="L951" s="12" t="str">
        <f>IF(C951-O951&gt;0,C951-O951,"")</f>
        <v/>
      </c>
      <c r="M951" s="14" t="str">
        <f>IF(L951="","",F951*L951)</f>
        <v/>
      </c>
      <c r="N951" s="15">
        <f>IF(OR(M951="",$G$1279=0),"",M951/$G$1279*100)</f>
      </c>
      <c r="O951" s="12">
        <v>1</v>
      </c>
      <c r="P951" s="14">
        <f>F951*O951</f>
        <v>2494999.75</v>
      </c>
      <c r="Q951" s="15">
        <f>IF($P$1279=0,0,P951/$P$1279*100)</f>
      </c>
      <c r="R951" s="10" t="str">
        <f>IF(O951=C951,"TETAP",IF(C951=0,"BARU",IF(O951=0,"HAPUS",IF(O951&gt;C951,"TAMBAH","KURANG"))))</f>
        <v>TETAP</v>
      </c>
    </row>
    <row r="952" spans="1:18" x14ac:dyDescent="0.25">
      <c r="A952" s="10" t="s">
        <v>27</v>
      </c>
      <c r="B952" s="20" t="s">
        <v>778</v>
      </c>
      <c r="C952" s="12">
        <v>1</v>
      </c>
      <c r="D952" s="12">
        <v>0</v>
      </c>
      <c r="E952" s="10" t="s">
        <v>119</v>
      </c>
      <c r="F952" s="14">
        <v>1482674.77</v>
      </c>
      <c r="G952" s="14">
        <f>F952*C952</f>
        <v>1482674.77</v>
      </c>
      <c r="H952" s="15">
        <f>IF($G$1279=0,0,G952/$G$1279*100)</f>
      </c>
      <c r="I952" s="12" t="str">
        <f>IF(O952-C952&gt;0,O952-C952,"")</f>
        <v/>
      </c>
      <c r="J952" s="14" t="str">
        <f>IF(I952="","",F952*I952)</f>
        <v/>
      </c>
      <c r="K952" s="15">
        <f>IF(OR(J952="",$G$1279=0),"",J952/$G$1279*100)</f>
      </c>
      <c r="L952" s="12" t="str">
        <f>IF(C952-O952&gt;0,C952-O952,"")</f>
        <v/>
      </c>
      <c r="M952" s="14" t="str">
        <f>IF(L952="","",F952*L952)</f>
        <v/>
      </c>
      <c r="N952" s="15">
        <f>IF(OR(M952="",$G$1279=0),"",M952/$G$1279*100)</f>
      </c>
      <c r="O952" s="12">
        <v>1</v>
      </c>
      <c r="P952" s="14">
        <f>F952*O952</f>
        <v>1482674.77</v>
      </c>
      <c r="Q952" s="15">
        <f>IF($P$1279=0,0,P952/$P$1279*100)</f>
      </c>
      <c r="R952" s="10" t="str">
        <f>IF(O952=C952,"TETAP",IF(C952=0,"BARU",IF(O952=0,"HAPUS",IF(O952&gt;C952,"TAMBAH","KURANG"))))</f>
        <v>TETAP</v>
      </c>
    </row>
    <row r="953" spans="1:18" x14ac:dyDescent="0.25">
      <c r="A953" s="10" t="s">
        <v>30</v>
      </c>
      <c r="B953" s="20" t="s">
        <v>779</v>
      </c>
      <c r="C953" s="12">
        <v>16</v>
      </c>
      <c r="D953" s="12">
        <v>0</v>
      </c>
      <c r="E953" s="10" t="s">
        <v>114</v>
      </c>
      <c r="F953" s="14">
        <v>797147.82</v>
      </c>
      <c r="G953" s="14">
        <f>F953*C953</f>
        <v>12754365.12</v>
      </c>
      <c r="H953" s="15">
        <f>IF($G$1279=0,0,G953/$G$1279*100)</f>
      </c>
      <c r="I953" s="12" t="str">
        <f>IF(O953-C953&gt;0,O953-C953,"")</f>
        <v/>
      </c>
      <c r="J953" s="14" t="str">
        <f>IF(I953="","",F953*I953)</f>
        <v/>
      </c>
      <c r="K953" s="15">
        <f>IF(OR(J953="",$G$1279=0),"",J953/$G$1279*100)</f>
      </c>
      <c r="L953" s="12" t="str">
        <f>IF(C953-O953&gt;0,C953-O953,"")</f>
        <v/>
      </c>
      <c r="M953" s="14" t="str">
        <f>IF(L953="","",F953*L953)</f>
        <v/>
      </c>
      <c r="N953" s="15">
        <f>IF(OR(M953="",$G$1279=0),"",M953/$G$1279*100)</f>
      </c>
      <c r="O953" s="12">
        <v>16</v>
      </c>
      <c r="P953" s="14">
        <f>F953*O953</f>
        <v>12754365.12</v>
      </c>
      <c r="Q953" s="15">
        <f>IF($P$1279=0,0,P953/$P$1279*100)</f>
      </c>
      <c r="R953" s="10" t="str">
        <f>IF(O953=C953,"TETAP",IF(C953=0,"BARU",IF(O953=0,"HAPUS",IF(O953&gt;C953,"TAMBAH","KURANG"))))</f>
        <v>TETAP</v>
      </c>
    </row>
    <row r="954" spans="1:18" x14ac:dyDescent="0.25">
      <c r="A954" s="10" t="s">
        <v>33</v>
      </c>
      <c r="B954" s="20" t="s">
        <v>780</v>
      </c>
      <c r="C954" s="12">
        <v>747.6</v>
      </c>
      <c r="D954" s="12">
        <v>0</v>
      </c>
      <c r="E954" s="10" t="s">
        <v>781</v>
      </c>
      <c r="F954" s="14">
        <v>243144.74</v>
      </c>
      <c r="G954" s="14">
        <f>F954*C954</f>
        <v>181775007.624</v>
      </c>
      <c r="H954" s="15">
        <f>IF($G$1279=0,0,G954/$G$1279*100)</f>
      </c>
      <c r="I954" s="12" t="str">
        <f>IF(O954-C954&gt;0,O954-C954,"")</f>
        <v/>
      </c>
      <c r="J954" s="14" t="str">
        <f>IF(I954="","",F954*I954)</f>
        <v/>
      </c>
      <c r="K954" s="15">
        <f>IF(OR(J954="",$G$1279=0),"",J954/$G$1279*100)</f>
      </c>
      <c r="L954" s="12" t="str">
        <f>IF(C954-O954&gt;0,C954-O954,"")</f>
        <v/>
      </c>
      <c r="M954" s="14" t="str">
        <f>IF(L954="","",F954*L954)</f>
        <v/>
      </c>
      <c r="N954" s="15">
        <f>IF(OR(M954="",$G$1279=0),"",M954/$G$1279*100)</f>
      </c>
      <c r="O954" s="12">
        <v>747.6</v>
      </c>
      <c r="P954" s="14">
        <f>F954*O954</f>
        <v>181775007.624</v>
      </c>
      <c r="Q954" s="15">
        <f>IF($P$1279=0,0,P954/$P$1279*100)</f>
      </c>
      <c r="R954" s="10" t="str">
        <f>IF(O954=C954,"TETAP",IF(C954=0,"BARU",IF(O954=0,"HAPUS",IF(O954&gt;C954,"TAMBAH","KURANG"))))</f>
        <v>TETAP</v>
      </c>
    </row>
    <row r="955" spans="1:18" x14ac:dyDescent="0.25">
      <c r="A955" s="10" t="s">
        <v>35</v>
      </c>
      <c r="B955" s="20" t="s">
        <v>782</v>
      </c>
      <c r="C955" s="12">
        <v>22.6</v>
      </c>
      <c r="D955" s="12">
        <v>0</v>
      </c>
      <c r="E955" s="10" t="s">
        <v>781</v>
      </c>
      <c r="F955" s="14">
        <v>283912.15</v>
      </c>
      <c r="G955" s="14">
        <f>F955*C955</f>
        <v>6416414.590000001</v>
      </c>
      <c r="H955" s="15">
        <f>IF($G$1279=0,0,G955/$G$1279*100)</f>
      </c>
      <c r="I955" s="12" t="str">
        <f>IF(O955-C955&gt;0,O955-C955,"")</f>
        <v/>
      </c>
      <c r="J955" s="14" t="str">
        <f>IF(I955="","",F955*I955)</f>
        <v/>
      </c>
      <c r="K955" s="15">
        <f>IF(OR(J955="",$G$1279=0),"",J955/$G$1279*100)</f>
      </c>
      <c r="L955" s="12" t="str">
        <f>IF(C955-O955&gt;0,C955-O955,"")</f>
        <v/>
      </c>
      <c r="M955" s="14" t="str">
        <f>IF(L955="","",F955*L955)</f>
        <v/>
      </c>
      <c r="N955" s="15">
        <f>IF(OR(M955="",$G$1279=0),"",M955/$G$1279*100)</f>
      </c>
      <c r="O955" s="12">
        <v>22.6</v>
      </c>
      <c r="P955" s="14">
        <f>F955*O955</f>
        <v>6416414.590000001</v>
      </c>
      <c r="Q955" s="15">
        <f>IF($P$1279=0,0,P955/$P$1279*100)</f>
      </c>
      <c r="R955" s="10" t="str">
        <f>IF(O955=C955,"TETAP",IF(C955=0,"BARU",IF(O955=0,"HAPUS",IF(O955&gt;C955,"TAMBAH","KURANG"))))</f>
        <v>TETAP</v>
      </c>
    </row>
    <row r="956" spans="1:18" x14ac:dyDescent="0.25">
      <c r="A956" s="10" t="s">
        <v>38</v>
      </c>
      <c r="B956" s="20" t="s">
        <v>783</v>
      </c>
      <c r="C956" s="12">
        <v>747.6</v>
      </c>
      <c r="D956" s="12">
        <v>0</v>
      </c>
      <c r="E956" s="10" t="s">
        <v>781</v>
      </c>
      <c r="F956" s="14">
        <v>37887.68</v>
      </c>
      <c r="G956" s="14">
        <f>F956*C956</f>
        <v>28324829.568</v>
      </c>
      <c r="H956" s="15">
        <f>IF($G$1279=0,0,G956/$G$1279*100)</f>
      </c>
      <c r="I956" s="12" t="str">
        <f>IF(O956-C956&gt;0,O956-C956,"")</f>
        <v/>
      </c>
      <c r="J956" s="14" t="str">
        <f>IF(I956="","",F956*I956)</f>
        <v/>
      </c>
      <c r="K956" s="15">
        <f>IF(OR(J956="",$G$1279=0),"",J956/$G$1279*100)</f>
      </c>
      <c r="L956" s="12" t="str">
        <f>IF(C956-O956&gt;0,C956-O956,"")</f>
        <v/>
      </c>
      <c r="M956" s="14" t="str">
        <f>IF(L956="","",F956*L956)</f>
        <v/>
      </c>
      <c r="N956" s="15">
        <f>IF(OR(M956="",$G$1279=0),"",M956/$G$1279*100)</f>
      </c>
      <c r="O956" s="12">
        <v>747.6</v>
      </c>
      <c r="P956" s="14">
        <f>F956*O956</f>
        <v>28324829.568</v>
      </c>
      <c r="Q956" s="15">
        <f>IF($P$1279=0,0,P956/$P$1279*100)</f>
      </c>
      <c r="R956" s="10" t="str">
        <f>IF(O956=C956,"TETAP",IF(C956=0,"BARU",IF(O956=0,"HAPUS",IF(O956&gt;C956,"TAMBAH","KURANG"))))</f>
        <v>TETAP</v>
      </c>
    </row>
    <row r="957" spans="1:18" x14ac:dyDescent="0.25">
      <c r="A957" s="10" t="s">
        <v>108</v>
      </c>
      <c r="B957" s="20" t="s">
        <v>784</v>
      </c>
      <c r="C957" s="12">
        <v>26.88</v>
      </c>
      <c r="D957" s="12">
        <v>0</v>
      </c>
      <c r="E957" s="10" t="s">
        <v>159</v>
      </c>
      <c r="F957" s="14">
        <v>48730.7</v>
      </c>
      <c r="G957" s="14">
        <f>F957*C957</f>
        <v>1309881.2159999998</v>
      </c>
      <c r="H957" s="15">
        <f>IF($G$1279=0,0,G957/$G$1279*100)</f>
      </c>
      <c r="I957" s="12" t="str">
        <f>IF(O957-C957&gt;0,O957-C957,"")</f>
        <v/>
      </c>
      <c r="J957" s="14" t="str">
        <f>IF(I957="","",F957*I957)</f>
        <v/>
      </c>
      <c r="K957" s="15">
        <f>IF(OR(J957="",$G$1279=0),"",J957/$G$1279*100)</f>
      </c>
      <c r="L957" s="12" t="str">
        <f>IF(C957-O957&gt;0,C957-O957,"")</f>
        <v/>
      </c>
      <c r="M957" s="14" t="str">
        <f>IF(L957="","",F957*L957)</f>
        <v/>
      </c>
      <c r="N957" s="15">
        <f>IF(OR(M957="",$G$1279=0),"",M957/$G$1279*100)</f>
      </c>
      <c r="O957" s="12">
        <v>26.88</v>
      </c>
      <c r="P957" s="14">
        <f>F957*O957</f>
        <v>1309881.2159999998</v>
      </c>
      <c r="Q957" s="15">
        <f>IF($P$1279=0,0,P957/$P$1279*100)</f>
      </c>
      <c r="R957" s="10" t="str">
        <f>IF(O957=C957,"TETAP",IF(C957=0,"BARU",IF(O957=0,"HAPUS",IF(O957&gt;C957,"TAMBAH","KURANG"))))</f>
        <v>TETAP</v>
      </c>
    </row>
    <row r="958" spans="1:18" x14ac:dyDescent="0.25">
      <c r="A958" s="10" t="s">
        <v>110</v>
      </c>
      <c r="B958" s="20" t="s">
        <v>785</v>
      </c>
      <c r="C958" s="12">
        <v>30</v>
      </c>
      <c r="D958" s="12">
        <v>0</v>
      </c>
      <c r="E958" s="10" t="s">
        <v>32</v>
      </c>
      <c r="F958" s="14">
        <v>736079.99</v>
      </c>
      <c r="G958" s="14">
        <f>F958*C958</f>
        <v>22082399.7</v>
      </c>
      <c r="H958" s="15">
        <f>IF($G$1279=0,0,G958/$G$1279*100)</f>
      </c>
      <c r="I958" s="12" t="str">
        <f>IF(O958-C958&gt;0,O958-C958,"")</f>
        <v/>
      </c>
      <c r="J958" s="14" t="str">
        <f>IF(I958="","",F958*I958)</f>
        <v/>
      </c>
      <c r="K958" s="15">
        <f>IF(OR(J958="",$G$1279=0),"",J958/$G$1279*100)</f>
      </c>
      <c r="L958" s="12" t="str">
        <f>IF(C958-O958&gt;0,C958-O958,"")</f>
        <v/>
      </c>
      <c r="M958" s="14" t="str">
        <f>IF(L958="","",F958*L958)</f>
        <v/>
      </c>
      <c r="N958" s="15">
        <f>IF(OR(M958="",$G$1279=0),"",M958/$G$1279*100)</f>
      </c>
      <c r="O958" s="12">
        <v>30</v>
      </c>
      <c r="P958" s="14">
        <f>F958*O958</f>
        <v>22082399.7</v>
      </c>
      <c r="Q958" s="15">
        <f>IF($P$1279=0,0,P958/$P$1279*100)</f>
      </c>
      <c r="R958" s="10" t="str">
        <f>IF(O958=C958,"TETAP",IF(C958=0,"BARU",IF(O958=0,"HAPUS",IF(O958&gt;C958,"TAMBAH","KURANG"))))</f>
        <v>TETAP</v>
      </c>
    </row>
    <row r="959" spans="1:18" x14ac:dyDescent="0.25">
      <c r="A959" s="10" t="s">
        <v>112</v>
      </c>
      <c r="B959" s="20" t="s">
        <v>786</v>
      </c>
      <c r="C959" s="12">
        <v>2</v>
      </c>
      <c r="D959" s="12">
        <v>0</v>
      </c>
      <c r="E959" s="10" t="s">
        <v>119</v>
      </c>
      <c r="F959" s="14">
        <v>843539.43</v>
      </c>
      <c r="G959" s="14">
        <f>F959*C959</f>
        <v>1687078.86</v>
      </c>
      <c r="H959" s="15">
        <f>IF($G$1279=0,0,G959/$G$1279*100)</f>
      </c>
      <c r="I959" s="12" t="str">
        <f>IF(O959-C959&gt;0,O959-C959,"")</f>
        <v/>
      </c>
      <c r="J959" s="14" t="str">
        <f>IF(I959="","",F959*I959)</f>
        <v/>
      </c>
      <c r="K959" s="15">
        <f>IF(OR(J959="",$G$1279=0),"",J959/$G$1279*100)</f>
      </c>
      <c r="L959" s="12" t="str">
        <f>IF(C959-O959&gt;0,C959-O959,"")</f>
        <v/>
      </c>
      <c r="M959" s="14" t="str">
        <f>IF(L959="","",F959*L959)</f>
        <v/>
      </c>
      <c r="N959" s="15">
        <f>IF(OR(M959="",$G$1279=0),"",M959/$G$1279*100)</f>
      </c>
      <c r="O959" s="12">
        <v>2</v>
      </c>
      <c r="P959" s="14">
        <f>F959*O959</f>
        <v>1687078.86</v>
      </c>
      <c r="Q959" s="15">
        <f>IF($P$1279=0,0,P959/$P$1279*100)</f>
      </c>
      <c r="R959" s="10" t="str">
        <f>IF(O959=C959,"TETAP",IF(C959=0,"BARU",IF(O959=0,"HAPUS",IF(O959&gt;C959,"TAMBAH","KURANG"))))</f>
        <v>TETAP</v>
      </c>
    </row>
    <row r="960" spans="1:18" x14ac:dyDescent="0.25">
      <c r="A960" s="10" t="s">
        <v>115</v>
      </c>
      <c r="B960" s="20" t="s">
        <v>787</v>
      </c>
      <c r="C960" s="12">
        <v>1</v>
      </c>
      <c r="D960" s="12">
        <v>0</v>
      </c>
      <c r="E960" s="10" t="s">
        <v>119</v>
      </c>
      <c r="F960" s="14">
        <v>1799734.7</v>
      </c>
      <c r="G960" s="14">
        <f>F960*C960</f>
        <v>1799734.7</v>
      </c>
      <c r="H960" s="15">
        <f>IF($G$1279=0,0,G960/$G$1279*100)</f>
      </c>
      <c r="I960" s="12" t="str">
        <f>IF(O960-C960&gt;0,O960-C960,"")</f>
        <v/>
      </c>
      <c r="J960" s="14" t="str">
        <f>IF(I960="","",F960*I960)</f>
        <v/>
      </c>
      <c r="K960" s="15">
        <f>IF(OR(J960="",$G$1279=0),"",J960/$G$1279*100)</f>
      </c>
      <c r="L960" s="12" t="str">
        <f>IF(C960-O960&gt;0,C960-O960,"")</f>
        <v/>
      </c>
      <c r="M960" s="14" t="str">
        <f>IF(L960="","",F960*L960)</f>
        <v/>
      </c>
      <c r="N960" s="15">
        <f>IF(OR(M960="",$G$1279=0),"",M960/$G$1279*100)</f>
      </c>
      <c r="O960" s="12">
        <v>1</v>
      </c>
      <c r="P960" s="14">
        <f>F960*O960</f>
        <v>1799734.7</v>
      </c>
      <c r="Q960" s="15">
        <f>IF($P$1279=0,0,P960/$P$1279*100)</f>
      </c>
      <c r="R960" s="10" t="str">
        <f>IF(O960=C960,"TETAP",IF(C960=0,"BARU",IF(O960=0,"HAPUS",IF(O960&gt;C960,"TAMBAH","KURANG"))))</f>
        <v>TETAP</v>
      </c>
    </row>
    <row r="961" spans="1:18" x14ac:dyDescent="0.25">
      <c r="A961" s="5" t="s">
        <v>788</v>
      </c>
      <c r="B961" s="6" t="s">
        <v>789</v>
      </c>
      <c r="C961" s="7"/>
      <c r="D961" s="7"/>
      <c r="E961" s="5"/>
      <c r="F961" s="8"/>
      <c r="G961" s="8"/>
      <c r="H961" s="9"/>
      <c r="I961" s="7"/>
      <c r="J961" s="8"/>
      <c r="K961" s="9"/>
      <c r="L961" s="7"/>
      <c r="M961" s="8"/>
      <c r="N961" s="9"/>
      <c r="O961" s="7"/>
      <c r="P961" s="8"/>
      <c r="Q961" s="9"/>
      <c r="R961" s="5"/>
    </row>
    <row r="962" spans="1:18" x14ac:dyDescent="0.25">
      <c r="A962" s="5" t="s">
        <v>790</v>
      </c>
      <c r="B962" s="16" t="s">
        <v>347</v>
      </c>
      <c r="C962" s="7"/>
      <c r="D962" s="7"/>
      <c r="E962" s="5"/>
      <c r="F962" s="8"/>
      <c r="G962" s="8"/>
      <c r="H962" s="9"/>
      <c r="I962" s="7"/>
      <c r="J962" s="8"/>
      <c r="K962" s="9"/>
      <c r="L962" s="7"/>
      <c r="M962" s="8"/>
      <c r="N962" s="9"/>
      <c r="O962" s="7"/>
      <c r="P962" s="8"/>
      <c r="Q962" s="9"/>
      <c r="R962" s="5"/>
    </row>
    <row r="963" spans="1:18" x14ac:dyDescent="0.25">
      <c r="A963" s="10" t="s">
        <v>24</v>
      </c>
      <c r="B963" s="20" t="s">
        <v>348</v>
      </c>
      <c r="C963" s="12">
        <v>31</v>
      </c>
      <c r="D963" s="12">
        <v>0</v>
      </c>
      <c r="E963" s="10" t="s">
        <v>37</v>
      </c>
      <c r="F963" s="14">
        <v>161600.06</v>
      </c>
      <c r="G963" s="14">
        <f>F963*C963</f>
        <v>5009601.86</v>
      </c>
      <c r="H963" s="15">
        <f>IF($G$1279=0,0,G963/$G$1279*100)</f>
      </c>
      <c r="I963" s="12" t="str">
        <f>IF(O963-C963&gt;0,O963-C963,"")</f>
        <v/>
      </c>
      <c r="J963" s="14" t="str">
        <f>IF(I963="","",F963*I963)</f>
        <v/>
      </c>
      <c r="K963" s="15">
        <f>IF(OR(J963="",$G$1279=0),"",J963/$G$1279*100)</f>
      </c>
      <c r="L963" s="12" t="str">
        <f>IF(C963-O963&gt;0,C963-O963,"")</f>
        <v/>
      </c>
      <c r="M963" s="14" t="str">
        <f>IF(L963="","",F963*L963)</f>
        <v/>
      </c>
      <c r="N963" s="15">
        <f>IF(OR(M963="",$G$1279=0),"",M963/$G$1279*100)</f>
      </c>
      <c r="O963" s="12">
        <v>31</v>
      </c>
      <c r="P963" s="14">
        <f>F963*O963</f>
        <v>5009601.86</v>
      </c>
      <c r="Q963" s="15">
        <f>IF($P$1279=0,0,P963/$P$1279*100)</f>
      </c>
      <c r="R963" s="10" t="str">
        <f>IF(O963=C963,"TETAP",IF(C963=0,"BARU",IF(O963=0,"HAPUS",IF(O963&gt;C963,"TAMBAH","KURANG"))))</f>
        <v>TETAP</v>
      </c>
    </row>
    <row r="964" spans="1:18" x14ac:dyDescent="0.25">
      <c r="A964" s="5" t="s">
        <v>27</v>
      </c>
      <c r="B964" s="17" t="s">
        <v>349</v>
      </c>
      <c r="C964" s="7"/>
      <c r="D964" s="7"/>
      <c r="E964" s="5"/>
      <c r="F964" s="8"/>
      <c r="G964" s="8"/>
      <c r="H964" s="9"/>
      <c r="I964" s="7"/>
      <c r="J964" s="8"/>
      <c r="K964" s="9"/>
      <c r="L964" s="7"/>
      <c r="M964" s="8"/>
      <c r="N964" s="9"/>
      <c r="O964" s="7"/>
      <c r="P964" s="8"/>
      <c r="Q964" s="9"/>
      <c r="R964" s="5"/>
    </row>
    <row r="965" spans="1:18" x14ac:dyDescent="0.25">
      <c r="A965" s="10" t="s">
        <v>165</v>
      </c>
      <c r="B965" s="18" t="s">
        <v>158</v>
      </c>
      <c r="C965" s="12">
        <v>7.2</v>
      </c>
      <c r="D965" s="12">
        <v>0</v>
      </c>
      <c r="E965" s="10" t="s">
        <v>159</v>
      </c>
      <c r="F965" s="14">
        <v>48730.7</v>
      </c>
      <c r="G965" s="14">
        <f>F965*C965</f>
        <v>350861.04</v>
      </c>
      <c r="H965" s="15">
        <f>IF($G$1279=0,0,G965/$G$1279*100)</f>
      </c>
      <c r="I965" s="12" t="str">
        <f>IF(O965-C965&gt;0,O965-C965,"")</f>
        <v/>
      </c>
      <c r="J965" s="14" t="str">
        <f>IF(I965="","",F965*I965)</f>
        <v/>
      </c>
      <c r="K965" s="15">
        <f>IF(OR(J965="",$G$1279=0),"",J965/$G$1279*100)</f>
      </c>
      <c r="L965" s="12" t="str">
        <f>IF(C965-O965&gt;0,C965-O965,"")</f>
        <v/>
      </c>
      <c r="M965" s="14" t="str">
        <f>IF(L965="","",F965*L965)</f>
        <v/>
      </c>
      <c r="N965" s="15">
        <f>IF(OR(M965="",$G$1279=0),"",M965/$G$1279*100)</f>
      </c>
      <c r="O965" s="12">
        <v>7.2</v>
      </c>
      <c r="P965" s="14">
        <f>F965*O965</f>
        <v>350861.04</v>
      </c>
      <c r="Q965" s="15">
        <f>IF($P$1279=0,0,P965/$P$1279*100)</f>
      </c>
      <c r="R965" s="10" t="str">
        <f>IF(O965=C965,"TETAP",IF(C965=0,"BARU",IF(O965=0,"HAPUS",IF(O965&gt;C965,"TAMBAH","KURANG"))))</f>
        <v>TETAP</v>
      </c>
    </row>
    <row r="966" spans="1:18" x14ac:dyDescent="0.25">
      <c r="A966" s="10" t="s">
        <v>167</v>
      </c>
      <c r="B966" s="18" t="s">
        <v>350</v>
      </c>
      <c r="C966" s="12">
        <v>0.42</v>
      </c>
      <c r="D966" s="12">
        <v>0</v>
      </c>
      <c r="E966" s="10" t="s">
        <v>159</v>
      </c>
      <c r="F966" s="14">
        <v>342654.98</v>
      </c>
      <c r="G966" s="14">
        <f>F966*C966</f>
        <v>143915.09159999999</v>
      </c>
      <c r="H966" s="15">
        <f>IF($G$1279=0,0,G966/$G$1279*100)</f>
      </c>
      <c r="I966" s="12" t="str">
        <f>IF(O966-C966&gt;0,O966-C966,"")</f>
        <v/>
      </c>
      <c r="J966" s="14" t="str">
        <f>IF(I966="","",F966*I966)</f>
        <v/>
      </c>
      <c r="K966" s="15">
        <f>IF(OR(J966="",$G$1279=0),"",J966/$G$1279*100)</f>
      </c>
      <c r="L966" s="12" t="str">
        <f>IF(C966-O966&gt;0,C966-O966,"")</f>
        <v/>
      </c>
      <c r="M966" s="14" t="str">
        <f>IF(L966="","",F966*L966)</f>
        <v/>
      </c>
      <c r="N966" s="15">
        <f>IF(OR(M966="",$G$1279=0),"",M966/$G$1279*100)</f>
      </c>
      <c r="O966" s="12">
        <v>0.42</v>
      </c>
      <c r="P966" s="14">
        <f>F966*O966</f>
        <v>143915.09159999999</v>
      </c>
      <c r="Q966" s="15">
        <f>IF($P$1279=0,0,P966/$P$1279*100)</f>
      </c>
      <c r="R966" s="10" t="str">
        <f>IF(O966=C966,"TETAP",IF(C966=0,"BARU",IF(O966=0,"HAPUS",IF(O966&gt;C966,"TAMBAH","KURANG"))))</f>
        <v>TETAP</v>
      </c>
    </row>
    <row r="967" spans="1:18" x14ac:dyDescent="0.25">
      <c r="A967" s="10" t="s">
        <v>170</v>
      </c>
      <c r="B967" s="18" t="s">
        <v>351</v>
      </c>
      <c r="C967" s="12">
        <v>0.18</v>
      </c>
      <c r="D967" s="12">
        <v>0</v>
      </c>
      <c r="E967" s="10" t="s">
        <v>159</v>
      </c>
      <c r="F967" s="14">
        <v>1243301.43</v>
      </c>
      <c r="G967" s="14">
        <f>F967*C967</f>
        <v>223794.25739999997</v>
      </c>
      <c r="H967" s="15">
        <f>IF($G$1279=0,0,G967/$G$1279*100)</f>
      </c>
      <c r="I967" s="12" t="str">
        <f>IF(O967-C967&gt;0,O967-C967,"")</f>
        <v/>
      </c>
      <c r="J967" s="14" t="str">
        <f>IF(I967="","",F967*I967)</f>
        <v/>
      </c>
      <c r="K967" s="15">
        <f>IF(OR(J967="",$G$1279=0),"",J967/$G$1279*100)</f>
      </c>
      <c r="L967" s="12" t="str">
        <f>IF(C967-O967&gt;0,C967-O967,"")</f>
        <v/>
      </c>
      <c r="M967" s="14" t="str">
        <f>IF(L967="","",F967*L967)</f>
        <v/>
      </c>
      <c r="N967" s="15">
        <f>IF(OR(M967="",$G$1279=0),"",M967/$G$1279*100)</f>
      </c>
      <c r="O967" s="12">
        <v>0.18</v>
      </c>
      <c r="P967" s="14">
        <f>F967*O967</f>
        <v>223794.25739999997</v>
      </c>
      <c r="Q967" s="15">
        <f>IF($P$1279=0,0,P967/$P$1279*100)</f>
      </c>
      <c r="R967" s="10" t="str">
        <f>IF(O967=C967,"TETAP",IF(C967=0,"BARU",IF(O967=0,"HAPUS",IF(O967&gt;C967,"TAMBAH","KURANG"))))</f>
        <v>TETAP</v>
      </c>
    </row>
    <row r="968" spans="1:18" x14ac:dyDescent="0.25">
      <c r="A968" s="10" t="s">
        <v>172</v>
      </c>
      <c r="B968" s="18" t="s">
        <v>352</v>
      </c>
      <c r="C968" s="12">
        <v>7.2</v>
      </c>
      <c r="D968" s="12">
        <v>0</v>
      </c>
      <c r="E968" s="10" t="s">
        <v>159</v>
      </c>
      <c r="F968" s="14">
        <v>184387.03</v>
      </c>
      <c r="G968" s="14">
        <f>F968*C968</f>
        <v>1327586.616</v>
      </c>
      <c r="H968" s="15">
        <f>IF($G$1279=0,0,G968/$G$1279*100)</f>
      </c>
      <c r="I968" s="12" t="str">
        <f>IF(O968-C968&gt;0,O968-C968,"")</f>
        <v/>
      </c>
      <c r="J968" s="14" t="str">
        <f>IF(I968="","",F968*I968)</f>
        <v/>
      </c>
      <c r="K968" s="15">
        <f>IF(OR(J968="",$G$1279=0),"",J968/$G$1279*100)</f>
      </c>
      <c r="L968" s="12" t="str">
        <f>IF(C968-O968&gt;0,C968-O968,"")</f>
        <v/>
      </c>
      <c r="M968" s="14" t="str">
        <f>IF(L968="","",F968*L968)</f>
        <v/>
      </c>
      <c r="N968" s="15">
        <f>IF(OR(M968="",$G$1279=0),"",M968/$G$1279*100)</f>
      </c>
      <c r="O968" s="12">
        <v>7.2</v>
      </c>
      <c r="P968" s="14">
        <f>F968*O968</f>
        <v>1327586.616</v>
      </c>
      <c r="Q968" s="15">
        <f>IF($P$1279=0,0,P968/$P$1279*100)</f>
      </c>
      <c r="R968" s="10" t="str">
        <f>IF(O968=C968,"TETAP",IF(C968=0,"BARU",IF(O968=0,"HAPUS",IF(O968&gt;C968,"TAMBAH","KURANG"))))</f>
        <v>TETAP</v>
      </c>
    </row>
    <row r="969" spans="1:18" x14ac:dyDescent="0.25">
      <c r="A969" s="10" t="s">
        <v>255</v>
      </c>
      <c r="B969" s="18" t="s">
        <v>353</v>
      </c>
      <c r="C969" s="12">
        <v>33.291</v>
      </c>
      <c r="D969" s="12">
        <v>0</v>
      </c>
      <c r="E969" s="10" t="s">
        <v>169</v>
      </c>
      <c r="F969" s="14">
        <v>19252.39</v>
      </c>
      <c r="G969" s="14">
        <f>F969*C969</f>
        <v>640931.31549</v>
      </c>
      <c r="H969" s="15">
        <f>IF($G$1279=0,0,G969/$G$1279*100)</f>
      </c>
      <c r="I969" s="12" t="str">
        <f>IF(O969-C969&gt;0,O969-C969,"")</f>
        <v/>
      </c>
      <c r="J969" s="14" t="str">
        <f>IF(I969="","",F969*I969)</f>
        <v/>
      </c>
      <c r="K969" s="15">
        <f>IF(OR(J969="",$G$1279=0),"",J969/$G$1279*100)</f>
      </c>
      <c r="L969" s="12" t="str">
        <f>IF(C969-O969&gt;0,C969-O969,"")</f>
        <v/>
      </c>
      <c r="M969" s="14" t="str">
        <f>IF(L969="","",F969*L969)</f>
        <v/>
      </c>
      <c r="N969" s="15">
        <f>IF(OR(M969="",$G$1279=0),"",M969/$G$1279*100)</f>
      </c>
      <c r="O969" s="12">
        <v>33.291</v>
      </c>
      <c r="P969" s="14">
        <f>F969*O969</f>
        <v>640931.31549</v>
      </c>
      <c r="Q969" s="15">
        <f>IF($P$1279=0,0,P969/$P$1279*100)</f>
      </c>
      <c r="R969" s="10" t="str">
        <f>IF(O969=C969,"TETAP",IF(C969=0,"BARU",IF(O969=0,"HAPUS",IF(O969&gt;C969,"TAMBAH","KURANG"))))</f>
        <v>TETAP</v>
      </c>
    </row>
    <row r="970" spans="1:18" x14ac:dyDescent="0.25">
      <c r="A970" s="10" t="s">
        <v>256</v>
      </c>
      <c r="B970" s="18" t="s">
        <v>374</v>
      </c>
      <c r="C970" s="12">
        <v>1.152</v>
      </c>
      <c r="D970" s="12">
        <v>0</v>
      </c>
      <c r="E970" s="10" t="s">
        <v>159</v>
      </c>
      <c r="F970" s="14">
        <v>1399567.05</v>
      </c>
      <c r="G970" s="14">
        <f>F970*C970</f>
        <v>1612301.2415999998</v>
      </c>
      <c r="H970" s="15">
        <f>IF($G$1279=0,0,G970/$G$1279*100)</f>
      </c>
      <c r="I970" s="12" t="str">
        <f>IF(O970-C970&gt;0,O970-C970,"")</f>
        <v/>
      </c>
      <c r="J970" s="14" t="str">
        <f>IF(I970="","",F970*I970)</f>
        <v/>
      </c>
      <c r="K970" s="15">
        <f>IF(OR(J970="",$G$1279=0),"",J970/$G$1279*100)</f>
      </c>
      <c r="L970" s="12" t="str">
        <f>IF(C970-O970&gt;0,C970-O970,"")</f>
        <v/>
      </c>
      <c r="M970" s="14" t="str">
        <f>IF(L970="","",F970*L970)</f>
        <v/>
      </c>
      <c r="N970" s="15">
        <f>IF(OR(M970="",$G$1279=0),"",M970/$G$1279*100)</f>
      </c>
      <c r="O970" s="12">
        <v>1.152</v>
      </c>
      <c r="P970" s="14">
        <f>F970*O970</f>
        <v>1612301.2415999998</v>
      </c>
      <c r="Q970" s="15">
        <f>IF($P$1279=0,0,P970/$P$1279*100)</f>
      </c>
      <c r="R970" s="10" t="str">
        <f>IF(O970=C970,"TETAP",IF(C970=0,"BARU",IF(O970=0,"HAPUS",IF(O970&gt;C970,"TAMBAH","KURANG"))))</f>
        <v>TETAP</v>
      </c>
    </row>
    <row r="971" spans="1:18" x14ac:dyDescent="0.25">
      <c r="A971" s="10" t="s">
        <v>355</v>
      </c>
      <c r="B971" s="18" t="s">
        <v>194</v>
      </c>
      <c r="C971" s="12">
        <v>120</v>
      </c>
      <c r="D971" s="12">
        <v>0</v>
      </c>
      <c r="E971" s="10" t="s">
        <v>37</v>
      </c>
      <c r="F971" s="14">
        <v>28117.52</v>
      </c>
      <c r="G971" s="14">
        <f>F971*C971</f>
        <v>3374102.4</v>
      </c>
      <c r="H971" s="15">
        <f>IF($G$1279=0,0,G971/$G$1279*100)</f>
      </c>
      <c r="I971" s="12" t="str">
        <f>IF(O971-C971&gt;0,O971-C971,"")</f>
        <v/>
      </c>
      <c r="J971" s="14" t="str">
        <f>IF(I971="","",F971*I971)</f>
        <v/>
      </c>
      <c r="K971" s="15">
        <f>IF(OR(J971="",$G$1279=0),"",J971/$G$1279*100)</f>
      </c>
      <c r="L971" s="12" t="str">
        <f>IF(C971-O971&gt;0,C971-O971,"")</f>
        <v/>
      </c>
      <c r="M971" s="14" t="str">
        <f>IF(L971="","",F971*L971)</f>
        <v/>
      </c>
      <c r="N971" s="15">
        <f>IF(OR(M971="",$G$1279=0),"",M971/$G$1279*100)</f>
      </c>
      <c r="O971" s="12">
        <v>120</v>
      </c>
      <c r="P971" s="14">
        <f>F971*O971</f>
        <v>3374102.4</v>
      </c>
      <c r="Q971" s="15">
        <f>IF($P$1279=0,0,P971/$P$1279*100)</f>
      </c>
      <c r="R971" s="10" t="str">
        <f>IF(O971=C971,"TETAP",IF(C971=0,"BARU",IF(O971=0,"HAPUS",IF(O971&gt;C971,"TAMBAH","KURANG"))))</f>
        <v>TETAP</v>
      </c>
    </row>
    <row r="972" spans="1:18" x14ac:dyDescent="0.25">
      <c r="A972" s="5" t="s">
        <v>30</v>
      </c>
      <c r="B972" s="17" t="s">
        <v>360</v>
      </c>
      <c r="C972" s="7"/>
      <c r="D972" s="7"/>
      <c r="E972" s="5"/>
      <c r="F972" s="8"/>
      <c r="G972" s="8"/>
      <c r="H972" s="9"/>
      <c r="I972" s="7"/>
      <c r="J972" s="8"/>
      <c r="K972" s="9"/>
      <c r="L972" s="7"/>
      <c r="M972" s="8"/>
      <c r="N972" s="9"/>
      <c r="O972" s="7"/>
      <c r="P972" s="8"/>
      <c r="Q972" s="9"/>
      <c r="R972" s="5"/>
    </row>
    <row r="973" spans="1:18" x14ac:dyDescent="0.25">
      <c r="A973" s="10" t="s">
        <v>175</v>
      </c>
      <c r="B973" s="18" t="s">
        <v>690</v>
      </c>
      <c r="C973" s="12">
        <v>22.272</v>
      </c>
      <c r="D973" s="12">
        <v>0</v>
      </c>
      <c r="E973" s="10" t="s">
        <v>159</v>
      </c>
      <c r="F973" s="14">
        <v>48730.7</v>
      </c>
      <c r="G973" s="14">
        <f>F973*C973</f>
        <v>1085330.1504</v>
      </c>
      <c r="H973" s="15">
        <f>IF($G$1279=0,0,G973/$G$1279*100)</f>
      </c>
      <c r="I973" s="12" t="str">
        <f>IF(O973-C973&gt;0,O973-C973,"")</f>
        <v/>
      </c>
      <c r="J973" s="14" t="str">
        <f>IF(I973="","",F973*I973)</f>
        <v/>
      </c>
      <c r="K973" s="15">
        <f>IF(OR(J973="",$G$1279=0),"",J973/$G$1279*100)</f>
      </c>
      <c r="L973" s="12" t="str">
        <f>IF(C973-O973&gt;0,C973-O973,"")</f>
        <v/>
      </c>
      <c r="M973" s="14" t="str">
        <f>IF(L973="","",F973*L973)</f>
        <v/>
      </c>
      <c r="N973" s="15">
        <f>IF(OR(M973="",$G$1279=0),"",M973/$G$1279*100)</f>
      </c>
      <c r="O973" s="12">
        <v>22.272</v>
      </c>
      <c r="P973" s="14">
        <f>F973*O973</f>
        <v>1085330.1504</v>
      </c>
      <c r="Q973" s="15">
        <f>IF($P$1279=0,0,P973/$P$1279*100)</f>
      </c>
      <c r="R973" s="10" t="str">
        <f>IF(O973=C973,"TETAP",IF(C973=0,"BARU",IF(O973=0,"HAPUS",IF(O973&gt;C973,"TAMBAH","KURANG"))))</f>
        <v>TETAP</v>
      </c>
    </row>
    <row r="974" spans="1:18" x14ac:dyDescent="0.25">
      <c r="A974" s="10" t="s">
        <v>176</v>
      </c>
      <c r="B974" s="18" t="s">
        <v>358</v>
      </c>
      <c r="C974" s="12">
        <v>0</v>
      </c>
      <c r="D974" s="12">
        <v>0</v>
      </c>
      <c r="E974" s="10"/>
      <c r="F974" s="14">
        <v>28117.52</v>
      </c>
      <c r="G974" s="14">
        <f>F974*C974</f>
        <v>0</v>
      </c>
      <c r="H974" s="15">
        <f>IF($G$1279=0,0,G974/$G$1279*100)</f>
      </c>
      <c r="I974" s="12" t="str">
        <f>IF(O974-C974&gt;0,O974-C974,"")</f>
        <v/>
      </c>
      <c r="J974" s="14" t="str">
        <f>IF(I974="","",F974*I974)</f>
        <v/>
      </c>
      <c r="K974" s="15">
        <f>IF(OR(J974="",$G$1279=0),"",J974/$G$1279*100)</f>
      </c>
      <c r="L974" s="12" t="str">
        <f>IF(C974-O974&gt;0,C974-O974,"")</f>
        <v/>
      </c>
      <c r="M974" s="14" t="str">
        <f>IF(L974="","",F974*L974)</f>
        <v/>
      </c>
      <c r="N974" s="15">
        <f>IF(OR(M974="",$G$1279=0),"",M974/$G$1279*100)</f>
      </c>
      <c r="O974" s="12">
        <v>0</v>
      </c>
      <c r="P974" s="14">
        <f>F974*O974</f>
        <v>0</v>
      </c>
      <c r="Q974" s="15">
        <f>IF($P$1279=0,0,P974/$P$1279*100)</f>
      </c>
      <c r="R974" s="10" t="str">
        <f>IF(O974=C974,"TETAP",IF(C974=0,"BARU",IF(O974=0,"HAPUS",IF(O974&gt;C974,"TAMBAH","KURANG"))))</f>
        <v>TETAP</v>
      </c>
    </row>
    <row r="975" spans="1:18" x14ac:dyDescent="0.25">
      <c r="A975" s="10" t="s">
        <v>178</v>
      </c>
      <c r="B975" s="18" t="s">
        <v>791</v>
      </c>
      <c r="C975" s="12">
        <v>1.792</v>
      </c>
      <c r="D975" s="12">
        <v>0</v>
      </c>
      <c r="E975" s="10" t="s">
        <v>159</v>
      </c>
      <c r="F975" s="14">
        <v>342654.98</v>
      </c>
      <c r="G975" s="14">
        <f>F975*C975</f>
        <v>614037.72416</v>
      </c>
      <c r="H975" s="15">
        <f>IF($G$1279=0,0,G975/$G$1279*100)</f>
      </c>
      <c r="I975" s="12" t="str">
        <f>IF(O975-C975&gt;0,O975-C975,"")</f>
        <v/>
      </c>
      <c r="J975" s="14" t="str">
        <f>IF(I975="","",F975*I975)</f>
        <v/>
      </c>
      <c r="K975" s="15">
        <f>IF(OR(J975="",$G$1279=0),"",J975/$G$1279*100)</f>
      </c>
      <c r="L975" s="12" t="str">
        <f>IF(C975-O975&gt;0,C975-O975,"")</f>
        <v/>
      </c>
      <c r="M975" s="14" t="str">
        <f>IF(L975="","",F975*L975)</f>
        <v/>
      </c>
      <c r="N975" s="15">
        <f>IF(OR(M975="",$G$1279=0),"",M975/$G$1279*100)</f>
      </c>
      <c r="O975" s="12">
        <v>1.792</v>
      </c>
      <c r="P975" s="14">
        <f>F975*O975</f>
        <v>614037.72416</v>
      </c>
      <c r="Q975" s="15">
        <f>IF($P$1279=0,0,P975/$P$1279*100)</f>
      </c>
      <c r="R975" s="10" t="str">
        <f>IF(O975=C975,"TETAP",IF(C975=0,"BARU",IF(O975=0,"HAPUS",IF(O975&gt;C975,"TAMBAH","KURANG"))))</f>
        <v>TETAP</v>
      </c>
    </row>
    <row r="976" spans="1:18" x14ac:dyDescent="0.25">
      <c r="A976" s="10" t="s">
        <v>180</v>
      </c>
      <c r="B976" s="18" t="s">
        <v>792</v>
      </c>
      <c r="C976" s="12">
        <v>14.08</v>
      </c>
      <c r="D976" s="12">
        <v>0</v>
      </c>
      <c r="E976" s="10" t="s">
        <v>159</v>
      </c>
      <c r="F976" s="14">
        <v>840738.64</v>
      </c>
      <c r="G976" s="14">
        <f>F976*C976</f>
        <v>11837600.0512</v>
      </c>
      <c r="H976" s="15">
        <f>IF($G$1279=0,0,G976/$G$1279*100)</f>
      </c>
      <c r="I976" s="12" t="str">
        <f>IF(O976-C976&gt;0,O976-C976,"")</f>
        <v/>
      </c>
      <c r="J976" s="14" t="str">
        <f>IF(I976="","",F976*I976)</f>
        <v/>
      </c>
      <c r="K976" s="15">
        <f>IF(OR(J976="",$G$1279=0),"",J976/$G$1279*100)</f>
      </c>
      <c r="L976" s="12" t="str">
        <f>IF(C976-O976&gt;0,C976-O976,"")</f>
        <v/>
      </c>
      <c r="M976" s="14" t="str">
        <f>IF(L976="","",F976*L976)</f>
        <v/>
      </c>
      <c r="N976" s="15">
        <f>IF(OR(M976="",$G$1279=0),"",M976/$G$1279*100)</f>
      </c>
      <c r="O976" s="12">
        <v>14.08</v>
      </c>
      <c r="P976" s="14">
        <f>F976*O976</f>
        <v>11837600.0512</v>
      </c>
      <c r="Q976" s="15">
        <f>IF($P$1279=0,0,P976/$P$1279*100)</f>
      </c>
      <c r="R976" s="10" t="str">
        <f>IF(O976=C976,"TETAP",IF(C976=0,"BARU",IF(O976=0,"HAPUS",IF(O976&gt;C976,"TAMBAH","KURANG"))))</f>
        <v>TETAP</v>
      </c>
    </row>
    <row r="977" spans="1:18" x14ac:dyDescent="0.25">
      <c r="A977" s="10" t="s">
        <v>33</v>
      </c>
      <c r="B977" s="20" t="s">
        <v>361</v>
      </c>
      <c r="C977" s="12">
        <v>9.864</v>
      </c>
      <c r="D977" s="12">
        <v>0</v>
      </c>
      <c r="E977" s="10" t="s">
        <v>169</v>
      </c>
      <c r="F977" s="14">
        <v>28927.25</v>
      </c>
      <c r="G977" s="14">
        <f>F977*C977</f>
        <v>285338.39400000003</v>
      </c>
      <c r="H977" s="15">
        <f>IF($G$1279=0,0,G977/$G$1279*100)</f>
      </c>
      <c r="I977" s="12" t="str">
        <f>IF(O977-C977&gt;0,O977-C977,"")</f>
        <v/>
      </c>
      <c r="J977" s="14" t="str">
        <f>IF(I977="","",F977*I977)</f>
        <v/>
      </c>
      <c r="K977" s="15">
        <f>IF(OR(J977="",$G$1279=0),"",J977/$G$1279*100)</f>
      </c>
      <c r="L977" s="12" t="str">
        <f>IF(C977-O977&gt;0,C977-O977,"")</f>
        <v/>
      </c>
      <c r="M977" s="14" t="str">
        <f>IF(L977="","",F977*L977)</f>
        <v/>
      </c>
      <c r="N977" s="15">
        <f>IF(OR(M977="",$G$1279=0),"",M977/$G$1279*100)</f>
      </c>
      <c r="O977" s="12">
        <v>9.864</v>
      </c>
      <c r="P977" s="14">
        <f>F977*O977</f>
        <v>285338.39400000003</v>
      </c>
      <c r="Q977" s="15">
        <f>IF($P$1279=0,0,P977/$P$1279*100)</f>
      </c>
      <c r="R977" s="10" t="str">
        <f>IF(O977=C977,"TETAP",IF(C977=0,"BARU",IF(O977=0,"HAPUS",IF(O977&gt;C977,"TAMBAH","KURANG"))))</f>
        <v>TETAP</v>
      </c>
    </row>
    <row r="978" spans="1:18" x14ac:dyDescent="0.25">
      <c r="A978" s="5" t="s">
        <v>35</v>
      </c>
      <c r="B978" s="17" t="s">
        <v>362</v>
      </c>
      <c r="C978" s="7"/>
      <c r="D978" s="7"/>
      <c r="E978" s="5"/>
      <c r="F978" s="8"/>
      <c r="G978" s="8"/>
      <c r="H978" s="9"/>
      <c r="I978" s="7"/>
      <c r="J978" s="8"/>
      <c r="K978" s="9"/>
      <c r="L978" s="7"/>
      <c r="M978" s="8"/>
      <c r="N978" s="9"/>
      <c r="O978" s="7"/>
      <c r="P978" s="8"/>
      <c r="Q978" s="9"/>
      <c r="R978" s="5"/>
    </row>
    <row r="979" spans="1:18" x14ac:dyDescent="0.25">
      <c r="A979" s="10" t="s">
        <v>193</v>
      </c>
      <c r="B979" s="18" t="s">
        <v>187</v>
      </c>
      <c r="C979" s="12">
        <v>19.2</v>
      </c>
      <c r="D979" s="12">
        <v>0</v>
      </c>
      <c r="E979" s="10" t="s">
        <v>26</v>
      </c>
      <c r="F979" s="14">
        <v>218225.13</v>
      </c>
      <c r="G979" s="14">
        <f>F979*C979</f>
        <v>4189922.496</v>
      </c>
      <c r="H979" s="15">
        <f>IF($G$1279=0,0,G979/$G$1279*100)</f>
      </c>
      <c r="I979" s="12" t="str">
        <f>IF(O979-C979&gt;0,O979-C979,"")</f>
        <v/>
      </c>
      <c r="J979" s="14" t="str">
        <f>IF(I979="","",F979*I979)</f>
        <v/>
      </c>
      <c r="K979" s="15">
        <f>IF(OR(J979="",$G$1279=0),"",J979/$G$1279*100)</f>
      </c>
      <c r="L979" s="12" t="str">
        <f>IF(C979-O979&gt;0,C979-O979,"")</f>
        <v/>
      </c>
      <c r="M979" s="14" t="str">
        <f>IF(L979="","",F979*L979)</f>
        <v/>
      </c>
      <c r="N979" s="15">
        <f>IF(OR(M979="",$G$1279=0),"",M979/$G$1279*100)</f>
      </c>
      <c r="O979" s="12">
        <v>19.2</v>
      </c>
      <c r="P979" s="14">
        <f>F979*O979</f>
        <v>4189922.496</v>
      </c>
      <c r="Q979" s="15">
        <f>IF($P$1279=0,0,P979/$P$1279*100)</f>
      </c>
      <c r="R979" s="10" t="str">
        <f>IF(O979=C979,"TETAP",IF(C979=0,"BARU",IF(O979=0,"HAPUS",IF(O979&gt;C979,"TAMBAH","KURANG"))))</f>
        <v>TETAP</v>
      </c>
    </row>
    <row r="980" spans="1:18" x14ac:dyDescent="0.25">
      <c r="A980" s="10" t="s">
        <v>195</v>
      </c>
      <c r="B980" s="18" t="s">
        <v>363</v>
      </c>
      <c r="C980" s="12">
        <v>98.64</v>
      </c>
      <c r="D980" s="12">
        <v>0</v>
      </c>
      <c r="E980" s="10" t="s">
        <v>169</v>
      </c>
      <c r="F980" s="14">
        <v>19252.39</v>
      </c>
      <c r="G980" s="14">
        <f>F980*C980</f>
        <v>1899055.7496</v>
      </c>
      <c r="H980" s="15">
        <f>IF($G$1279=0,0,G980/$G$1279*100)</f>
      </c>
      <c r="I980" s="12" t="str">
        <f>IF(O980-C980&gt;0,O980-C980,"")</f>
        <v/>
      </c>
      <c r="J980" s="14" t="str">
        <f>IF(I980="","",F980*I980)</f>
        <v/>
      </c>
      <c r="K980" s="15">
        <f>IF(OR(J980="",$G$1279=0),"",J980/$G$1279*100)</f>
      </c>
      <c r="L980" s="12" t="str">
        <f>IF(C980-O980&gt;0,C980-O980,"")</f>
        <v/>
      </c>
      <c r="M980" s="14" t="str">
        <f>IF(L980="","",F980*L980)</f>
        <v/>
      </c>
      <c r="N980" s="15">
        <f>IF(OR(M980="",$G$1279=0),"",M980/$G$1279*100)</f>
      </c>
      <c r="O980" s="12">
        <v>98.64</v>
      </c>
      <c r="P980" s="14">
        <f>F980*O980</f>
        <v>1899055.7496</v>
      </c>
      <c r="Q980" s="15">
        <f>IF($P$1279=0,0,P980/$P$1279*100)</f>
      </c>
      <c r="R980" s="10" t="str">
        <f>IF(O980=C980,"TETAP",IF(C980=0,"BARU",IF(O980=0,"HAPUS",IF(O980&gt;C980,"TAMBAH","KURANG"))))</f>
        <v>TETAP</v>
      </c>
    </row>
    <row r="981" spans="1:18" x14ac:dyDescent="0.25">
      <c r="A981" s="10" t="s">
        <v>197</v>
      </c>
      <c r="B981" s="18" t="s">
        <v>390</v>
      </c>
      <c r="C981" s="12">
        <v>88.886</v>
      </c>
      <c r="D981" s="12">
        <v>0</v>
      </c>
      <c r="E981" s="10" t="s">
        <v>169</v>
      </c>
      <c r="F981" s="14">
        <v>19252.39</v>
      </c>
      <c r="G981" s="14">
        <f>F981*C981</f>
        <v>1711267.9375399998</v>
      </c>
      <c r="H981" s="15">
        <f>IF($G$1279=0,0,G981/$G$1279*100)</f>
      </c>
      <c r="I981" s="12" t="str">
        <f>IF(O981-C981&gt;0,O981-C981,"")</f>
        <v/>
      </c>
      <c r="J981" s="14" t="str">
        <f>IF(I981="","",F981*I981)</f>
        <v/>
      </c>
      <c r="K981" s="15">
        <f>IF(OR(J981="",$G$1279=0),"",J981/$G$1279*100)</f>
      </c>
      <c r="L981" s="12" t="str">
        <f>IF(C981-O981&gt;0,C981-O981,"")</f>
        <v/>
      </c>
      <c r="M981" s="14" t="str">
        <f>IF(L981="","",F981*L981)</f>
        <v/>
      </c>
      <c r="N981" s="15">
        <f>IF(OR(M981="",$G$1279=0),"",M981/$G$1279*100)</f>
      </c>
      <c r="O981" s="12">
        <v>88.886</v>
      </c>
      <c r="P981" s="14">
        <f>F981*O981</f>
        <v>1711267.9375399998</v>
      </c>
      <c r="Q981" s="15">
        <f>IF($P$1279=0,0,P981/$P$1279*100)</f>
      </c>
      <c r="R981" s="10" t="str">
        <f>IF(O981=C981,"TETAP",IF(C981=0,"BARU",IF(O981=0,"HAPUS",IF(O981&gt;C981,"TAMBAH","KURANG"))))</f>
        <v>TETAP</v>
      </c>
    </row>
    <row r="982" spans="1:18" x14ac:dyDescent="0.25">
      <c r="A982" s="10" t="s">
        <v>198</v>
      </c>
      <c r="B982" s="18" t="s">
        <v>374</v>
      </c>
      <c r="C982" s="12">
        <v>2.4</v>
      </c>
      <c r="D982" s="12">
        <v>0</v>
      </c>
      <c r="E982" s="10" t="s">
        <v>159</v>
      </c>
      <c r="F982" s="14">
        <v>1399567.05</v>
      </c>
      <c r="G982" s="14">
        <f>F982*C982</f>
        <v>3358960.92</v>
      </c>
      <c r="H982" s="15">
        <f>IF($G$1279=0,0,G982/$G$1279*100)</f>
      </c>
      <c r="I982" s="12" t="str">
        <f>IF(O982-C982&gt;0,O982-C982,"")</f>
        <v/>
      </c>
      <c r="J982" s="14" t="str">
        <f>IF(I982="","",F982*I982)</f>
        <v/>
      </c>
      <c r="K982" s="15">
        <f>IF(OR(J982="",$G$1279=0),"",J982/$G$1279*100)</f>
      </c>
      <c r="L982" s="12" t="str">
        <f>IF(C982-O982&gt;0,C982-O982,"")</f>
        <v/>
      </c>
      <c r="M982" s="14" t="str">
        <f>IF(L982="","",F982*L982)</f>
        <v/>
      </c>
      <c r="N982" s="15">
        <f>IF(OR(M982="",$G$1279=0),"",M982/$G$1279*100)</f>
      </c>
      <c r="O982" s="12">
        <v>2.4</v>
      </c>
      <c r="P982" s="14">
        <f>F982*O982</f>
        <v>3358960.92</v>
      </c>
      <c r="Q982" s="15">
        <f>IF($P$1279=0,0,P982/$P$1279*100)</f>
      </c>
      <c r="R982" s="10" t="str">
        <f>IF(O982=C982,"TETAP",IF(C982=0,"BARU",IF(O982=0,"HAPUS",IF(O982&gt;C982,"TAMBAH","KURANG"))))</f>
        <v>TETAP</v>
      </c>
    </row>
    <row r="983" spans="1:18" x14ac:dyDescent="0.25">
      <c r="A983" s="5" t="s">
        <v>38</v>
      </c>
      <c r="B983" s="17" t="s">
        <v>793</v>
      </c>
      <c r="C983" s="7"/>
      <c r="D983" s="7"/>
      <c r="E983" s="5"/>
      <c r="F983" s="8"/>
      <c r="G983" s="8"/>
      <c r="H983" s="9"/>
      <c r="I983" s="7"/>
      <c r="J983" s="8"/>
      <c r="K983" s="9"/>
      <c r="L983" s="7"/>
      <c r="M983" s="8"/>
      <c r="N983" s="9"/>
      <c r="O983" s="7"/>
      <c r="P983" s="8"/>
      <c r="Q983" s="9"/>
      <c r="R983" s="5"/>
    </row>
    <row r="984" spans="1:18" x14ac:dyDescent="0.25">
      <c r="A984" s="10" t="s">
        <v>200</v>
      </c>
      <c r="B984" s="18" t="s">
        <v>690</v>
      </c>
      <c r="C984" s="12">
        <v>0.215</v>
      </c>
      <c r="D984" s="12">
        <v>0</v>
      </c>
      <c r="E984" s="10" t="s">
        <v>159</v>
      </c>
      <c r="F984" s="14">
        <v>48730.7</v>
      </c>
      <c r="G984" s="14">
        <f>F984*C984</f>
        <v>10477.100499999999</v>
      </c>
      <c r="H984" s="15">
        <f>IF($G$1279=0,0,G984/$G$1279*100)</f>
      </c>
      <c r="I984" s="12" t="str">
        <f>IF(O984-C984&gt;0,O984-C984,"")</f>
        <v/>
      </c>
      <c r="J984" s="14" t="str">
        <f>IF(I984="","",F984*I984)</f>
        <v/>
      </c>
      <c r="K984" s="15">
        <f>IF(OR(J984="",$G$1279=0),"",J984/$G$1279*100)</f>
      </c>
      <c r="L984" s="12" t="str">
        <f>IF(C984-O984&gt;0,C984-O984,"")</f>
        <v/>
      </c>
      <c r="M984" s="14" t="str">
        <f>IF(L984="","",F984*L984)</f>
        <v/>
      </c>
      <c r="N984" s="15">
        <f>IF(OR(M984="",$G$1279=0),"",M984/$G$1279*100)</f>
      </c>
      <c r="O984" s="12">
        <v>0.215</v>
      </c>
      <c r="P984" s="14">
        <f>F984*O984</f>
        <v>10477.100499999999</v>
      </c>
      <c r="Q984" s="15">
        <f>IF($P$1279=0,0,P984/$P$1279*100)</f>
      </c>
      <c r="R984" s="10" t="str">
        <f>IF(O984=C984,"TETAP",IF(C984=0,"BARU",IF(O984=0,"HAPUS",IF(O984&gt;C984,"TAMBAH","KURANG"))))</f>
        <v>TETAP</v>
      </c>
    </row>
    <row r="985" spans="1:18" x14ac:dyDescent="0.25">
      <c r="A985" s="10" t="s">
        <v>202</v>
      </c>
      <c r="B985" s="18" t="s">
        <v>187</v>
      </c>
      <c r="C985" s="12">
        <v>2.86</v>
      </c>
      <c r="D985" s="12">
        <v>0</v>
      </c>
      <c r="E985" s="10" t="s">
        <v>26</v>
      </c>
      <c r="F985" s="14">
        <v>218225.13</v>
      </c>
      <c r="G985" s="14">
        <f>F985*C985</f>
        <v>624123.8718</v>
      </c>
      <c r="H985" s="15">
        <f>IF($G$1279=0,0,G985/$G$1279*100)</f>
      </c>
      <c r="I985" s="12" t="str">
        <f>IF(O985-C985&gt;0,O985-C985,"")</f>
        <v/>
      </c>
      <c r="J985" s="14" t="str">
        <f>IF(I985="","",F985*I985)</f>
        <v/>
      </c>
      <c r="K985" s="15">
        <f>IF(OR(J985="",$G$1279=0),"",J985/$G$1279*100)</f>
      </c>
      <c r="L985" s="12" t="str">
        <f>IF(C985-O985&gt;0,C985-O985,"")</f>
        <v/>
      </c>
      <c r="M985" s="14" t="str">
        <f>IF(L985="","",F985*L985)</f>
        <v/>
      </c>
      <c r="N985" s="15">
        <f>IF(OR(M985="",$G$1279=0),"",M985/$G$1279*100)</f>
      </c>
      <c r="O985" s="12">
        <v>2.86</v>
      </c>
      <c r="P985" s="14">
        <f>F985*O985</f>
        <v>624123.8718</v>
      </c>
      <c r="Q985" s="15">
        <f>IF($P$1279=0,0,P985/$P$1279*100)</f>
      </c>
      <c r="R985" s="10" t="str">
        <f>IF(O985=C985,"TETAP",IF(C985=0,"BARU",IF(O985=0,"HAPUS",IF(O985&gt;C985,"TAMBAH","KURANG"))))</f>
        <v>TETAP</v>
      </c>
    </row>
    <row r="986" spans="1:18" x14ac:dyDescent="0.25">
      <c r="A986" s="10" t="s">
        <v>203</v>
      </c>
      <c r="B986" s="18" t="s">
        <v>380</v>
      </c>
      <c r="C986" s="12">
        <v>17.632</v>
      </c>
      <c r="D986" s="12">
        <v>0</v>
      </c>
      <c r="E986" s="10" t="s">
        <v>169</v>
      </c>
      <c r="F986" s="14">
        <v>19252.39</v>
      </c>
      <c r="G986" s="14">
        <f>F986*C986</f>
        <v>339458.14048</v>
      </c>
      <c r="H986" s="15">
        <f>IF($G$1279=0,0,G986/$G$1279*100)</f>
      </c>
      <c r="I986" s="12" t="str">
        <f>IF(O986-C986&gt;0,O986-C986,"")</f>
        <v/>
      </c>
      <c r="J986" s="14" t="str">
        <f>IF(I986="","",F986*I986)</f>
        <v/>
      </c>
      <c r="K986" s="15">
        <f>IF(OR(J986="",$G$1279=0),"",J986/$G$1279*100)</f>
      </c>
      <c r="L986" s="12" t="str">
        <f>IF(C986-O986&gt;0,C986-O986,"")</f>
        <v/>
      </c>
      <c r="M986" s="14" t="str">
        <f>IF(L986="","",F986*L986)</f>
        <v/>
      </c>
      <c r="N986" s="15">
        <f>IF(OR(M986="",$G$1279=0),"",M986/$G$1279*100)</f>
      </c>
      <c r="O986" s="12">
        <v>17.632</v>
      </c>
      <c r="P986" s="14">
        <f>F986*O986</f>
        <v>339458.14048</v>
      </c>
      <c r="Q986" s="15">
        <f>IF($P$1279=0,0,P986/$P$1279*100)</f>
      </c>
      <c r="R986" s="10" t="str">
        <f>IF(O986=C986,"TETAP",IF(C986=0,"BARU",IF(O986=0,"HAPUS",IF(O986&gt;C986,"TAMBAH","KURANG"))))</f>
        <v>TETAP</v>
      </c>
    </row>
    <row r="987" spans="1:18" x14ac:dyDescent="0.25">
      <c r="A987" s="10" t="s">
        <v>204</v>
      </c>
      <c r="B987" s="18" t="s">
        <v>390</v>
      </c>
      <c r="C987" s="12">
        <v>13.731</v>
      </c>
      <c r="D987" s="12">
        <v>0</v>
      </c>
      <c r="E987" s="10" t="s">
        <v>169</v>
      </c>
      <c r="F987" s="14">
        <v>19252.39</v>
      </c>
      <c r="G987" s="14">
        <f>F987*C987</f>
        <v>264354.56708999997</v>
      </c>
      <c r="H987" s="15">
        <f>IF($G$1279=0,0,G987/$G$1279*100)</f>
      </c>
      <c r="I987" s="12" t="str">
        <f>IF(O987-C987&gt;0,O987-C987,"")</f>
        <v/>
      </c>
      <c r="J987" s="14" t="str">
        <f>IF(I987="","",F987*I987)</f>
        <v/>
      </c>
      <c r="K987" s="15">
        <f>IF(OR(J987="",$G$1279=0),"",J987/$G$1279*100)</f>
      </c>
      <c r="L987" s="12" t="str">
        <f>IF(C987-O987&gt;0,C987-O987,"")</f>
        <v/>
      </c>
      <c r="M987" s="14" t="str">
        <f>IF(L987="","",F987*L987)</f>
        <v/>
      </c>
      <c r="N987" s="15">
        <f>IF(OR(M987="",$G$1279=0),"",M987/$G$1279*100)</f>
      </c>
      <c r="O987" s="12">
        <v>13.731</v>
      </c>
      <c r="P987" s="14">
        <f>F987*O987</f>
        <v>264354.56708999997</v>
      </c>
      <c r="Q987" s="15">
        <f>IF($P$1279=0,0,P987/$P$1279*100)</f>
      </c>
      <c r="R987" s="10" t="str">
        <f>IF(O987=C987,"TETAP",IF(C987=0,"BARU",IF(O987=0,"HAPUS",IF(O987&gt;C987,"TAMBAH","KURANG"))))</f>
        <v>TETAP</v>
      </c>
    </row>
    <row r="988" spans="1:18" x14ac:dyDescent="0.25">
      <c r="A988" s="10" t="s">
        <v>206</v>
      </c>
      <c r="B988" s="18" t="s">
        <v>374</v>
      </c>
      <c r="C988" s="12">
        <v>0.215</v>
      </c>
      <c r="D988" s="12">
        <v>0</v>
      </c>
      <c r="E988" s="10" t="s">
        <v>159</v>
      </c>
      <c r="F988" s="14">
        <v>1399567.05</v>
      </c>
      <c r="G988" s="14">
        <f>F988*C988</f>
        <v>300906.91575</v>
      </c>
      <c r="H988" s="15">
        <f>IF($G$1279=0,0,G988/$G$1279*100)</f>
      </c>
      <c r="I988" s="12" t="str">
        <f>IF(O988-C988&gt;0,O988-C988,"")</f>
        <v/>
      </c>
      <c r="J988" s="14" t="str">
        <f>IF(I988="","",F988*I988)</f>
        <v/>
      </c>
      <c r="K988" s="15">
        <f>IF(OR(J988="",$G$1279=0),"",J988/$G$1279*100)</f>
      </c>
      <c r="L988" s="12" t="str">
        <f>IF(C988-O988&gt;0,C988-O988,"")</f>
        <v/>
      </c>
      <c r="M988" s="14" t="str">
        <f>IF(L988="","",F988*L988)</f>
        <v/>
      </c>
      <c r="N988" s="15">
        <f>IF(OR(M988="",$G$1279=0),"",M988/$G$1279*100)</f>
      </c>
      <c r="O988" s="12">
        <v>0.215</v>
      </c>
      <c r="P988" s="14">
        <f>F988*O988</f>
        <v>300906.91575</v>
      </c>
      <c r="Q988" s="15">
        <f>IF($P$1279=0,0,P988/$P$1279*100)</f>
      </c>
      <c r="R988" s="10" t="str">
        <f>IF(O988=C988,"TETAP",IF(C988=0,"BARU",IF(O988=0,"HAPUS",IF(O988&gt;C988,"TAMBAH","KURANG"))))</f>
        <v>TETAP</v>
      </c>
    </row>
    <row r="989" spans="1:18" x14ac:dyDescent="0.25">
      <c r="A989" s="5" t="s">
        <v>108</v>
      </c>
      <c r="B989" s="17" t="s">
        <v>794</v>
      </c>
      <c r="C989" s="7"/>
      <c r="D989" s="7"/>
      <c r="E989" s="5"/>
      <c r="F989" s="8"/>
      <c r="G989" s="8"/>
      <c r="H989" s="9"/>
      <c r="I989" s="7"/>
      <c r="J989" s="8"/>
      <c r="K989" s="9"/>
      <c r="L989" s="7"/>
      <c r="M989" s="8"/>
      <c r="N989" s="9"/>
      <c r="O989" s="7"/>
      <c r="P989" s="8"/>
      <c r="Q989" s="9"/>
      <c r="R989" s="5"/>
    </row>
    <row r="990" spans="1:18" x14ac:dyDescent="0.25">
      <c r="A990" s="10" t="s">
        <v>212</v>
      </c>
      <c r="B990" s="18" t="s">
        <v>201</v>
      </c>
      <c r="C990" s="12">
        <v>0.6</v>
      </c>
      <c r="D990" s="12">
        <v>0</v>
      </c>
      <c r="E990" s="10" t="s">
        <v>159</v>
      </c>
      <c r="F990" s="14">
        <v>48730.7</v>
      </c>
      <c r="G990" s="14">
        <f>F990*C990</f>
        <v>29238.42</v>
      </c>
      <c r="H990" s="15">
        <f>IF($G$1279=0,0,G990/$G$1279*100)</f>
      </c>
      <c r="I990" s="12" t="str">
        <f>IF(O990-C990&gt;0,O990-C990,"")</f>
        <v/>
      </c>
      <c r="J990" s="14" t="str">
        <f>IF(I990="","",F990*I990)</f>
        <v/>
      </c>
      <c r="K990" s="15">
        <f>IF(OR(J990="",$G$1279=0),"",J990/$G$1279*100)</f>
      </c>
      <c r="L990" s="12" t="str">
        <f>IF(C990-O990&gt;0,C990-O990,"")</f>
        <v/>
      </c>
      <c r="M990" s="14" t="str">
        <f>IF(L990="","",F990*L990)</f>
        <v/>
      </c>
      <c r="N990" s="15">
        <f>IF(OR(M990="",$G$1279=0),"",M990/$G$1279*100)</f>
      </c>
      <c r="O990" s="12">
        <v>0.6</v>
      </c>
      <c r="P990" s="14">
        <f>F990*O990</f>
        <v>29238.42</v>
      </c>
      <c r="Q990" s="15">
        <f>IF($P$1279=0,0,P990/$P$1279*100)</f>
      </c>
      <c r="R990" s="10" t="str">
        <f>IF(O990=C990,"TETAP",IF(C990=0,"BARU",IF(O990=0,"HAPUS",IF(O990&gt;C990,"TAMBAH","KURANG"))))</f>
        <v>TETAP</v>
      </c>
    </row>
    <row r="991" spans="1:18" x14ac:dyDescent="0.25">
      <c r="A991" s="10" t="s">
        <v>214</v>
      </c>
      <c r="B991" s="18" t="s">
        <v>368</v>
      </c>
      <c r="C991" s="12">
        <v>0.15</v>
      </c>
      <c r="D991" s="12">
        <v>0</v>
      </c>
      <c r="E991" s="10" t="s">
        <v>159</v>
      </c>
      <c r="F991" s="14">
        <v>342654.98</v>
      </c>
      <c r="G991" s="14">
        <f>F991*C991</f>
        <v>51398.246999999996</v>
      </c>
      <c r="H991" s="15">
        <f>IF($G$1279=0,0,G991/$G$1279*100)</f>
      </c>
      <c r="I991" s="12" t="str">
        <f>IF(O991-C991&gt;0,O991-C991,"")</f>
        <v/>
      </c>
      <c r="J991" s="14" t="str">
        <f>IF(I991="","",F991*I991)</f>
        <v/>
      </c>
      <c r="K991" s="15">
        <f>IF(OR(J991="",$G$1279=0),"",J991/$G$1279*100)</f>
      </c>
      <c r="L991" s="12" t="str">
        <f>IF(C991-O991&gt;0,C991-O991,"")</f>
        <v/>
      </c>
      <c r="M991" s="14" t="str">
        <f>IF(L991="","",F991*L991)</f>
        <v/>
      </c>
      <c r="N991" s="15">
        <f>IF(OR(M991="",$G$1279=0),"",M991/$G$1279*100)</f>
      </c>
      <c r="O991" s="12">
        <v>0.15</v>
      </c>
      <c r="P991" s="14">
        <f>F991*O991</f>
        <v>51398.246999999996</v>
      </c>
      <c r="Q991" s="15">
        <f>IF($P$1279=0,0,P991/$P$1279*100)</f>
      </c>
      <c r="R991" s="10" t="str">
        <f>IF(O991=C991,"TETAP",IF(C991=0,"BARU",IF(O991=0,"HAPUS",IF(O991&gt;C991,"TAMBAH","KURANG"))))</f>
        <v>TETAP</v>
      </c>
    </row>
    <row r="992" spans="1:18" x14ac:dyDescent="0.25">
      <c r="A992" s="10" t="s">
        <v>216</v>
      </c>
      <c r="B992" s="18" t="s">
        <v>465</v>
      </c>
      <c r="C992" s="12">
        <v>0.15</v>
      </c>
      <c r="D992" s="12">
        <v>0</v>
      </c>
      <c r="E992" s="10" t="s">
        <v>159</v>
      </c>
      <c r="F992" s="14">
        <v>1243301.43</v>
      </c>
      <c r="G992" s="14">
        <f>F992*C992</f>
        <v>186495.21449999997</v>
      </c>
      <c r="H992" s="15">
        <f>IF($G$1279=0,0,G992/$G$1279*100)</f>
      </c>
      <c r="I992" s="12" t="str">
        <f>IF(O992-C992&gt;0,O992-C992,"")</f>
        <v/>
      </c>
      <c r="J992" s="14" t="str">
        <f>IF(I992="","",F992*I992)</f>
        <v/>
      </c>
      <c r="K992" s="15">
        <f>IF(OR(J992="",$G$1279=0),"",J992/$G$1279*100)</f>
      </c>
      <c r="L992" s="12" t="str">
        <f>IF(C992-O992&gt;0,C992-O992,"")</f>
        <v/>
      </c>
      <c r="M992" s="14" t="str">
        <f>IF(L992="","",F992*L992)</f>
        <v/>
      </c>
      <c r="N992" s="15">
        <f>IF(OR(M992="",$G$1279=0),"",M992/$G$1279*100)</f>
      </c>
      <c r="O992" s="12">
        <v>0.15</v>
      </c>
      <c r="P992" s="14">
        <f>F992*O992</f>
        <v>186495.21449999997</v>
      </c>
      <c r="Q992" s="15">
        <f>IF($P$1279=0,0,P992/$P$1279*100)</f>
      </c>
      <c r="R992" s="10" t="str">
        <f>IF(O992=C992,"TETAP",IF(C992=0,"BARU",IF(O992=0,"HAPUS",IF(O992&gt;C992,"TAMBAH","KURANG"))))</f>
        <v>TETAP</v>
      </c>
    </row>
    <row r="993" spans="1:18" x14ac:dyDescent="0.25">
      <c r="A993" s="10" t="s">
        <v>218</v>
      </c>
      <c r="B993" s="18" t="s">
        <v>187</v>
      </c>
      <c r="C993" s="12">
        <v>4.8</v>
      </c>
      <c r="D993" s="12">
        <v>0</v>
      </c>
      <c r="E993" s="10" t="s">
        <v>26</v>
      </c>
      <c r="F993" s="14">
        <v>218225.13</v>
      </c>
      <c r="G993" s="14">
        <f>F993*C993</f>
        <v>1047480.624</v>
      </c>
      <c r="H993" s="15">
        <f>IF($G$1279=0,0,G993/$G$1279*100)</f>
      </c>
      <c r="I993" s="12" t="str">
        <f>IF(O993-C993&gt;0,O993-C993,"")</f>
        <v/>
      </c>
      <c r="J993" s="14" t="str">
        <f>IF(I993="","",F993*I993)</f>
        <v/>
      </c>
      <c r="K993" s="15">
        <f>IF(OR(J993="",$G$1279=0),"",J993/$G$1279*100)</f>
      </c>
      <c r="L993" s="12" t="str">
        <f>IF(C993-O993&gt;0,C993-O993,"")</f>
        <v/>
      </c>
      <c r="M993" s="14" t="str">
        <f>IF(L993="","",F993*L993)</f>
        <v/>
      </c>
      <c r="N993" s="15">
        <f>IF(OR(M993="",$G$1279=0),"",M993/$G$1279*100)</f>
      </c>
      <c r="O993" s="12">
        <v>4.8</v>
      </c>
      <c r="P993" s="14">
        <f>F993*O993</f>
        <v>1047480.624</v>
      </c>
      <c r="Q993" s="15">
        <f>IF($P$1279=0,0,P993/$P$1279*100)</f>
      </c>
      <c r="R993" s="10" t="str">
        <f>IF(O993=C993,"TETAP",IF(C993=0,"BARU",IF(O993=0,"HAPUS",IF(O993&gt;C993,"TAMBAH","KURANG"))))</f>
        <v>TETAP</v>
      </c>
    </row>
    <row r="994" spans="1:18" x14ac:dyDescent="0.25">
      <c r="A994" s="10" t="s">
        <v>219</v>
      </c>
      <c r="B994" s="18" t="s">
        <v>768</v>
      </c>
      <c r="C994" s="12">
        <v>108.997</v>
      </c>
      <c r="D994" s="12">
        <v>0</v>
      </c>
      <c r="E994" s="10" t="s">
        <v>169</v>
      </c>
      <c r="F994" s="14">
        <v>19252.39</v>
      </c>
      <c r="G994" s="14">
        <f>F994*C994</f>
        <v>2098452.75283</v>
      </c>
      <c r="H994" s="15">
        <f>IF($G$1279=0,0,G994/$G$1279*100)</f>
      </c>
      <c r="I994" s="12" t="str">
        <f>IF(O994-C994&gt;0,O994-C994,"")</f>
        <v/>
      </c>
      <c r="J994" s="14" t="str">
        <f>IF(I994="","",F994*I994)</f>
        <v/>
      </c>
      <c r="K994" s="15">
        <f>IF(OR(J994="",$G$1279=0),"",J994/$G$1279*100)</f>
      </c>
      <c r="L994" s="12" t="str">
        <f>IF(C994-O994&gt;0,C994-O994,"")</f>
        <v/>
      </c>
      <c r="M994" s="14" t="str">
        <f>IF(L994="","",F994*L994)</f>
        <v/>
      </c>
      <c r="N994" s="15">
        <f>IF(OR(M994="",$G$1279=0),"",M994/$G$1279*100)</f>
      </c>
      <c r="O994" s="12">
        <v>108.997</v>
      </c>
      <c r="P994" s="14">
        <f>F994*O994</f>
        <v>2098452.75283</v>
      </c>
      <c r="Q994" s="15">
        <f>IF($P$1279=0,0,P994/$P$1279*100)</f>
      </c>
      <c r="R994" s="10" t="str">
        <f>IF(O994=C994,"TETAP",IF(C994=0,"BARU",IF(O994=0,"HAPUS",IF(O994&gt;C994,"TAMBAH","KURANG"))))</f>
        <v>TETAP</v>
      </c>
    </row>
    <row r="995" spans="1:18" x14ac:dyDescent="0.25">
      <c r="A995" s="10" t="s">
        <v>272</v>
      </c>
      <c r="B995" s="18" t="s">
        <v>795</v>
      </c>
      <c r="C995" s="12">
        <v>29.987</v>
      </c>
      <c r="D995" s="12">
        <v>0</v>
      </c>
      <c r="E995" s="10" t="s">
        <v>169</v>
      </c>
      <c r="F995" s="14">
        <v>19252.39</v>
      </c>
      <c r="G995" s="14">
        <f>F995*C995</f>
        <v>577321.4189299999</v>
      </c>
      <c r="H995" s="15">
        <f>IF($G$1279=0,0,G995/$G$1279*100)</f>
      </c>
      <c r="I995" s="12" t="str">
        <f>IF(O995-C995&gt;0,O995-C995,"")</f>
        <v/>
      </c>
      <c r="J995" s="14" t="str">
        <f>IF(I995="","",F995*I995)</f>
        <v/>
      </c>
      <c r="K995" s="15">
        <f>IF(OR(J995="",$G$1279=0),"",J995/$G$1279*100)</f>
      </c>
      <c r="L995" s="12" t="str">
        <f>IF(C995-O995&gt;0,C995-O995,"")</f>
        <v/>
      </c>
      <c r="M995" s="14" t="str">
        <f>IF(L995="","",F995*L995)</f>
        <v/>
      </c>
      <c r="N995" s="15">
        <f>IF(OR(M995="",$G$1279=0),"",M995/$G$1279*100)</f>
      </c>
      <c r="O995" s="12">
        <v>29.987</v>
      </c>
      <c r="P995" s="14">
        <f>F995*O995</f>
        <v>577321.4189299999</v>
      </c>
      <c r="Q995" s="15">
        <f>IF($P$1279=0,0,P995/$P$1279*100)</f>
      </c>
      <c r="R995" s="10" t="str">
        <f>IF(O995=C995,"TETAP",IF(C995=0,"BARU",IF(O995=0,"HAPUS",IF(O995&gt;C995,"TAMBAH","KURANG"))))</f>
        <v>TETAP</v>
      </c>
    </row>
    <row r="996" spans="1:18" x14ac:dyDescent="0.25">
      <c r="A996" s="10" t="s">
        <v>452</v>
      </c>
      <c r="B996" s="18" t="s">
        <v>374</v>
      </c>
      <c r="C996" s="12">
        <v>1.8</v>
      </c>
      <c r="D996" s="12">
        <v>0</v>
      </c>
      <c r="E996" s="10" t="s">
        <v>159</v>
      </c>
      <c r="F996" s="14">
        <v>1399567.05</v>
      </c>
      <c r="G996" s="14">
        <f>F996*C996</f>
        <v>2519220.69</v>
      </c>
      <c r="H996" s="15">
        <f>IF($G$1279=0,0,G996/$G$1279*100)</f>
      </c>
      <c r="I996" s="12" t="str">
        <f>IF(O996-C996&gt;0,O996-C996,"")</f>
        <v/>
      </c>
      <c r="J996" s="14" t="str">
        <f>IF(I996="","",F996*I996)</f>
        <v/>
      </c>
      <c r="K996" s="15">
        <f>IF(OR(J996="",$G$1279=0),"",J996/$G$1279*100)</f>
      </c>
      <c r="L996" s="12" t="str">
        <f>IF(C996-O996&gt;0,C996-O996,"")</f>
        <v/>
      </c>
      <c r="M996" s="14" t="str">
        <f>IF(L996="","",F996*L996)</f>
        <v/>
      </c>
      <c r="N996" s="15">
        <f>IF(OR(M996="",$G$1279=0),"",M996/$G$1279*100)</f>
      </c>
      <c r="O996" s="12">
        <v>1.8</v>
      </c>
      <c r="P996" s="14">
        <f>F996*O996</f>
        <v>2519220.69</v>
      </c>
      <c r="Q996" s="15">
        <f>IF($P$1279=0,0,P996/$P$1279*100)</f>
      </c>
      <c r="R996" s="10" t="str">
        <f>IF(O996=C996,"TETAP",IF(C996=0,"BARU",IF(O996=0,"HAPUS",IF(O996&gt;C996,"TAMBAH","KURANG"))))</f>
        <v>TETAP</v>
      </c>
    </row>
    <row r="997" spans="1:18" x14ac:dyDescent="0.25">
      <c r="A997" s="5" t="s">
        <v>110</v>
      </c>
      <c r="B997" s="17" t="s">
        <v>370</v>
      </c>
      <c r="C997" s="7"/>
      <c r="D997" s="7"/>
      <c r="E997" s="5"/>
      <c r="F997" s="8"/>
      <c r="G997" s="8"/>
      <c r="H997" s="9"/>
      <c r="I997" s="7"/>
      <c r="J997" s="8"/>
      <c r="K997" s="9"/>
      <c r="L997" s="7"/>
      <c r="M997" s="8"/>
      <c r="N997" s="9"/>
      <c r="O997" s="7"/>
      <c r="P997" s="8"/>
      <c r="Q997" s="9"/>
      <c r="R997" s="5"/>
    </row>
    <row r="998" spans="1:18" x14ac:dyDescent="0.25">
      <c r="A998" s="10" t="s">
        <v>275</v>
      </c>
      <c r="B998" s="18" t="s">
        <v>371</v>
      </c>
      <c r="C998" s="12">
        <v>4.8</v>
      </c>
      <c r="D998" s="12">
        <v>0</v>
      </c>
      <c r="E998" s="10" t="s">
        <v>26</v>
      </c>
      <c r="F998" s="14">
        <v>229284.3</v>
      </c>
      <c r="G998" s="14">
        <f>F998*C998</f>
        <v>1100564.64</v>
      </c>
      <c r="H998" s="15">
        <f>IF($G$1279=0,0,G998/$G$1279*100)</f>
      </c>
      <c r="I998" s="12" t="str">
        <f>IF(O998-C998&gt;0,O998-C998,"")</f>
        <v/>
      </c>
      <c r="J998" s="14" t="str">
        <f>IF(I998="","",F998*I998)</f>
        <v/>
      </c>
      <c r="K998" s="15">
        <f>IF(OR(J998="",$G$1279=0),"",J998/$G$1279*100)</f>
      </c>
      <c r="L998" s="12" t="str">
        <f>IF(C998-O998&gt;0,C998-O998,"")</f>
        <v/>
      </c>
      <c r="M998" s="14" t="str">
        <f>IF(L998="","",F998*L998)</f>
        <v/>
      </c>
      <c r="N998" s="15">
        <f>IF(OR(M998="",$G$1279=0),"",M998/$G$1279*100)</f>
      </c>
      <c r="O998" s="12">
        <v>4.8</v>
      </c>
      <c r="P998" s="14">
        <f>F998*O998</f>
        <v>1100564.64</v>
      </c>
      <c r="Q998" s="15">
        <f>IF($P$1279=0,0,P998/$P$1279*100)</f>
      </c>
      <c r="R998" s="10" t="str">
        <f>IF(O998=C998,"TETAP",IF(C998=0,"BARU",IF(O998=0,"HAPUS",IF(O998&gt;C998,"TAMBAH","KURANG"))))</f>
        <v>TETAP</v>
      </c>
    </row>
    <row r="999" spans="1:18" x14ac:dyDescent="0.25">
      <c r="A999" s="10" t="s">
        <v>276</v>
      </c>
      <c r="B999" s="18" t="s">
        <v>372</v>
      </c>
      <c r="C999" s="12">
        <v>31.072</v>
      </c>
      <c r="D999" s="12">
        <v>0</v>
      </c>
      <c r="E999" s="10" t="s">
        <v>169</v>
      </c>
      <c r="F999" s="14">
        <v>19252.39</v>
      </c>
      <c r="G999" s="14">
        <f>F999*C999</f>
        <v>598210.26208</v>
      </c>
      <c r="H999" s="15">
        <f>IF($G$1279=0,0,G999/$G$1279*100)</f>
      </c>
      <c r="I999" s="12" t="str">
        <f>IF(O999-C999&gt;0,O999-C999,"")</f>
        <v/>
      </c>
      <c r="J999" s="14" t="str">
        <f>IF(I999="","",F999*I999)</f>
        <v/>
      </c>
      <c r="K999" s="15">
        <f>IF(OR(J999="",$G$1279=0),"",J999/$G$1279*100)</f>
      </c>
      <c r="L999" s="12" t="str">
        <f>IF(C999-O999&gt;0,C999-O999,"")</f>
        <v/>
      </c>
      <c r="M999" s="14" t="str">
        <f>IF(L999="","",F999*L999)</f>
        <v/>
      </c>
      <c r="N999" s="15">
        <f>IF(OR(M999="",$G$1279=0),"",M999/$G$1279*100)</f>
      </c>
      <c r="O999" s="12">
        <v>31.072</v>
      </c>
      <c r="P999" s="14">
        <f>F999*O999</f>
        <v>598210.26208</v>
      </c>
      <c r="Q999" s="15">
        <f>IF($P$1279=0,0,P999/$P$1279*100)</f>
      </c>
      <c r="R999" s="10" t="str">
        <f>IF(O999=C999,"TETAP",IF(C999=0,"BARU",IF(O999=0,"HAPUS",IF(O999&gt;C999,"TAMBAH","KURANG"))))</f>
        <v>TETAP</v>
      </c>
    </row>
    <row r="1000" spans="1:18" x14ac:dyDescent="0.25">
      <c r="A1000" s="10" t="s">
        <v>278</v>
      </c>
      <c r="B1000" s="18" t="s">
        <v>373</v>
      </c>
      <c r="C1000" s="12">
        <v>9.233</v>
      </c>
      <c r="D1000" s="12">
        <v>0</v>
      </c>
      <c r="E1000" s="10" t="s">
        <v>169</v>
      </c>
      <c r="F1000" s="14">
        <v>19252.39</v>
      </c>
      <c r="G1000" s="14">
        <f>F1000*C1000</f>
        <v>177757.31687</v>
      </c>
      <c r="H1000" s="15">
        <f>IF($G$1279=0,0,G1000/$G$1279*100)</f>
      </c>
      <c r="I1000" s="12" t="str">
        <f>IF(O1000-C1000&gt;0,O1000-C1000,"")</f>
        <v/>
      </c>
      <c r="J1000" s="14" t="str">
        <f>IF(I1000="","",F1000*I1000)</f>
        <v/>
      </c>
      <c r="K1000" s="15">
        <f>IF(OR(J1000="",$G$1279=0),"",J1000/$G$1279*100)</f>
      </c>
      <c r="L1000" s="12" t="str">
        <f>IF(C1000-O1000&gt;0,C1000-O1000,"")</f>
        <v/>
      </c>
      <c r="M1000" s="14" t="str">
        <f>IF(L1000="","",F1000*L1000)</f>
        <v/>
      </c>
      <c r="N1000" s="15">
        <f>IF(OR(M1000="",$G$1279=0),"",M1000/$G$1279*100)</f>
      </c>
      <c r="O1000" s="12">
        <v>9.233</v>
      </c>
      <c r="P1000" s="14">
        <f>F1000*O1000</f>
        <v>177757.31687</v>
      </c>
      <c r="Q1000" s="15">
        <f>IF($P$1279=0,0,P1000/$P$1279*100)</f>
      </c>
      <c r="R1000" s="10" t="str">
        <f>IF(O1000=C1000,"TETAP",IF(C1000=0,"BARU",IF(O1000=0,"HAPUS",IF(O1000&gt;C1000,"TAMBAH","KURANG"))))</f>
        <v>TETAP</v>
      </c>
    </row>
    <row r="1001" spans="1:18" x14ac:dyDescent="0.25">
      <c r="A1001" s="10" t="s">
        <v>279</v>
      </c>
      <c r="B1001" s="18" t="s">
        <v>374</v>
      </c>
      <c r="C1001" s="12">
        <v>0.3</v>
      </c>
      <c r="D1001" s="12">
        <v>0</v>
      </c>
      <c r="E1001" s="10" t="s">
        <v>159</v>
      </c>
      <c r="F1001" s="14">
        <v>1399567.05</v>
      </c>
      <c r="G1001" s="14">
        <f>F1001*C1001</f>
        <v>419870.115</v>
      </c>
      <c r="H1001" s="15">
        <f>IF($G$1279=0,0,G1001/$G$1279*100)</f>
      </c>
      <c r="I1001" s="12" t="str">
        <f>IF(O1001-C1001&gt;0,O1001-C1001,"")</f>
        <v/>
      </c>
      <c r="J1001" s="14" t="str">
        <f>IF(I1001="","",F1001*I1001)</f>
        <v/>
      </c>
      <c r="K1001" s="15">
        <f>IF(OR(J1001="",$G$1279=0),"",J1001/$G$1279*100)</f>
      </c>
      <c r="L1001" s="12" t="str">
        <f>IF(C1001-O1001&gt;0,C1001-O1001,"")</f>
        <v/>
      </c>
      <c r="M1001" s="14" t="str">
        <f>IF(L1001="","",F1001*L1001)</f>
        <v/>
      </c>
      <c r="N1001" s="15">
        <f>IF(OR(M1001="",$G$1279=0),"",M1001/$G$1279*100)</f>
      </c>
      <c r="O1001" s="12">
        <v>0.3</v>
      </c>
      <c r="P1001" s="14">
        <f>F1001*O1001</f>
        <v>419870.115</v>
      </c>
      <c r="Q1001" s="15">
        <f>IF($P$1279=0,0,P1001/$P$1279*100)</f>
      </c>
      <c r="R1001" s="10" t="str">
        <f>IF(O1001=C1001,"TETAP",IF(C1001=0,"BARU",IF(O1001=0,"HAPUS",IF(O1001&gt;C1001,"TAMBAH","KURANG"))))</f>
        <v>TETAP</v>
      </c>
    </row>
    <row r="1002" spans="1:18" x14ac:dyDescent="0.25">
      <c r="A1002" s="5" t="s">
        <v>112</v>
      </c>
      <c r="B1002" s="17" t="s">
        <v>375</v>
      </c>
      <c r="C1002" s="7"/>
      <c r="D1002" s="7"/>
      <c r="E1002" s="5"/>
      <c r="F1002" s="8"/>
      <c r="G1002" s="8"/>
      <c r="H1002" s="9"/>
      <c r="I1002" s="7"/>
      <c r="J1002" s="8"/>
      <c r="K1002" s="9"/>
      <c r="L1002" s="7"/>
      <c r="M1002" s="8"/>
      <c r="N1002" s="9"/>
      <c r="O1002" s="7"/>
      <c r="P1002" s="8"/>
      <c r="Q1002" s="9"/>
      <c r="R1002" s="5"/>
    </row>
    <row r="1003" spans="1:18" x14ac:dyDescent="0.25">
      <c r="A1003" s="10" t="s">
        <v>287</v>
      </c>
      <c r="B1003" s="18" t="s">
        <v>371</v>
      </c>
      <c r="C1003" s="12">
        <v>21.48</v>
      </c>
      <c r="D1003" s="12">
        <v>0</v>
      </c>
      <c r="E1003" s="10" t="s">
        <v>26</v>
      </c>
      <c r="F1003" s="14">
        <v>229284.3</v>
      </c>
      <c r="G1003" s="14">
        <f>F1003*C1003</f>
        <v>4925026.7639999995</v>
      </c>
      <c r="H1003" s="15">
        <f>IF($G$1279=0,0,G1003/$G$1279*100)</f>
      </c>
      <c r="I1003" s="12" t="str">
        <f>IF(O1003-C1003&gt;0,O1003-C1003,"")</f>
        <v/>
      </c>
      <c r="J1003" s="14" t="str">
        <f>IF(I1003="","",F1003*I1003)</f>
        <v/>
      </c>
      <c r="K1003" s="15">
        <f>IF(OR(J1003="",$G$1279=0),"",J1003/$G$1279*100)</f>
      </c>
      <c r="L1003" s="12" t="str">
        <f>IF(C1003-O1003&gt;0,C1003-O1003,"")</f>
        <v/>
      </c>
      <c r="M1003" s="14" t="str">
        <f>IF(L1003="","",F1003*L1003)</f>
        <v/>
      </c>
      <c r="N1003" s="15">
        <f>IF(OR(M1003="",$G$1279=0),"",M1003/$G$1279*100)</f>
      </c>
      <c r="O1003" s="12">
        <v>21.48</v>
      </c>
      <c r="P1003" s="14">
        <f>F1003*O1003</f>
        <v>4925026.7639999995</v>
      </c>
      <c r="Q1003" s="15">
        <f>IF($P$1279=0,0,P1003/$P$1279*100)</f>
      </c>
      <c r="R1003" s="10" t="str">
        <f>IF(O1003=C1003,"TETAP",IF(C1003=0,"BARU",IF(O1003=0,"HAPUS",IF(O1003&gt;C1003,"TAMBAH","KURANG"))))</f>
        <v>TETAP</v>
      </c>
    </row>
    <row r="1004" spans="1:18" x14ac:dyDescent="0.25">
      <c r="A1004" s="10" t="s">
        <v>288</v>
      </c>
      <c r="B1004" s="18" t="s">
        <v>372</v>
      </c>
      <c r="C1004" s="12">
        <v>113.337</v>
      </c>
      <c r="D1004" s="12">
        <v>0</v>
      </c>
      <c r="E1004" s="10" t="s">
        <v>169</v>
      </c>
      <c r="F1004" s="14">
        <v>19252.39</v>
      </c>
      <c r="G1004" s="14">
        <f>F1004*C1004</f>
        <v>2182008.12543</v>
      </c>
      <c r="H1004" s="15">
        <f>IF($G$1279=0,0,G1004/$G$1279*100)</f>
      </c>
      <c r="I1004" s="12" t="str">
        <f>IF(O1004-C1004&gt;0,O1004-C1004,"")</f>
        <v/>
      </c>
      <c r="J1004" s="14" t="str">
        <f>IF(I1004="","",F1004*I1004)</f>
        <v/>
      </c>
      <c r="K1004" s="15">
        <f>IF(OR(J1004="",$G$1279=0),"",J1004/$G$1279*100)</f>
      </c>
      <c r="L1004" s="12" t="str">
        <f>IF(C1004-O1004&gt;0,C1004-O1004,"")</f>
        <v/>
      </c>
      <c r="M1004" s="14" t="str">
        <f>IF(L1004="","",F1004*L1004)</f>
        <v/>
      </c>
      <c r="N1004" s="15">
        <f>IF(OR(M1004="",$G$1279=0),"",M1004/$G$1279*100)</f>
      </c>
      <c r="O1004" s="12">
        <v>113.337</v>
      </c>
      <c r="P1004" s="14">
        <f>F1004*O1004</f>
        <v>2182008.12543</v>
      </c>
      <c r="Q1004" s="15">
        <f>IF($P$1279=0,0,P1004/$P$1279*100)</f>
      </c>
      <c r="R1004" s="10" t="str">
        <f>IF(O1004=C1004,"TETAP",IF(C1004=0,"BARU",IF(O1004=0,"HAPUS",IF(O1004&gt;C1004,"TAMBAH","KURANG"))))</f>
        <v>TETAP</v>
      </c>
    </row>
    <row r="1005" spans="1:18" x14ac:dyDescent="0.25">
      <c r="A1005" s="10" t="s">
        <v>289</v>
      </c>
      <c r="B1005" s="18" t="s">
        <v>373</v>
      </c>
      <c r="C1005" s="12">
        <v>42.47</v>
      </c>
      <c r="D1005" s="12">
        <v>0</v>
      </c>
      <c r="E1005" s="10" t="s">
        <v>169</v>
      </c>
      <c r="F1005" s="14">
        <v>19252.39</v>
      </c>
      <c r="G1005" s="14">
        <f>F1005*C1005</f>
        <v>817649.0033</v>
      </c>
      <c r="H1005" s="15">
        <f>IF($G$1279=0,0,G1005/$G$1279*100)</f>
      </c>
      <c r="I1005" s="12" t="str">
        <f>IF(O1005-C1005&gt;0,O1005-C1005,"")</f>
        <v/>
      </c>
      <c r="J1005" s="14" t="str">
        <f>IF(I1005="","",F1005*I1005)</f>
        <v/>
      </c>
      <c r="K1005" s="15">
        <f>IF(OR(J1005="",$G$1279=0),"",J1005/$G$1279*100)</f>
      </c>
      <c r="L1005" s="12" t="str">
        <f>IF(C1005-O1005&gt;0,C1005-O1005,"")</f>
        <v/>
      </c>
      <c r="M1005" s="14" t="str">
        <f>IF(L1005="","",F1005*L1005)</f>
        <v/>
      </c>
      <c r="N1005" s="15">
        <f>IF(OR(M1005="",$G$1279=0),"",M1005/$G$1279*100)</f>
      </c>
      <c r="O1005" s="12">
        <v>42.47</v>
      </c>
      <c r="P1005" s="14">
        <f>F1005*O1005</f>
        <v>817649.0033</v>
      </c>
      <c r="Q1005" s="15">
        <f>IF($P$1279=0,0,P1005/$P$1279*100)</f>
      </c>
      <c r="R1005" s="10" t="str">
        <f>IF(O1005=C1005,"TETAP",IF(C1005=0,"BARU",IF(O1005=0,"HAPUS",IF(O1005&gt;C1005,"TAMBAH","KURANG"))))</f>
        <v>TETAP</v>
      </c>
    </row>
    <row r="1006" spans="1:18" x14ac:dyDescent="0.25">
      <c r="A1006" s="10" t="s">
        <v>290</v>
      </c>
      <c r="B1006" s="18" t="s">
        <v>374</v>
      </c>
      <c r="C1006" s="12">
        <v>1.343</v>
      </c>
      <c r="D1006" s="12">
        <v>0</v>
      </c>
      <c r="E1006" s="10" t="s">
        <v>159</v>
      </c>
      <c r="F1006" s="14">
        <v>1399567.05</v>
      </c>
      <c r="G1006" s="14">
        <f>F1006*C1006</f>
        <v>1879618.54815</v>
      </c>
      <c r="H1006" s="15">
        <f>IF($G$1279=0,0,G1006/$G$1279*100)</f>
      </c>
      <c r="I1006" s="12" t="str">
        <f>IF(O1006-C1006&gt;0,O1006-C1006,"")</f>
        <v/>
      </c>
      <c r="J1006" s="14" t="str">
        <f>IF(I1006="","",F1006*I1006)</f>
        <v/>
      </c>
      <c r="K1006" s="15">
        <f>IF(OR(J1006="",$G$1279=0),"",J1006/$G$1279*100)</f>
      </c>
      <c r="L1006" s="12" t="str">
        <f>IF(C1006-O1006&gt;0,C1006-O1006,"")</f>
        <v/>
      </c>
      <c r="M1006" s="14" t="str">
        <f>IF(L1006="","",F1006*L1006)</f>
        <v/>
      </c>
      <c r="N1006" s="15">
        <f>IF(OR(M1006="",$G$1279=0),"",M1006/$G$1279*100)</f>
      </c>
      <c r="O1006" s="12">
        <v>1.343</v>
      </c>
      <c r="P1006" s="14">
        <f>F1006*O1006</f>
        <v>1879618.54815</v>
      </c>
      <c r="Q1006" s="15">
        <f>IF($P$1279=0,0,P1006/$P$1279*100)</f>
      </c>
      <c r="R1006" s="10" t="str">
        <f>IF(O1006=C1006,"TETAP",IF(C1006=0,"BARU",IF(O1006=0,"HAPUS",IF(O1006&gt;C1006,"TAMBAH","KURANG"))))</f>
        <v>TETAP</v>
      </c>
    </row>
    <row r="1007" spans="1:18" x14ac:dyDescent="0.25">
      <c r="A1007" s="5" t="s">
        <v>115</v>
      </c>
      <c r="B1007" s="17" t="s">
        <v>376</v>
      </c>
      <c r="C1007" s="7"/>
      <c r="D1007" s="7"/>
      <c r="E1007" s="5"/>
      <c r="F1007" s="8"/>
      <c r="G1007" s="8"/>
      <c r="H1007" s="9"/>
      <c r="I1007" s="7"/>
      <c r="J1007" s="8"/>
      <c r="K1007" s="9"/>
      <c r="L1007" s="7"/>
      <c r="M1007" s="8"/>
      <c r="N1007" s="9"/>
      <c r="O1007" s="7"/>
      <c r="P1007" s="8"/>
      <c r="Q1007" s="9"/>
      <c r="R1007" s="5"/>
    </row>
    <row r="1008" spans="1:18" x14ac:dyDescent="0.25">
      <c r="A1008" s="10" t="s">
        <v>117</v>
      </c>
      <c r="B1008" s="18" t="s">
        <v>377</v>
      </c>
      <c r="C1008" s="12">
        <v>17.9</v>
      </c>
      <c r="D1008" s="12">
        <v>0</v>
      </c>
      <c r="E1008" s="10" t="s">
        <v>26</v>
      </c>
      <c r="F1008" s="14">
        <v>236600.08</v>
      </c>
      <c r="G1008" s="14">
        <f>F1008*C1008</f>
        <v>4235141.431999999</v>
      </c>
      <c r="H1008" s="15">
        <f>IF($G$1279=0,0,G1008/$G$1279*100)</f>
      </c>
      <c r="I1008" s="12" t="str">
        <f>IF(O1008-C1008&gt;0,O1008-C1008,"")</f>
        <v/>
      </c>
      <c r="J1008" s="14" t="str">
        <f>IF(I1008="","",F1008*I1008)</f>
        <v/>
      </c>
      <c r="K1008" s="15">
        <f>IF(OR(J1008="",$G$1279=0),"",J1008/$G$1279*100)</f>
      </c>
      <c r="L1008" s="12" t="str">
        <f>IF(C1008-O1008&gt;0,C1008-O1008,"")</f>
        <v/>
      </c>
      <c r="M1008" s="14" t="str">
        <f>IF(L1008="","",F1008*L1008)</f>
        <v/>
      </c>
      <c r="N1008" s="15">
        <f>IF(OR(M1008="",$G$1279=0),"",M1008/$G$1279*100)</f>
      </c>
      <c r="O1008" s="12">
        <v>17.9</v>
      </c>
      <c r="P1008" s="14">
        <f>F1008*O1008</f>
        <v>4235141.431999999</v>
      </c>
      <c r="Q1008" s="15">
        <f>IF($P$1279=0,0,P1008/$P$1279*100)</f>
      </c>
      <c r="R1008" s="10" t="str">
        <f>IF(O1008=C1008,"TETAP",IF(C1008=0,"BARU",IF(O1008=0,"HAPUS",IF(O1008&gt;C1008,"TAMBAH","KURANG"))))</f>
        <v>TETAP</v>
      </c>
    </row>
    <row r="1009" spans="1:18" x14ac:dyDescent="0.25">
      <c r="A1009" s="10" t="s">
        <v>120</v>
      </c>
      <c r="B1009" s="18" t="s">
        <v>363</v>
      </c>
      <c r="C1009" s="12">
        <v>70.898</v>
      </c>
      <c r="D1009" s="12">
        <v>0</v>
      </c>
      <c r="E1009" s="10" t="s">
        <v>169</v>
      </c>
      <c r="F1009" s="14">
        <v>19252.39</v>
      </c>
      <c r="G1009" s="14">
        <f>F1009*C1009</f>
        <v>1364955.9462199998</v>
      </c>
      <c r="H1009" s="15">
        <f>IF($G$1279=0,0,G1009/$G$1279*100)</f>
      </c>
      <c r="I1009" s="12" t="str">
        <f>IF(O1009-C1009&gt;0,O1009-C1009,"")</f>
        <v/>
      </c>
      <c r="J1009" s="14" t="str">
        <f>IF(I1009="","",F1009*I1009)</f>
        <v/>
      </c>
      <c r="K1009" s="15">
        <f>IF(OR(J1009="",$G$1279=0),"",J1009/$G$1279*100)</f>
      </c>
      <c r="L1009" s="12" t="str">
        <f>IF(C1009-O1009&gt;0,C1009-O1009,"")</f>
        <v/>
      </c>
      <c r="M1009" s="14" t="str">
        <f>IF(L1009="","",F1009*L1009)</f>
        <v/>
      </c>
      <c r="N1009" s="15">
        <f>IF(OR(M1009="",$G$1279=0),"",M1009/$G$1279*100)</f>
      </c>
      <c r="O1009" s="12">
        <v>70.898</v>
      </c>
      <c r="P1009" s="14">
        <f>F1009*O1009</f>
        <v>1364955.9462199998</v>
      </c>
      <c r="Q1009" s="15">
        <f>IF($P$1279=0,0,P1009/$P$1279*100)</f>
      </c>
      <c r="R1009" s="10" t="str">
        <f>IF(O1009=C1009,"TETAP",IF(C1009=0,"BARU",IF(O1009=0,"HAPUS",IF(O1009&gt;C1009,"TAMBAH","KURANG"))))</f>
        <v>TETAP</v>
      </c>
    </row>
    <row r="1010" spans="1:18" x14ac:dyDescent="0.25">
      <c r="A1010" s="10" t="s">
        <v>122</v>
      </c>
      <c r="B1010" s="18" t="s">
        <v>364</v>
      </c>
      <c r="C1010" s="12">
        <v>65.276</v>
      </c>
      <c r="D1010" s="12">
        <v>0</v>
      </c>
      <c r="E1010" s="10" t="s">
        <v>169</v>
      </c>
      <c r="F1010" s="14">
        <v>19252.39</v>
      </c>
      <c r="G1010" s="14">
        <f>F1010*C1010</f>
        <v>1256719.0096399998</v>
      </c>
      <c r="H1010" s="15">
        <f>IF($G$1279=0,0,G1010/$G$1279*100)</f>
      </c>
      <c r="I1010" s="12" t="str">
        <f>IF(O1010-C1010&gt;0,O1010-C1010,"")</f>
        <v/>
      </c>
      <c r="J1010" s="14" t="str">
        <f>IF(I1010="","",F1010*I1010)</f>
        <v/>
      </c>
      <c r="K1010" s="15">
        <f>IF(OR(J1010="",$G$1279=0),"",J1010/$G$1279*100)</f>
      </c>
      <c r="L1010" s="12" t="str">
        <f>IF(C1010-O1010&gt;0,C1010-O1010,"")</f>
        <v/>
      </c>
      <c r="M1010" s="14" t="str">
        <f>IF(L1010="","",F1010*L1010)</f>
        <v/>
      </c>
      <c r="N1010" s="15">
        <f>IF(OR(M1010="",$G$1279=0),"",M1010/$G$1279*100)</f>
      </c>
      <c r="O1010" s="12">
        <v>65.276</v>
      </c>
      <c r="P1010" s="14">
        <f>F1010*O1010</f>
        <v>1256719.0096399998</v>
      </c>
      <c r="Q1010" s="15">
        <f>IF($P$1279=0,0,P1010/$P$1279*100)</f>
      </c>
      <c r="R1010" s="10" t="str">
        <f>IF(O1010=C1010,"TETAP",IF(C1010=0,"BARU",IF(O1010=0,"HAPUS",IF(O1010&gt;C1010,"TAMBAH","KURANG"))))</f>
        <v>TETAP</v>
      </c>
    </row>
    <row r="1011" spans="1:18" x14ac:dyDescent="0.25">
      <c r="A1011" s="10" t="s">
        <v>124</v>
      </c>
      <c r="B1011" s="18" t="s">
        <v>374</v>
      </c>
      <c r="C1011" s="12">
        <v>1.61</v>
      </c>
      <c r="D1011" s="12">
        <v>0</v>
      </c>
      <c r="E1011" s="10" t="s">
        <v>159</v>
      </c>
      <c r="F1011" s="14">
        <v>1399567.05</v>
      </c>
      <c r="G1011" s="14">
        <f>F1011*C1011</f>
        <v>2253302.9505000003</v>
      </c>
      <c r="H1011" s="15">
        <f>IF($G$1279=0,0,G1011/$G$1279*100)</f>
      </c>
      <c r="I1011" s="12" t="str">
        <f>IF(O1011-C1011&gt;0,O1011-C1011,"")</f>
        <v/>
      </c>
      <c r="J1011" s="14" t="str">
        <f>IF(I1011="","",F1011*I1011)</f>
        <v/>
      </c>
      <c r="K1011" s="15">
        <f>IF(OR(J1011="",$G$1279=0),"",J1011/$G$1279*100)</f>
      </c>
      <c r="L1011" s="12" t="str">
        <f>IF(C1011-O1011&gt;0,C1011-O1011,"")</f>
        <v/>
      </c>
      <c r="M1011" s="14" t="str">
        <f>IF(L1011="","",F1011*L1011)</f>
        <v/>
      </c>
      <c r="N1011" s="15">
        <f>IF(OR(M1011="",$G$1279=0),"",M1011/$G$1279*100)</f>
      </c>
      <c r="O1011" s="12">
        <v>1.61</v>
      </c>
      <c r="P1011" s="14">
        <f>F1011*O1011</f>
        <v>2253302.9505000003</v>
      </c>
      <c r="Q1011" s="15">
        <f>IF($P$1279=0,0,P1011/$P$1279*100)</f>
      </c>
      <c r="R1011" s="10" t="str">
        <f>IF(O1011=C1011,"TETAP",IF(C1011=0,"BARU",IF(O1011=0,"HAPUS",IF(O1011&gt;C1011,"TAMBAH","KURANG"))))</f>
        <v>TETAP</v>
      </c>
    </row>
    <row r="1012" spans="1:18" x14ac:dyDescent="0.25">
      <c r="A1012" s="5" t="s">
        <v>132</v>
      </c>
      <c r="B1012" s="17" t="s">
        <v>378</v>
      </c>
      <c r="C1012" s="7"/>
      <c r="D1012" s="7"/>
      <c r="E1012" s="5"/>
      <c r="F1012" s="8"/>
      <c r="G1012" s="8"/>
      <c r="H1012" s="9"/>
      <c r="I1012" s="7"/>
      <c r="J1012" s="8"/>
      <c r="K1012" s="9"/>
      <c r="L1012" s="7"/>
      <c r="M1012" s="8"/>
      <c r="N1012" s="9"/>
      <c r="O1012" s="7"/>
      <c r="P1012" s="8"/>
      <c r="Q1012" s="9"/>
      <c r="R1012" s="5"/>
    </row>
    <row r="1013" spans="1:18" x14ac:dyDescent="0.25">
      <c r="A1013" s="10" t="s">
        <v>134</v>
      </c>
      <c r="B1013" s="18" t="s">
        <v>377</v>
      </c>
      <c r="C1013" s="12">
        <v>8.1</v>
      </c>
      <c r="D1013" s="12">
        <v>0</v>
      </c>
      <c r="E1013" s="10" t="s">
        <v>26</v>
      </c>
      <c r="F1013" s="14">
        <v>236600.08</v>
      </c>
      <c r="G1013" s="14">
        <f>F1013*C1013</f>
        <v>1916460.6479999998</v>
      </c>
      <c r="H1013" s="15">
        <f>IF($G$1279=0,0,G1013/$G$1279*100)</f>
      </c>
      <c r="I1013" s="12" t="str">
        <f>IF(O1013-C1013&gt;0,O1013-C1013,"")</f>
        <v/>
      </c>
      <c r="J1013" s="14" t="str">
        <f>IF(I1013="","",F1013*I1013)</f>
        <v/>
      </c>
      <c r="K1013" s="15">
        <f>IF(OR(J1013="",$G$1279=0),"",J1013/$G$1279*100)</f>
      </c>
      <c r="L1013" s="12" t="str">
        <f>IF(C1013-O1013&gt;0,C1013-O1013,"")</f>
        <v/>
      </c>
      <c r="M1013" s="14" t="str">
        <f>IF(L1013="","",F1013*L1013)</f>
        <v/>
      </c>
      <c r="N1013" s="15">
        <f>IF(OR(M1013="",$G$1279=0),"",M1013/$G$1279*100)</f>
      </c>
      <c r="O1013" s="12">
        <v>8.1</v>
      </c>
      <c r="P1013" s="14">
        <f>F1013*O1013</f>
        <v>1916460.6479999998</v>
      </c>
      <c r="Q1013" s="15">
        <f>IF($P$1279=0,0,P1013/$P$1279*100)</f>
      </c>
      <c r="R1013" s="10" t="str">
        <f>IF(O1013=C1013,"TETAP",IF(C1013=0,"BARU",IF(O1013=0,"HAPUS",IF(O1013&gt;C1013,"TAMBAH","KURANG"))))</f>
        <v>TETAP</v>
      </c>
    </row>
    <row r="1014" spans="1:18" x14ac:dyDescent="0.25">
      <c r="A1014" s="10" t="s">
        <v>136</v>
      </c>
      <c r="B1014" s="18" t="s">
        <v>363</v>
      </c>
      <c r="C1014" s="12">
        <v>27.743</v>
      </c>
      <c r="D1014" s="12">
        <v>0</v>
      </c>
      <c r="E1014" s="10" t="s">
        <v>169</v>
      </c>
      <c r="F1014" s="14">
        <v>19252.39</v>
      </c>
      <c r="G1014" s="14">
        <f>F1014*C1014</f>
        <v>534119.05577</v>
      </c>
      <c r="H1014" s="15">
        <f>IF($G$1279=0,0,G1014/$G$1279*100)</f>
      </c>
      <c r="I1014" s="12" t="str">
        <f>IF(O1014-C1014&gt;0,O1014-C1014,"")</f>
        <v/>
      </c>
      <c r="J1014" s="14" t="str">
        <f>IF(I1014="","",F1014*I1014)</f>
        <v/>
      </c>
      <c r="K1014" s="15">
        <f>IF(OR(J1014="",$G$1279=0),"",J1014/$G$1279*100)</f>
      </c>
      <c r="L1014" s="12" t="str">
        <f>IF(C1014-O1014&gt;0,C1014-O1014,"")</f>
        <v/>
      </c>
      <c r="M1014" s="14" t="str">
        <f>IF(L1014="","",F1014*L1014)</f>
        <v/>
      </c>
      <c r="N1014" s="15">
        <f>IF(OR(M1014="",$G$1279=0),"",M1014/$G$1279*100)</f>
      </c>
      <c r="O1014" s="12">
        <v>27.743</v>
      </c>
      <c r="P1014" s="14">
        <f>F1014*O1014</f>
        <v>534119.05577</v>
      </c>
      <c r="Q1014" s="15">
        <f>IF($P$1279=0,0,P1014/$P$1279*100)</f>
      </c>
      <c r="R1014" s="10" t="str">
        <f>IF(O1014=C1014,"TETAP",IF(C1014=0,"BARU",IF(O1014=0,"HAPUS",IF(O1014&gt;C1014,"TAMBAH","KURANG"))))</f>
        <v>TETAP</v>
      </c>
    </row>
    <row r="1015" spans="1:18" x14ac:dyDescent="0.25">
      <c r="A1015" s="10" t="s">
        <v>381</v>
      </c>
      <c r="B1015" s="18" t="s">
        <v>364</v>
      </c>
      <c r="C1015" s="12">
        <v>25.694</v>
      </c>
      <c r="D1015" s="12">
        <v>0</v>
      </c>
      <c r="E1015" s="10" t="s">
        <v>169</v>
      </c>
      <c r="F1015" s="14">
        <v>19252.39</v>
      </c>
      <c r="G1015" s="14">
        <f>F1015*C1015</f>
        <v>494670.90865999996</v>
      </c>
      <c r="H1015" s="15">
        <f>IF($G$1279=0,0,G1015/$G$1279*100)</f>
      </c>
      <c r="I1015" s="12" t="str">
        <f>IF(O1015-C1015&gt;0,O1015-C1015,"")</f>
        <v/>
      </c>
      <c r="J1015" s="14" t="str">
        <f>IF(I1015="","",F1015*I1015)</f>
        <v/>
      </c>
      <c r="K1015" s="15">
        <f>IF(OR(J1015="",$G$1279=0),"",J1015/$G$1279*100)</f>
      </c>
      <c r="L1015" s="12" t="str">
        <f>IF(C1015-O1015&gt;0,C1015-O1015,"")</f>
        <v/>
      </c>
      <c r="M1015" s="14" t="str">
        <f>IF(L1015="","",F1015*L1015)</f>
        <v/>
      </c>
      <c r="N1015" s="15">
        <f>IF(OR(M1015="",$G$1279=0),"",M1015/$G$1279*100)</f>
      </c>
      <c r="O1015" s="12">
        <v>25.694</v>
      </c>
      <c r="P1015" s="14">
        <f>F1015*O1015</f>
        <v>494670.90865999996</v>
      </c>
      <c r="Q1015" s="15">
        <f>IF($P$1279=0,0,P1015/$P$1279*100)</f>
      </c>
      <c r="R1015" s="10" t="str">
        <f>IF(O1015=C1015,"TETAP",IF(C1015=0,"BARU",IF(O1015=0,"HAPUS",IF(O1015&gt;C1015,"TAMBAH","KURANG"))))</f>
        <v>TETAP</v>
      </c>
    </row>
    <row r="1016" spans="1:18" x14ac:dyDescent="0.25">
      <c r="A1016" s="10" t="s">
        <v>382</v>
      </c>
      <c r="B1016" s="18" t="s">
        <v>374</v>
      </c>
      <c r="C1016" s="12">
        <v>0.63</v>
      </c>
      <c r="D1016" s="12">
        <v>0</v>
      </c>
      <c r="E1016" s="10" t="s">
        <v>159</v>
      </c>
      <c r="F1016" s="14">
        <v>1399567.05</v>
      </c>
      <c r="G1016" s="14">
        <f>F1016*C1016</f>
        <v>881727.2415</v>
      </c>
      <c r="H1016" s="15">
        <f>IF($G$1279=0,0,G1016/$G$1279*100)</f>
      </c>
      <c r="I1016" s="12" t="str">
        <f>IF(O1016-C1016&gt;0,O1016-C1016,"")</f>
        <v/>
      </c>
      <c r="J1016" s="14" t="str">
        <f>IF(I1016="","",F1016*I1016)</f>
        <v/>
      </c>
      <c r="K1016" s="15">
        <f>IF(OR(J1016="",$G$1279=0),"",J1016/$G$1279*100)</f>
      </c>
      <c r="L1016" s="12" t="str">
        <f>IF(C1016-O1016&gt;0,C1016-O1016,"")</f>
        <v/>
      </c>
      <c r="M1016" s="14" t="str">
        <f>IF(L1016="","",F1016*L1016)</f>
        <v/>
      </c>
      <c r="N1016" s="15">
        <f>IF(OR(M1016="",$G$1279=0),"",M1016/$G$1279*100)</f>
      </c>
      <c r="O1016" s="12">
        <v>0.63</v>
      </c>
      <c r="P1016" s="14">
        <f>F1016*O1016</f>
        <v>881727.2415</v>
      </c>
      <c r="Q1016" s="15">
        <f>IF($P$1279=0,0,P1016/$P$1279*100)</f>
      </c>
      <c r="R1016" s="10" t="str">
        <f>IF(O1016=C1016,"TETAP",IF(C1016=0,"BARU",IF(O1016=0,"HAPUS",IF(O1016&gt;C1016,"TAMBAH","KURANG"))))</f>
        <v>TETAP</v>
      </c>
    </row>
    <row r="1017" spans="1:18" x14ac:dyDescent="0.25">
      <c r="A1017" s="5" t="s">
        <v>138</v>
      </c>
      <c r="B1017" s="17" t="s">
        <v>796</v>
      </c>
      <c r="C1017" s="7"/>
      <c r="D1017" s="7"/>
      <c r="E1017" s="5"/>
      <c r="F1017" s="8"/>
      <c r="G1017" s="8"/>
      <c r="H1017" s="9"/>
      <c r="I1017" s="7"/>
      <c r="J1017" s="8"/>
      <c r="K1017" s="9"/>
      <c r="L1017" s="7"/>
      <c r="M1017" s="8"/>
      <c r="N1017" s="9"/>
      <c r="O1017" s="7"/>
      <c r="P1017" s="8"/>
      <c r="Q1017" s="9"/>
      <c r="R1017" s="5"/>
    </row>
    <row r="1018" spans="1:18" x14ac:dyDescent="0.25">
      <c r="A1018" s="10" t="s">
        <v>140</v>
      </c>
      <c r="B1018" s="18" t="s">
        <v>377</v>
      </c>
      <c r="C1018" s="12">
        <v>2.1</v>
      </c>
      <c r="D1018" s="12">
        <v>0</v>
      </c>
      <c r="E1018" s="10" t="s">
        <v>26</v>
      </c>
      <c r="F1018" s="14">
        <v>236600.08</v>
      </c>
      <c r="G1018" s="14">
        <f>F1018*C1018</f>
        <v>496860.168</v>
      </c>
      <c r="H1018" s="15">
        <f>IF($G$1279=0,0,G1018/$G$1279*100)</f>
      </c>
      <c r="I1018" s="12" t="str">
        <f>IF(O1018-C1018&gt;0,O1018-C1018,"")</f>
        <v/>
      </c>
      <c r="J1018" s="14" t="str">
        <f>IF(I1018="","",F1018*I1018)</f>
        <v/>
      </c>
      <c r="K1018" s="15">
        <f>IF(OR(J1018="",$G$1279=0),"",J1018/$G$1279*100)</f>
      </c>
      <c r="L1018" s="12" t="str">
        <f>IF(C1018-O1018&gt;0,C1018-O1018,"")</f>
        <v/>
      </c>
      <c r="M1018" s="14" t="str">
        <f>IF(L1018="","",F1018*L1018)</f>
        <v/>
      </c>
      <c r="N1018" s="15">
        <f>IF(OR(M1018="",$G$1279=0),"",M1018/$G$1279*100)</f>
      </c>
      <c r="O1018" s="12">
        <v>2.1</v>
      </c>
      <c r="P1018" s="14">
        <f>F1018*O1018</f>
        <v>496860.168</v>
      </c>
      <c r="Q1018" s="15">
        <f>IF($P$1279=0,0,P1018/$P$1279*100)</f>
      </c>
      <c r="R1018" s="10" t="str">
        <f>IF(O1018=C1018,"TETAP",IF(C1018=0,"BARU",IF(O1018=0,"HAPUS",IF(O1018&gt;C1018,"TAMBAH","KURANG"))))</f>
        <v>TETAP</v>
      </c>
    </row>
    <row r="1019" spans="1:18" x14ac:dyDescent="0.25">
      <c r="A1019" s="10" t="s">
        <v>142</v>
      </c>
      <c r="B1019" s="18" t="s">
        <v>380</v>
      </c>
      <c r="C1019" s="12">
        <v>10.789</v>
      </c>
      <c r="D1019" s="12">
        <v>0</v>
      </c>
      <c r="E1019" s="10" t="s">
        <v>169</v>
      </c>
      <c r="F1019" s="14">
        <v>19252.39</v>
      </c>
      <c r="G1019" s="14">
        <f>F1019*C1019</f>
        <v>207714.03571</v>
      </c>
      <c r="H1019" s="15">
        <f>IF($G$1279=0,0,G1019/$G$1279*100)</f>
      </c>
      <c r="I1019" s="12" t="str">
        <f>IF(O1019-C1019&gt;0,O1019-C1019,"")</f>
        <v/>
      </c>
      <c r="J1019" s="14" t="str">
        <f>IF(I1019="","",F1019*I1019)</f>
        <v/>
      </c>
      <c r="K1019" s="15">
        <f>IF(OR(J1019="",$G$1279=0),"",J1019/$G$1279*100)</f>
      </c>
      <c r="L1019" s="12" t="str">
        <f>IF(C1019-O1019&gt;0,C1019-O1019,"")</f>
        <v/>
      </c>
      <c r="M1019" s="14" t="str">
        <f>IF(L1019="","",F1019*L1019)</f>
        <v/>
      </c>
      <c r="N1019" s="15">
        <f>IF(OR(M1019="",$G$1279=0),"",M1019/$G$1279*100)</f>
      </c>
      <c r="O1019" s="12">
        <v>10.789</v>
      </c>
      <c r="P1019" s="14">
        <f>F1019*O1019</f>
        <v>207714.03571</v>
      </c>
      <c r="Q1019" s="15">
        <f>IF($P$1279=0,0,P1019/$P$1279*100)</f>
      </c>
      <c r="R1019" s="10" t="str">
        <f>IF(O1019=C1019,"TETAP",IF(C1019=0,"BARU",IF(O1019=0,"HAPUS",IF(O1019&gt;C1019,"TAMBAH","KURANG"))))</f>
        <v>TETAP</v>
      </c>
    </row>
    <row r="1020" spans="1:18" x14ac:dyDescent="0.25">
      <c r="A1020" s="10" t="s">
        <v>512</v>
      </c>
      <c r="B1020" s="18" t="s">
        <v>364</v>
      </c>
      <c r="C1020" s="12">
        <v>6.865</v>
      </c>
      <c r="D1020" s="12">
        <v>0</v>
      </c>
      <c r="E1020" s="10" t="s">
        <v>169</v>
      </c>
      <c r="F1020" s="14">
        <v>19252.39</v>
      </c>
      <c r="G1020" s="14">
        <f>F1020*C1020</f>
        <v>132167.65735</v>
      </c>
      <c r="H1020" s="15">
        <f>IF($G$1279=0,0,G1020/$G$1279*100)</f>
      </c>
      <c r="I1020" s="12" t="str">
        <f>IF(O1020-C1020&gt;0,O1020-C1020,"")</f>
        <v/>
      </c>
      <c r="J1020" s="14" t="str">
        <f>IF(I1020="","",F1020*I1020)</f>
        <v/>
      </c>
      <c r="K1020" s="15">
        <f>IF(OR(J1020="",$G$1279=0),"",J1020/$G$1279*100)</f>
      </c>
      <c r="L1020" s="12" t="str">
        <f>IF(C1020-O1020&gt;0,C1020-O1020,"")</f>
        <v/>
      </c>
      <c r="M1020" s="14" t="str">
        <f>IF(L1020="","",F1020*L1020)</f>
        <v/>
      </c>
      <c r="N1020" s="15">
        <f>IF(OR(M1020="",$G$1279=0),"",M1020/$G$1279*100)</f>
      </c>
      <c r="O1020" s="12">
        <v>6.865</v>
      </c>
      <c r="P1020" s="14">
        <f>F1020*O1020</f>
        <v>132167.65735</v>
      </c>
      <c r="Q1020" s="15">
        <f>IF($P$1279=0,0,P1020/$P$1279*100)</f>
      </c>
      <c r="R1020" s="10" t="str">
        <f>IF(O1020=C1020,"TETAP",IF(C1020=0,"BARU",IF(O1020=0,"HAPUS",IF(O1020&gt;C1020,"TAMBAH","KURANG"))))</f>
        <v>TETAP</v>
      </c>
    </row>
    <row r="1021" spans="1:18" x14ac:dyDescent="0.25">
      <c r="A1021" s="10" t="s">
        <v>514</v>
      </c>
      <c r="B1021" s="18" t="s">
        <v>374</v>
      </c>
      <c r="C1021" s="12">
        <v>0.105</v>
      </c>
      <c r="D1021" s="12">
        <v>0</v>
      </c>
      <c r="E1021" s="10" t="s">
        <v>159</v>
      </c>
      <c r="F1021" s="14">
        <v>1399567.05</v>
      </c>
      <c r="G1021" s="14">
        <f>F1021*C1021</f>
        <v>146954.54025</v>
      </c>
      <c r="H1021" s="15">
        <f>IF($G$1279=0,0,G1021/$G$1279*100)</f>
      </c>
      <c r="I1021" s="12" t="str">
        <f>IF(O1021-C1021&gt;0,O1021-C1021,"")</f>
        <v/>
      </c>
      <c r="J1021" s="14" t="str">
        <f>IF(I1021="","",F1021*I1021)</f>
        <v/>
      </c>
      <c r="K1021" s="15">
        <f>IF(OR(J1021="",$G$1279=0),"",J1021/$G$1279*100)</f>
      </c>
      <c r="L1021" s="12" t="str">
        <f>IF(C1021-O1021&gt;0,C1021-O1021,"")</f>
        <v/>
      </c>
      <c r="M1021" s="14" t="str">
        <f>IF(L1021="","",F1021*L1021)</f>
        <v/>
      </c>
      <c r="N1021" s="15">
        <f>IF(OR(M1021="",$G$1279=0),"",M1021/$G$1279*100)</f>
      </c>
      <c r="O1021" s="12">
        <v>0.105</v>
      </c>
      <c r="P1021" s="14">
        <f>F1021*O1021</f>
        <v>146954.54025</v>
      </c>
      <c r="Q1021" s="15">
        <f>IF($P$1279=0,0,P1021/$P$1279*100)</f>
      </c>
      <c r="R1021" s="10" t="str">
        <f>IF(O1021=C1021,"TETAP",IF(C1021=0,"BARU",IF(O1021=0,"HAPUS",IF(O1021&gt;C1021,"TAMBAH","KURANG"))))</f>
        <v>TETAP</v>
      </c>
    </row>
    <row r="1022" spans="1:18" x14ac:dyDescent="0.25">
      <c r="A1022" s="5" t="s">
        <v>144</v>
      </c>
      <c r="B1022" s="17" t="s">
        <v>383</v>
      </c>
      <c r="C1022" s="7"/>
      <c r="D1022" s="7"/>
      <c r="E1022" s="5"/>
      <c r="F1022" s="8"/>
      <c r="G1022" s="8"/>
      <c r="H1022" s="9"/>
      <c r="I1022" s="7"/>
      <c r="J1022" s="8"/>
      <c r="K1022" s="9"/>
      <c r="L1022" s="7"/>
      <c r="M1022" s="8"/>
      <c r="N1022" s="9"/>
      <c r="O1022" s="7"/>
      <c r="P1022" s="8"/>
      <c r="Q1022" s="9"/>
      <c r="R1022" s="5"/>
    </row>
    <row r="1023" spans="1:18" x14ac:dyDescent="0.25">
      <c r="A1023" s="5" t="s">
        <v>797</v>
      </c>
      <c r="B1023" s="19" t="s">
        <v>385</v>
      </c>
      <c r="C1023" s="7"/>
      <c r="D1023" s="7"/>
      <c r="E1023" s="5"/>
      <c r="F1023" s="8"/>
      <c r="G1023" s="8"/>
      <c r="H1023" s="9"/>
      <c r="I1023" s="7"/>
      <c r="J1023" s="8"/>
      <c r="K1023" s="9"/>
      <c r="L1023" s="7"/>
      <c r="M1023" s="8"/>
      <c r="N1023" s="9"/>
      <c r="O1023" s="7"/>
      <c r="P1023" s="8"/>
      <c r="Q1023" s="9"/>
      <c r="R1023" s="5"/>
    </row>
    <row r="1024" spans="1:18" x14ac:dyDescent="0.25">
      <c r="A1024" s="10" t="s">
        <v>798</v>
      </c>
      <c r="B1024" s="21" t="s">
        <v>377</v>
      </c>
      <c r="C1024" s="12">
        <v>5.568</v>
      </c>
      <c r="D1024" s="12">
        <v>0</v>
      </c>
      <c r="E1024" s="10" t="s">
        <v>26</v>
      </c>
      <c r="F1024" s="14">
        <v>236600.08</v>
      </c>
      <c r="G1024" s="14">
        <f>F1024*C1024</f>
        <v>1317389.2454399997</v>
      </c>
      <c r="H1024" s="15">
        <f>IF($G$1279=0,0,G1024/$G$1279*100)</f>
      </c>
      <c r="I1024" s="12" t="str">
        <f>IF(O1024-C1024&gt;0,O1024-C1024,"")</f>
        <v/>
      </c>
      <c r="J1024" s="14" t="str">
        <f>IF(I1024="","",F1024*I1024)</f>
        <v/>
      </c>
      <c r="K1024" s="15">
        <f>IF(OR(J1024="",$G$1279=0),"",J1024/$G$1279*100)</f>
      </c>
      <c r="L1024" s="12" t="str">
        <f>IF(C1024-O1024&gt;0,C1024-O1024,"")</f>
        <v/>
      </c>
      <c r="M1024" s="14" t="str">
        <f>IF(L1024="","",F1024*L1024)</f>
        <v/>
      </c>
      <c r="N1024" s="15">
        <f>IF(OR(M1024="",$G$1279=0),"",M1024/$G$1279*100)</f>
      </c>
      <c r="O1024" s="12">
        <v>5.568</v>
      </c>
      <c r="P1024" s="14">
        <f>F1024*O1024</f>
        <v>1317389.2454399997</v>
      </c>
      <c r="Q1024" s="15">
        <f>IF($P$1279=0,0,P1024/$P$1279*100)</f>
      </c>
      <c r="R1024" s="10" t="str">
        <f>IF(O1024=C1024,"TETAP",IF(C1024=0,"BARU",IF(O1024=0,"HAPUS",IF(O1024&gt;C1024,"TAMBAH","KURANG"))))</f>
        <v>TETAP</v>
      </c>
    </row>
    <row r="1025" spans="1:18" x14ac:dyDescent="0.25">
      <c r="A1025" s="10" t="s">
        <v>799</v>
      </c>
      <c r="B1025" s="21" t="s">
        <v>388</v>
      </c>
      <c r="C1025" s="12">
        <v>104.78</v>
      </c>
      <c r="D1025" s="12">
        <v>0</v>
      </c>
      <c r="E1025" s="10" t="s">
        <v>169</v>
      </c>
      <c r="F1025" s="14">
        <v>19252.39</v>
      </c>
      <c r="G1025" s="14">
        <f>F1025*C1025</f>
        <v>2017265.4242</v>
      </c>
      <c r="H1025" s="15">
        <f>IF($G$1279=0,0,G1025/$G$1279*100)</f>
      </c>
      <c r="I1025" s="12" t="str">
        <f>IF(O1025-C1025&gt;0,O1025-C1025,"")</f>
        <v/>
      </c>
      <c r="J1025" s="14" t="str">
        <f>IF(I1025="","",F1025*I1025)</f>
        <v/>
      </c>
      <c r="K1025" s="15">
        <f>IF(OR(J1025="",$G$1279=0),"",J1025/$G$1279*100)</f>
      </c>
      <c r="L1025" s="12" t="str">
        <f>IF(C1025-O1025&gt;0,C1025-O1025,"")</f>
        <v/>
      </c>
      <c r="M1025" s="14" t="str">
        <f>IF(L1025="","",F1025*L1025)</f>
        <v/>
      </c>
      <c r="N1025" s="15">
        <f>IF(OR(M1025="",$G$1279=0),"",M1025/$G$1279*100)</f>
      </c>
      <c r="O1025" s="12">
        <v>104.78</v>
      </c>
      <c r="P1025" s="14">
        <f>F1025*O1025</f>
        <v>2017265.4242</v>
      </c>
      <c r="Q1025" s="15">
        <f>IF($P$1279=0,0,P1025/$P$1279*100)</f>
      </c>
      <c r="R1025" s="10" t="str">
        <f>IF(O1025=C1025,"TETAP",IF(C1025=0,"BARU",IF(O1025=0,"HAPUS",IF(O1025&gt;C1025,"TAMBAH","KURANG"))))</f>
        <v>TETAP</v>
      </c>
    </row>
    <row r="1026" spans="1:18" x14ac:dyDescent="0.25">
      <c r="A1026" s="10" t="s">
        <v>800</v>
      </c>
      <c r="B1026" s="21" t="s">
        <v>390</v>
      </c>
      <c r="C1026" s="12">
        <v>152.112</v>
      </c>
      <c r="D1026" s="12">
        <v>0</v>
      </c>
      <c r="E1026" s="10" t="s">
        <v>169</v>
      </c>
      <c r="F1026" s="14">
        <v>19252.39</v>
      </c>
      <c r="G1026" s="14">
        <f>F1026*C1026</f>
        <v>2928519.54768</v>
      </c>
      <c r="H1026" s="15">
        <f>IF($G$1279=0,0,G1026/$G$1279*100)</f>
      </c>
      <c r="I1026" s="12" t="str">
        <f>IF(O1026-C1026&gt;0,O1026-C1026,"")</f>
        <v/>
      </c>
      <c r="J1026" s="14" t="str">
        <f>IF(I1026="","",F1026*I1026)</f>
        <v/>
      </c>
      <c r="K1026" s="15">
        <f>IF(OR(J1026="",$G$1279=0),"",J1026/$G$1279*100)</f>
      </c>
      <c r="L1026" s="12" t="str">
        <f>IF(C1026-O1026&gt;0,C1026-O1026,"")</f>
        <v/>
      </c>
      <c r="M1026" s="14" t="str">
        <f>IF(L1026="","",F1026*L1026)</f>
        <v/>
      </c>
      <c r="N1026" s="15">
        <f>IF(OR(M1026="",$G$1279=0),"",M1026/$G$1279*100)</f>
      </c>
      <c r="O1026" s="12">
        <v>152.112</v>
      </c>
      <c r="P1026" s="14">
        <f>F1026*O1026</f>
        <v>2928519.54768</v>
      </c>
      <c r="Q1026" s="15">
        <f>IF($P$1279=0,0,P1026/$P$1279*100)</f>
      </c>
      <c r="R1026" s="10" t="str">
        <f>IF(O1026=C1026,"TETAP",IF(C1026=0,"BARU",IF(O1026=0,"HAPUS",IF(O1026&gt;C1026,"TAMBAH","KURANG"))))</f>
        <v>TETAP</v>
      </c>
    </row>
    <row r="1027" spans="1:18" x14ac:dyDescent="0.25">
      <c r="A1027" s="10" t="s">
        <v>801</v>
      </c>
      <c r="B1027" s="21" t="s">
        <v>392</v>
      </c>
      <c r="C1027" s="12">
        <v>0.675</v>
      </c>
      <c r="D1027" s="12">
        <v>0</v>
      </c>
      <c r="E1027" s="10" t="s">
        <v>159</v>
      </c>
      <c r="F1027" s="14">
        <v>1399567.05</v>
      </c>
      <c r="G1027" s="14">
        <f>F1027*C1027</f>
        <v>944707.75875</v>
      </c>
      <c r="H1027" s="15">
        <f>IF($G$1279=0,0,G1027/$G$1279*100)</f>
      </c>
      <c r="I1027" s="12" t="str">
        <f>IF(O1027-C1027&gt;0,O1027-C1027,"")</f>
        <v/>
      </c>
      <c r="J1027" s="14" t="str">
        <f>IF(I1027="","",F1027*I1027)</f>
        <v/>
      </c>
      <c r="K1027" s="15">
        <f>IF(OR(J1027="",$G$1279=0),"",J1027/$G$1279*100)</f>
      </c>
      <c r="L1027" s="12" t="str">
        <f>IF(C1027-O1027&gt;0,C1027-O1027,"")</f>
        <v/>
      </c>
      <c r="M1027" s="14" t="str">
        <f>IF(L1027="","",F1027*L1027)</f>
        <v/>
      </c>
      <c r="N1027" s="15">
        <f>IF(OR(M1027="",$G$1279=0),"",M1027/$G$1279*100)</f>
      </c>
      <c r="O1027" s="12">
        <v>0.675</v>
      </c>
      <c r="P1027" s="14">
        <f>F1027*O1027</f>
        <v>944707.75875</v>
      </c>
      <c r="Q1027" s="15">
        <f>IF($P$1279=0,0,P1027/$P$1279*100)</f>
      </c>
      <c r="R1027" s="10" t="str">
        <f>IF(O1027=C1027,"TETAP",IF(C1027=0,"BARU",IF(O1027=0,"HAPUS",IF(O1027&gt;C1027,"TAMBAH","KURANG"))))</f>
        <v>TETAP</v>
      </c>
    </row>
    <row r="1028" spans="1:18" x14ac:dyDescent="0.25">
      <c r="A1028" s="5" t="s">
        <v>802</v>
      </c>
      <c r="B1028" s="19" t="s">
        <v>394</v>
      </c>
      <c r="C1028" s="7"/>
      <c r="D1028" s="7"/>
      <c r="E1028" s="5"/>
      <c r="F1028" s="8"/>
      <c r="G1028" s="8"/>
      <c r="H1028" s="9"/>
      <c r="I1028" s="7"/>
      <c r="J1028" s="8"/>
      <c r="K1028" s="9"/>
      <c r="L1028" s="7"/>
      <c r="M1028" s="8"/>
      <c r="N1028" s="9"/>
      <c r="O1028" s="7"/>
      <c r="P1028" s="8"/>
      <c r="Q1028" s="9"/>
      <c r="R1028" s="5"/>
    </row>
    <row r="1029" spans="1:18" x14ac:dyDescent="0.25">
      <c r="A1029" s="10" t="s">
        <v>803</v>
      </c>
      <c r="B1029" s="21" t="s">
        <v>371</v>
      </c>
      <c r="C1029" s="12">
        <v>1.4</v>
      </c>
      <c r="D1029" s="12">
        <v>0</v>
      </c>
      <c r="E1029" s="10" t="s">
        <v>26</v>
      </c>
      <c r="F1029" s="14">
        <v>229284.3</v>
      </c>
      <c r="G1029" s="14">
        <f>F1029*C1029</f>
        <v>320998.01999999996</v>
      </c>
      <c r="H1029" s="15">
        <f>IF($G$1279=0,0,G1029/$G$1279*100)</f>
      </c>
      <c r="I1029" s="12" t="str">
        <f>IF(O1029-C1029&gt;0,O1029-C1029,"")</f>
        <v/>
      </c>
      <c r="J1029" s="14" t="str">
        <f>IF(I1029="","",F1029*I1029)</f>
        <v/>
      </c>
      <c r="K1029" s="15">
        <f>IF(OR(J1029="",$G$1279=0),"",J1029/$G$1279*100)</f>
      </c>
      <c r="L1029" s="12" t="str">
        <f>IF(C1029-O1029&gt;0,C1029-O1029,"")</f>
        <v/>
      </c>
      <c r="M1029" s="14" t="str">
        <f>IF(L1029="","",F1029*L1029)</f>
        <v/>
      </c>
      <c r="N1029" s="15">
        <f>IF(OR(M1029="",$G$1279=0),"",M1029/$G$1279*100)</f>
      </c>
      <c r="O1029" s="12">
        <v>1.4</v>
      </c>
      <c r="P1029" s="14">
        <f>F1029*O1029</f>
        <v>320998.01999999996</v>
      </c>
      <c r="Q1029" s="15">
        <f>IF($P$1279=0,0,P1029/$P$1279*100)</f>
      </c>
      <c r="R1029" s="10" t="str">
        <f>IF(O1029=C1029,"TETAP",IF(C1029=0,"BARU",IF(O1029=0,"HAPUS",IF(O1029&gt;C1029,"TAMBAH","KURANG"))))</f>
        <v>TETAP</v>
      </c>
    </row>
    <row r="1030" spans="1:18" x14ac:dyDescent="0.25">
      <c r="A1030" s="10" t="s">
        <v>804</v>
      </c>
      <c r="B1030" s="21" t="s">
        <v>388</v>
      </c>
      <c r="C1030" s="12">
        <v>10.85</v>
      </c>
      <c r="D1030" s="12">
        <v>0</v>
      </c>
      <c r="E1030" s="10" t="s">
        <v>169</v>
      </c>
      <c r="F1030" s="14">
        <v>19252.39</v>
      </c>
      <c r="G1030" s="14">
        <f>F1030*C1030</f>
        <v>208888.43149999998</v>
      </c>
      <c r="H1030" s="15">
        <f>IF($G$1279=0,0,G1030/$G$1279*100)</f>
      </c>
      <c r="I1030" s="12" t="str">
        <f>IF(O1030-C1030&gt;0,O1030-C1030,"")</f>
        <v/>
      </c>
      <c r="J1030" s="14" t="str">
        <f>IF(I1030="","",F1030*I1030)</f>
        <v/>
      </c>
      <c r="K1030" s="15">
        <f>IF(OR(J1030="",$G$1279=0),"",J1030/$G$1279*100)</f>
      </c>
      <c r="L1030" s="12" t="str">
        <f>IF(C1030-O1030&gt;0,C1030-O1030,"")</f>
        <v/>
      </c>
      <c r="M1030" s="14" t="str">
        <f>IF(L1030="","",F1030*L1030)</f>
        <v/>
      </c>
      <c r="N1030" s="15">
        <f>IF(OR(M1030="",$G$1279=0),"",M1030/$G$1279*100)</f>
      </c>
      <c r="O1030" s="12">
        <v>10.85</v>
      </c>
      <c r="P1030" s="14">
        <f>F1030*O1030</f>
        <v>208888.43149999998</v>
      </c>
      <c r="Q1030" s="15">
        <f>IF($P$1279=0,0,P1030/$P$1279*100)</f>
      </c>
      <c r="R1030" s="10" t="str">
        <f>IF(O1030=C1030,"TETAP",IF(C1030=0,"BARU",IF(O1030=0,"HAPUS",IF(O1030&gt;C1030,"TAMBAH","KURANG"))))</f>
        <v>TETAP</v>
      </c>
    </row>
    <row r="1031" spans="1:18" x14ac:dyDescent="0.25">
      <c r="A1031" s="10" t="s">
        <v>805</v>
      </c>
      <c r="B1031" s="21" t="s">
        <v>390</v>
      </c>
      <c r="C1031" s="12">
        <v>7.576</v>
      </c>
      <c r="D1031" s="12">
        <v>0</v>
      </c>
      <c r="E1031" s="10" t="s">
        <v>169</v>
      </c>
      <c r="F1031" s="14">
        <v>19252.39</v>
      </c>
      <c r="G1031" s="14">
        <f>F1031*C1031</f>
        <v>145856.10663999998</v>
      </c>
      <c r="H1031" s="15">
        <f>IF($G$1279=0,0,G1031/$G$1279*100)</f>
      </c>
      <c r="I1031" s="12" t="str">
        <f>IF(O1031-C1031&gt;0,O1031-C1031,"")</f>
        <v/>
      </c>
      <c r="J1031" s="14" t="str">
        <f>IF(I1031="","",F1031*I1031)</f>
        <v/>
      </c>
      <c r="K1031" s="15">
        <f>IF(OR(J1031="",$G$1279=0),"",J1031/$G$1279*100)</f>
      </c>
      <c r="L1031" s="12" t="str">
        <f>IF(C1031-O1031&gt;0,C1031-O1031,"")</f>
        <v/>
      </c>
      <c r="M1031" s="14" t="str">
        <f>IF(L1031="","",F1031*L1031)</f>
        <v/>
      </c>
      <c r="N1031" s="15">
        <f>IF(OR(M1031="",$G$1279=0),"",M1031/$G$1279*100)</f>
      </c>
      <c r="O1031" s="12">
        <v>7.576</v>
      </c>
      <c r="P1031" s="14">
        <f>F1031*O1031</f>
        <v>145856.10663999998</v>
      </c>
      <c r="Q1031" s="15">
        <f>IF($P$1279=0,0,P1031/$P$1279*100)</f>
      </c>
      <c r="R1031" s="10" t="str">
        <f>IF(O1031=C1031,"TETAP",IF(C1031=0,"BARU",IF(O1031=0,"HAPUS",IF(O1031&gt;C1031,"TAMBAH","KURANG"))))</f>
        <v>TETAP</v>
      </c>
    </row>
    <row r="1032" spans="1:18" x14ac:dyDescent="0.25">
      <c r="A1032" s="10" t="s">
        <v>806</v>
      </c>
      <c r="B1032" s="21" t="s">
        <v>392</v>
      </c>
      <c r="C1032" s="12">
        <v>0.12</v>
      </c>
      <c r="D1032" s="12">
        <v>0</v>
      </c>
      <c r="E1032" s="10" t="s">
        <v>159</v>
      </c>
      <c r="F1032" s="14">
        <v>1399567.05</v>
      </c>
      <c r="G1032" s="14">
        <f>F1032*C1032</f>
        <v>167948.046</v>
      </c>
      <c r="H1032" s="15">
        <f>IF($G$1279=0,0,G1032/$G$1279*100)</f>
      </c>
      <c r="I1032" s="12" t="str">
        <f>IF(O1032-C1032&gt;0,O1032-C1032,"")</f>
        <v/>
      </c>
      <c r="J1032" s="14" t="str">
        <f>IF(I1032="","",F1032*I1032)</f>
        <v/>
      </c>
      <c r="K1032" s="15">
        <f>IF(OR(J1032="",$G$1279=0),"",J1032/$G$1279*100)</f>
      </c>
      <c r="L1032" s="12" t="str">
        <f>IF(C1032-O1032&gt;0,C1032-O1032,"")</f>
        <v/>
      </c>
      <c r="M1032" s="14" t="str">
        <f>IF(L1032="","",F1032*L1032)</f>
        <v/>
      </c>
      <c r="N1032" s="15">
        <f>IF(OR(M1032="",$G$1279=0),"",M1032/$G$1279*100)</f>
      </c>
      <c r="O1032" s="12">
        <v>0.12</v>
      </c>
      <c r="P1032" s="14">
        <f>F1032*O1032</f>
        <v>167948.046</v>
      </c>
      <c r="Q1032" s="15">
        <f>IF($P$1279=0,0,P1032/$P$1279*100)</f>
      </c>
      <c r="R1032" s="10" t="str">
        <f>IF(O1032=C1032,"TETAP",IF(C1032=0,"BARU",IF(O1032=0,"HAPUS",IF(O1032&gt;C1032,"TAMBAH","KURANG"))))</f>
        <v>TETAP</v>
      </c>
    </row>
    <row r="1033" spans="1:18" x14ac:dyDescent="0.25">
      <c r="A1033" s="5" t="s">
        <v>150</v>
      </c>
      <c r="B1033" s="17" t="s">
        <v>590</v>
      </c>
      <c r="C1033" s="7"/>
      <c r="D1033" s="7"/>
      <c r="E1033" s="5"/>
      <c r="F1033" s="8"/>
      <c r="G1033" s="8"/>
      <c r="H1033" s="9"/>
      <c r="I1033" s="7"/>
      <c r="J1033" s="8"/>
      <c r="K1033" s="9"/>
      <c r="L1033" s="7"/>
      <c r="M1033" s="8"/>
      <c r="N1033" s="9"/>
      <c r="O1033" s="7"/>
      <c r="P1033" s="8"/>
      <c r="Q1033" s="9"/>
      <c r="R1033" s="5"/>
    </row>
    <row r="1034" spans="1:18" x14ac:dyDescent="0.25">
      <c r="A1034" s="10" t="s">
        <v>516</v>
      </c>
      <c r="B1034" s="18" t="s">
        <v>267</v>
      </c>
      <c r="C1034" s="12">
        <v>1.334</v>
      </c>
      <c r="D1034" s="12">
        <v>0</v>
      </c>
      <c r="E1034" s="10" t="s">
        <v>26</v>
      </c>
      <c r="F1034" s="14">
        <v>243079.61</v>
      </c>
      <c r="G1034" s="14">
        <f>F1034*C1034</f>
        <v>324268.19974</v>
      </c>
      <c r="H1034" s="15">
        <f>IF($G$1279=0,0,G1034/$G$1279*100)</f>
      </c>
      <c r="I1034" s="12" t="str">
        <f>IF(O1034-C1034&gt;0,O1034-C1034,"")</f>
        <v/>
      </c>
      <c r="J1034" s="14" t="str">
        <f>IF(I1034="","",F1034*I1034)</f>
        <v/>
      </c>
      <c r="K1034" s="15">
        <f>IF(OR(J1034="",$G$1279=0),"",J1034/$G$1279*100)</f>
      </c>
      <c r="L1034" s="12" t="str">
        <f>IF(C1034-O1034&gt;0,C1034-O1034,"")</f>
        <v/>
      </c>
      <c r="M1034" s="14" t="str">
        <f>IF(L1034="","",F1034*L1034)</f>
        <v/>
      </c>
      <c r="N1034" s="15">
        <f>IF(OR(M1034="",$G$1279=0),"",M1034/$G$1279*100)</f>
      </c>
      <c r="O1034" s="12">
        <v>1.334</v>
      </c>
      <c r="P1034" s="14">
        <f>F1034*O1034</f>
        <v>324268.19974</v>
      </c>
      <c r="Q1034" s="15">
        <f>IF($P$1279=0,0,P1034/$P$1279*100)</f>
      </c>
      <c r="R1034" s="10" t="str">
        <f>IF(O1034=C1034,"TETAP",IF(C1034=0,"BARU",IF(O1034=0,"HAPUS",IF(O1034&gt;C1034,"TAMBAH","KURANG"))))</f>
        <v>TETAP</v>
      </c>
    </row>
    <row r="1035" spans="1:18" x14ac:dyDescent="0.25">
      <c r="A1035" s="10" t="s">
        <v>526</v>
      </c>
      <c r="B1035" s="18" t="s">
        <v>373</v>
      </c>
      <c r="C1035" s="12">
        <v>7.694</v>
      </c>
      <c r="D1035" s="12">
        <v>0</v>
      </c>
      <c r="E1035" s="10" t="s">
        <v>169</v>
      </c>
      <c r="F1035" s="14">
        <v>19252.39</v>
      </c>
      <c r="G1035" s="14">
        <f>F1035*C1035</f>
        <v>148127.88866</v>
      </c>
      <c r="H1035" s="15">
        <f>IF($G$1279=0,0,G1035/$G$1279*100)</f>
      </c>
      <c r="I1035" s="12" t="str">
        <f>IF(O1035-C1035&gt;0,O1035-C1035,"")</f>
        <v/>
      </c>
      <c r="J1035" s="14" t="str">
        <f>IF(I1035="","",F1035*I1035)</f>
        <v/>
      </c>
      <c r="K1035" s="15">
        <f>IF(OR(J1035="",$G$1279=0),"",J1035/$G$1279*100)</f>
      </c>
      <c r="L1035" s="12" t="str">
        <f>IF(C1035-O1035&gt;0,C1035-O1035,"")</f>
        <v/>
      </c>
      <c r="M1035" s="14" t="str">
        <f>IF(L1035="","",F1035*L1035)</f>
        <v/>
      </c>
      <c r="N1035" s="15">
        <f>IF(OR(M1035="",$G$1279=0),"",M1035/$G$1279*100)</f>
      </c>
      <c r="O1035" s="12">
        <v>7.694</v>
      </c>
      <c r="P1035" s="14">
        <f>F1035*O1035</f>
        <v>148127.88866</v>
      </c>
      <c r="Q1035" s="15">
        <f>IF($P$1279=0,0,P1035/$P$1279*100)</f>
      </c>
      <c r="R1035" s="10" t="str">
        <f>IF(O1035=C1035,"TETAP",IF(C1035=0,"BARU",IF(O1035=0,"HAPUS",IF(O1035&gt;C1035,"TAMBAH","KURANG"))))</f>
        <v>TETAP</v>
      </c>
    </row>
    <row r="1036" spans="1:18" x14ac:dyDescent="0.25">
      <c r="A1036" s="10" t="s">
        <v>528</v>
      </c>
      <c r="B1036" s="18" t="s">
        <v>374</v>
      </c>
      <c r="C1036" s="12">
        <v>0.107</v>
      </c>
      <c r="D1036" s="12">
        <v>0</v>
      </c>
      <c r="E1036" s="10" t="s">
        <v>159</v>
      </c>
      <c r="F1036" s="14">
        <v>1399567.05</v>
      </c>
      <c r="G1036" s="14">
        <f>F1036*C1036</f>
        <v>149753.67435000002</v>
      </c>
      <c r="H1036" s="15">
        <f>IF($G$1279=0,0,G1036/$G$1279*100)</f>
      </c>
      <c r="I1036" s="12" t="str">
        <f>IF(O1036-C1036&gt;0,O1036-C1036,"")</f>
        <v/>
      </c>
      <c r="J1036" s="14" t="str">
        <f>IF(I1036="","",F1036*I1036)</f>
        <v/>
      </c>
      <c r="K1036" s="15">
        <f>IF(OR(J1036="",$G$1279=0),"",J1036/$G$1279*100)</f>
      </c>
      <c r="L1036" s="12" t="str">
        <f>IF(C1036-O1036&gt;0,C1036-O1036,"")</f>
        <v/>
      </c>
      <c r="M1036" s="14" t="str">
        <f>IF(L1036="","",F1036*L1036)</f>
        <v/>
      </c>
      <c r="N1036" s="15">
        <f>IF(OR(M1036="",$G$1279=0),"",M1036/$G$1279*100)</f>
      </c>
      <c r="O1036" s="12">
        <v>0.107</v>
      </c>
      <c r="P1036" s="14">
        <f>F1036*O1036</f>
        <v>149753.67435000002</v>
      </c>
      <c r="Q1036" s="15">
        <f>IF($P$1279=0,0,P1036/$P$1279*100)</f>
      </c>
      <c r="R1036" s="10" t="str">
        <f>IF(O1036=C1036,"TETAP",IF(C1036=0,"BARU",IF(O1036=0,"HAPUS",IF(O1036&gt;C1036,"TAMBAH","KURANG"))))</f>
        <v>TETAP</v>
      </c>
    </row>
    <row r="1037" spans="1:18" x14ac:dyDescent="0.25">
      <c r="A1037" s="10" t="s">
        <v>807</v>
      </c>
      <c r="B1037" s="18" t="s">
        <v>455</v>
      </c>
      <c r="C1037" s="12">
        <v>1.07</v>
      </c>
      <c r="D1037" s="12">
        <v>0</v>
      </c>
      <c r="E1037" s="10" t="s">
        <v>26</v>
      </c>
      <c r="F1037" s="14">
        <v>60093.87</v>
      </c>
      <c r="G1037" s="14">
        <f>F1037*C1037</f>
        <v>64300.44090000001</v>
      </c>
      <c r="H1037" s="15">
        <f>IF($G$1279=0,0,G1037/$G$1279*100)</f>
      </c>
      <c r="I1037" s="12" t="str">
        <f>IF(O1037-C1037&gt;0,O1037-C1037,"")</f>
        <v/>
      </c>
      <c r="J1037" s="14" t="str">
        <f>IF(I1037="","",F1037*I1037)</f>
        <v/>
      </c>
      <c r="K1037" s="15">
        <f>IF(OR(J1037="",$G$1279=0),"",J1037/$G$1279*100)</f>
      </c>
      <c r="L1037" s="12" t="str">
        <f>IF(C1037-O1037&gt;0,C1037-O1037,"")</f>
        <v/>
      </c>
      <c r="M1037" s="14" t="str">
        <f>IF(L1037="","",F1037*L1037)</f>
        <v/>
      </c>
      <c r="N1037" s="15">
        <f>IF(OR(M1037="",$G$1279=0),"",M1037/$G$1279*100)</f>
      </c>
      <c r="O1037" s="12">
        <v>1.07</v>
      </c>
      <c r="P1037" s="14">
        <f>F1037*O1037</f>
        <v>64300.44090000001</v>
      </c>
      <c r="Q1037" s="15">
        <f>IF($P$1279=0,0,P1037/$P$1279*100)</f>
      </c>
      <c r="R1037" s="10" t="str">
        <f>IF(O1037=C1037,"TETAP",IF(C1037=0,"BARU",IF(O1037=0,"HAPUS",IF(O1037&gt;C1037,"TAMBAH","KURANG"))))</f>
        <v>TETAP</v>
      </c>
    </row>
    <row r="1038" spans="1:18" x14ac:dyDescent="0.25">
      <c r="A1038" s="10" t="s">
        <v>808</v>
      </c>
      <c r="B1038" s="18" t="s">
        <v>591</v>
      </c>
      <c r="C1038" s="12">
        <v>1.07</v>
      </c>
      <c r="D1038" s="12">
        <v>0</v>
      </c>
      <c r="E1038" s="10" t="s">
        <v>26</v>
      </c>
      <c r="F1038" s="14">
        <v>141562.17</v>
      </c>
      <c r="G1038" s="14">
        <f>F1038*C1038</f>
        <v>151471.52190000002</v>
      </c>
      <c r="H1038" s="15">
        <f>IF($G$1279=0,0,G1038/$G$1279*100)</f>
      </c>
      <c r="I1038" s="12" t="str">
        <f>IF(O1038-C1038&gt;0,O1038-C1038,"")</f>
        <v/>
      </c>
      <c r="J1038" s="14" t="str">
        <f>IF(I1038="","",F1038*I1038)</f>
        <v/>
      </c>
      <c r="K1038" s="15">
        <f>IF(OR(J1038="",$G$1279=0),"",J1038/$G$1279*100)</f>
      </c>
      <c r="L1038" s="12" t="str">
        <f>IF(C1038-O1038&gt;0,C1038-O1038,"")</f>
        <v/>
      </c>
      <c r="M1038" s="14" t="str">
        <f>IF(L1038="","",F1038*L1038)</f>
        <v/>
      </c>
      <c r="N1038" s="15">
        <f>IF(OR(M1038="",$G$1279=0),"",M1038/$G$1279*100)</f>
      </c>
      <c r="O1038" s="12">
        <v>1.07</v>
      </c>
      <c r="P1038" s="14">
        <f>F1038*O1038</f>
        <v>151471.52190000002</v>
      </c>
      <c r="Q1038" s="15">
        <f>IF($P$1279=0,0,P1038/$P$1279*100)</f>
      </c>
      <c r="R1038" s="10" t="str">
        <f>IF(O1038=C1038,"TETAP",IF(C1038=0,"BARU",IF(O1038=0,"HAPUS",IF(O1038&gt;C1038,"TAMBAH","KURANG"))))</f>
        <v>TETAP</v>
      </c>
    </row>
    <row r="1039" spans="1:18" x14ac:dyDescent="0.25">
      <c r="A1039" s="5" t="s">
        <v>152</v>
      </c>
      <c r="B1039" s="17" t="s">
        <v>448</v>
      </c>
      <c r="C1039" s="7"/>
      <c r="D1039" s="7"/>
      <c r="E1039" s="5"/>
      <c r="F1039" s="8"/>
      <c r="G1039" s="8"/>
      <c r="H1039" s="9"/>
      <c r="I1039" s="7"/>
      <c r="J1039" s="8"/>
      <c r="K1039" s="9"/>
      <c r="L1039" s="7"/>
      <c r="M1039" s="8"/>
      <c r="N1039" s="9"/>
      <c r="O1039" s="7"/>
      <c r="P1039" s="8"/>
      <c r="Q1039" s="9"/>
      <c r="R1039" s="5"/>
    </row>
    <row r="1040" spans="1:18" x14ac:dyDescent="0.25">
      <c r="A1040" s="10" t="s">
        <v>809</v>
      </c>
      <c r="B1040" s="18" t="s">
        <v>366</v>
      </c>
      <c r="C1040" s="12">
        <v>1.575</v>
      </c>
      <c r="D1040" s="12">
        <v>0</v>
      </c>
      <c r="E1040" s="10" t="s">
        <v>159</v>
      </c>
      <c r="F1040" s="14">
        <v>211003.3</v>
      </c>
      <c r="G1040" s="14">
        <f>F1040*C1040</f>
        <v>332330.19749999995</v>
      </c>
      <c r="H1040" s="15">
        <f>IF($G$1279=0,0,G1040/$G$1279*100)</f>
      </c>
      <c r="I1040" s="12" t="str">
        <f>IF(O1040-C1040&gt;0,O1040-C1040,"")</f>
        <v/>
      </c>
      <c r="J1040" s="14" t="str">
        <f>IF(I1040="","",F1040*I1040)</f>
        <v/>
      </c>
      <c r="K1040" s="15">
        <f>IF(OR(J1040="",$G$1279=0),"",J1040/$G$1279*100)</f>
      </c>
      <c r="L1040" s="12" t="str">
        <f>IF(C1040-O1040&gt;0,C1040-O1040,"")</f>
        <v/>
      </c>
      <c r="M1040" s="14" t="str">
        <f>IF(L1040="","",F1040*L1040)</f>
        <v/>
      </c>
      <c r="N1040" s="15">
        <f>IF(OR(M1040="",$G$1279=0),"",M1040/$G$1279*100)</f>
      </c>
      <c r="O1040" s="12">
        <v>1.575</v>
      </c>
      <c r="P1040" s="14">
        <f>F1040*O1040</f>
        <v>332330.19749999995</v>
      </c>
      <c r="Q1040" s="15">
        <f>IF($P$1279=0,0,P1040/$P$1279*100)</f>
      </c>
      <c r="R1040" s="10" t="str">
        <f>IF(O1040=C1040,"TETAP",IF(C1040=0,"BARU",IF(O1040=0,"HAPUS",IF(O1040&gt;C1040,"TAMBAH","KURANG"))))</f>
        <v>TETAP</v>
      </c>
    </row>
    <row r="1041" spans="1:18" x14ac:dyDescent="0.25">
      <c r="A1041" s="10" t="s">
        <v>810</v>
      </c>
      <c r="B1041" s="18" t="s">
        <v>367</v>
      </c>
      <c r="C1041" s="12">
        <v>1.575</v>
      </c>
      <c r="D1041" s="12">
        <v>0</v>
      </c>
      <c r="E1041" s="10" t="s">
        <v>159</v>
      </c>
      <c r="F1041" s="14">
        <v>39994.39</v>
      </c>
      <c r="G1041" s="14">
        <f>F1041*C1041</f>
        <v>62991.164249999994</v>
      </c>
      <c r="H1041" s="15">
        <f>IF($G$1279=0,0,G1041/$G$1279*100)</f>
      </c>
      <c r="I1041" s="12" t="str">
        <f>IF(O1041-C1041&gt;0,O1041-C1041,"")</f>
        <v/>
      </c>
      <c r="J1041" s="14" t="str">
        <f>IF(I1041="","",F1041*I1041)</f>
        <v/>
      </c>
      <c r="K1041" s="15">
        <f>IF(OR(J1041="",$G$1279=0),"",J1041/$G$1279*100)</f>
      </c>
      <c r="L1041" s="12" t="str">
        <f>IF(C1041-O1041&gt;0,C1041-O1041,"")</f>
        <v/>
      </c>
      <c r="M1041" s="14" t="str">
        <f>IF(L1041="","",F1041*L1041)</f>
        <v/>
      </c>
      <c r="N1041" s="15">
        <f>IF(OR(M1041="",$G$1279=0),"",M1041/$G$1279*100)</f>
      </c>
      <c r="O1041" s="12">
        <v>1.575</v>
      </c>
      <c r="P1041" s="14">
        <f>F1041*O1041</f>
        <v>62991.164249999994</v>
      </c>
      <c r="Q1041" s="15">
        <f>IF($P$1279=0,0,P1041/$P$1279*100)</f>
      </c>
      <c r="R1041" s="10" t="str">
        <f>IF(O1041=C1041,"TETAP",IF(C1041=0,"BARU",IF(O1041=0,"HAPUS",IF(O1041&gt;C1041,"TAMBAH","KURANG"))))</f>
        <v>TETAP</v>
      </c>
    </row>
    <row r="1042" spans="1:18" x14ac:dyDescent="0.25">
      <c r="A1042" s="10" t="s">
        <v>811</v>
      </c>
      <c r="B1042" s="18" t="s">
        <v>368</v>
      </c>
      <c r="C1042" s="12">
        <v>1.575</v>
      </c>
      <c r="D1042" s="12">
        <v>0</v>
      </c>
      <c r="E1042" s="10" t="s">
        <v>159</v>
      </c>
      <c r="F1042" s="14">
        <v>342654.98</v>
      </c>
      <c r="G1042" s="14">
        <f>F1042*C1042</f>
        <v>539681.5935</v>
      </c>
      <c r="H1042" s="15">
        <f>IF($G$1279=0,0,G1042/$G$1279*100)</f>
      </c>
      <c r="I1042" s="12" t="str">
        <f>IF(O1042-C1042&gt;0,O1042-C1042,"")</f>
        <v/>
      </c>
      <c r="J1042" s="14" t="str">
        <f>IF(I1042="","",F1042*I1042)</f>
        <v/>
      </c>
      <c r="K1042" s="15">
        <f>IF(OR(J1042="",$G$1279=0),"",J1042/$G$1279*100)</f>
      </c>
      <c r="L1042" s="12" t="str">
        <f>IF(C1042-O1042&gt;0,C1042-O1042,"")</f>
        <v/>
      </c>
      <c r="M1042" s="14" t="str">
        <f>IF(L1042="","",F1042*L1042)</f>
        <v/>
      </c>
      <c r="N1042" s="15">
        <f>IF(OR(M1042="",$G$1279=0),"",M1042/$G$1279*100)</f>
      </c>
      <c r="O1042" s="12">
        <v>1.575</v>
      </c>
      <c r="P1042" s="14">
        <f>F1042*O1042</f>
        <v>539681.5935</v>
      </c>
      <c r="Q1042" s="15">
        <f>IF($P$1279=0,0,P1042/$P$1279*100)</f>
      </c>
      <c r="R1042" s="10" t="str">
        <f>IF(O1042=C1042,"TETAP",IF(C1042=0,"BARU",IF(O1042=0,"HAPUS",IF(O1042&gt;C1042,"TAMBAH","KURANG"))))</f>
        <v>TETAP</v>
      </c>
    </row>
    <row r="1043" spans="1:18" x14ac:dyDescent="0.25">
      <c r="A1043" s="10" t="s">
        <v>812</v>
      </c>
      <c r="B1043" s="18" t="s">
        <v>465</v>
      </c>
      <c r="C1043" s="12">
        <v>1.575</v>
      </c>
      <c r="D1043" s="12">
        <v>0</v>
      </c>
      <c r="E1043" s="10" t="s">
        <v>159</v>
      </c>
      <c r="F1043" s="14">
        <v>1243301.43</v>
      </c>
      <c r="G1043" s="14">
        <f>F1043*C1043</f>
        <v>1958199.75225</v>
      </c>
      <c r="H1043" s="15">
        <f>IF($G$1279=0,0,G1043/$G$1279*100)</f>
      </c>
      <c r="I1043" s="12" t="str">
        <f>IF(O1043-C1043&gt;0,O1043-C1043,"")</f>
        <v/>
      </c>
      <c r="J1043" s="14" t="str">
        <f>IF(I1043="","",F1043*I1043)</f>
        <v/>
      </c>
      <c r="K1043" s="15">
        <f>IF(OR(J1043="",$G$1279=0),"",J1043/$G$1279*100)</f>
      </c>
      <c r="L1043" s="12" t="str">
        <f>IF(C1043-O1043&gt;0,C1043-O1043,"")</f>
        <v/>
      </c>
      <c r="M1043" s="14" t="str">
        <f>IF(L1043="","",F1043*L1043)</f>
        <v/>
      </c>
      <c r="N1043" s="15">
        <f>IF(OR(M1043="",$G$1279=0),"",M1043/$G$1279*100)</f>
      </c>
      <c r="O1043" s="12">
        <v>1.575</v>
      </c>
      <c r="P1043" s="14">
        <f>F1043*O1043</f>
        <v>1958199.75225</v>
      </c>
      <c r="Q1043" s="15">
        <f>IF($P$1279=0,0,P1043/$P$1279*100)</f>
      </c>
      <c r="R1043" s="10" t="str">
        <f>IF(O1043=C1043,"TETAP",IF(C1043=0,"BARU",IF(O1043=0,"HAPUS",IF(O1043&gt;C1043,"TAMBAH","KURANG"))))</f>
        <v>TETAP</v>
      </c>
    </row>
    <row r="1044" spans="1:18" x14ac:dyDescent="0.25">
      <c r="A1044" s="10" t="s">
        <v>813</v>
      </c>
      <c r="B1044" s="18" t="s">
        <v>814</v>
      </c>
      <c r="C1044" s="12">
        <v>63</v>
      </c>
      <c r="D1044" s="12">
        <v>0</v>
      </c>
      <c r="E1044" s="10" t="s">
        <v>26</v>
      </c>
      <c r="F1044" s="14">
        <v>70152.73</v>
      </c>
      <c r="G1044" s="14">
        <f>F1044*C1044</f>
        <v>4419621.989999999</v>
      </c>
      <c r="H1044" s="15">
        <f>IF($G$1279=0,0,G1044/$G$1279*100)</f>
      </c>
      <c r="I1044" s="12" t="str">
        <f>IF(O1044-C1044&gt;0,O1044-C1044,"")</f>
        <v/>
      </c>
      <c r="J1044" s="14" t="str">
        <f>IF(I1044="","",F1044*I1044)</f>
        <v/>
      </c>
      <c r="K1044" s="15">
        <f>IF(OR(J1044="",$G$1279=0),"",J1044/$G$1279*100)</f>
      </c>
      <c r="L1044" s="12" t="str">
        <f>IF(C1044-O1044&gt;0,C1044-O1044,"")</f>
        <v/>
      </c>
      <c r="M1044" s="14" t="str">
        <f>IF(L1044="","",F1044*L1044)</f>
        <v/>
      </c>
      <c r="N1044" s="15">
        <f>IF(OR(M1044="",$G$1279=0),"",M1044/$G$1279*100)</f>
      </c>
      <c r="O1044" s="12">
        <v>63</v>
      </c>
      <c r="P1044" s="14">
        <f>F1044*O1044</f>
        <v>4419621.989999999</v>
      </c>
      <c r="Q1044" s="15">
        <f>IF($P$1279=0,0,P1044/$P$1279*100)</f>
      </c>
      <c r="R1044" s="10" t="str">
        <f>IF(O1044=C1044,"TETAP",IF(C1044=0,"BARU",IF(O1044=0,"HAPUS",IF(O1044&gt;C1044,"TAMBAH","KURANG"))))</f>
        <v>TETAP</v>
      </c>
    </row>
    <row r="1045" spans="1:18" x14ac:dyDescent="0.25">
      <c r="A1045" s="10" t="s">
        <v>815</v>
      </c>
      <c r="B1045" s="18" t="s">
        <v>392</v>
      </c>
      <c r="C1045" s="12">
        <v>4.725</v>
      </c>
      <c r="D1045" s="12">
        <v>0</v>
      </c>
      <c r="E1045" s="10" t="s">
        <v>159</v>
      </c>
      <c r="F1045" s="14">
        <v>1399567.05</v>
      </c>
      <c r="G1045" s="14">
        <f>F1045*C1045</f>
        <v>6612954.311249999</v>
      </c>
      <c r="H1045" s="15">
        <f>IF($G$1279=0,0,G1045/$G$1279*100)</f>
      </c>
      <c r="I1045" s="12" t="str">
        <f>IF(O1045-C1045&gt;0,O1045-C1045,"")</f>
        <v/>
      </c>
      <c r="J1045" s="14" t="str">
        <f>IF(I1045="","",F1045*I1045)</f>
        <v/>
      </c>
      <c r="K1045" s="15">
        <f>IF(OR(J1045="",$G$1279=0),"",J1045/$G$1279*100)</f>
      </c>
      <c r="L1045" s="12" t="str">
        <f>IF(C1045-O1045&gt;0,C1045-O1045,"")</f>
        <v/>
      </c>
      <c r="M1045" s="14" t="str">
        <f>IF(L1045="","",F1045*L1045)</f>
        <v/>
      </c>
      <c r="N1045" s="15">
        <f>IF(OR(M1045="",$G$1279=0),"",M1045/$G$1279*100)</f>
      </c>
      <c r="O1045" s="12">
        <v>4.725</v>
      </c>
      <c r="P1045" s="14">
        <f>F1045*O1045</f>
        <v>6612954.311249999</v>
      </c>
      <c r="Q1045" s="15">
        <f>IF($P$1279=0,0,P1045/$P$1279*100)</f>
      </c>
      <c r="R1045" s="10" t="str">
        <f>IF(O1045=C1045,"TETAP",IF(C1045=0,"BARU",IF(O1045=0,"HAPUS",IF(O1045&gt;C1045,"TAMBAH","KURANG"))))</f>
        <v>TETAP</v>
      </c>
    </row>
    <row r="1046" spans="1:18" x14ac:dyDescent="0.25">
      <c r="A1046" s="5" t="s">
        <v>531</v>
      </c>
      <c r="B1046" s="17" t="s">
        <v>816</v>
      </c>
      <c r="C1046" s="7"/>
      <c r="D1046" s="7"/>
      <c r="E1046" s="5"/>
      <c r="F1046" s="8"/>
      <c r="G1046" s="8"/>
      <c r="H1046" s="9"/>
      <c r="I1046" s="7"/>
      <c r="J1046" s="8"/>
      <c r="K1046" s="9"/>
      <c r="L1046" s="7"/>
      <c r="M1046" s="8"/>
      <c r="N1046" s="9"/>
      <c r="O1046" s="7"/>
      <c r="P1046" s="8"/>
      <c r="Q1046" s="9"/>
      <c r="R1046" s="5"/>
    </row>
    <row r="1047" spans="1:18" x14ac:dyDescent="0.25">
      <c r="A1047" s="10" t="s">
        <v>817</v>
      </c>
      <c r="B1047" s="18" t="s">
        <v>366</v>
      </c>
      <c r="C1047" s="12">
        <v>0.536</v>
      </c>
      <c r="D1047" s="12">
        <v>0</v>
      </c>
      <c r="E1047" s="10" t="s">
        <v>159</v>
      </c>
      <c r="F1047" s="14">
        <v>211003.3</v>
      </c>
      <c r="G1047" s="14">
        <f>F1047*C1047</f>
        <v>113097.7688</v>
      </c>
      <c r="H1047" s="15">
        <f>IF($G$1279=0,0,G1047/$G$1279*100)</f>
      </c>
      <c r="I1047" s="12" t="str">
        <f>IF(O1047-C1047&gt;0,O1047-C1047,"")</f>
        <v/>
      </c>
      <c r="J1047" s="14" t="str">
        <f>IF(I1047="","",F1047*I1047)</f>
        <v/>
      </c>
      <c r="K1047" s="15">
        <f>IF(OR(J1047="",$G$1279=0),"",J1047/$G$1279*100)</f>
      </c>
      <c r="L1047" s="12" t="str">
        <f>IF(C1047-O1047&gt;0,C1047-O1047,"")</f>
        <v/>
      </c>
      <c r="M1047" s="14" t="str">
        <f>IF(L1047="","",F1047*L1047)</f>
        <v/>
      </c>
      <c r="N1047" s="15">
        <f>IF(OR(M1047="",$G$1279=0),"",M1047/$G$1279*100)</f>
      </c>
      <c r="O1047" s="12">
        <v>0.536</v>
      </c>
      <c r="P1047" s="14">
        <f>F1047*O1047</f>
        <v>113097.7688</v>
      </c>
      <c r="Q1047" s="15">
        <f>IF($P$1279=0,0,P1047/$P$1279*100)</f>
      </c>
      <c r="R1047" s="10" t="str">
        <f>IF(O1047=C1047,"TETAP",IF(C1047=0,"BARU",IF(O1047=0,"HAPUS",IF(O1047&gt;C1047,"TAMBAH","KURANG"))))</f>
        <v>TETAP</v>
      </c>
    </row>
    <row r="1048" spans="1:18" x14ac:dyDescent="0.25">
      <c r="A1048" s="10" t="s">
        <v>818</v>
      </c>
      <c r="B1048" s="18" t="s">
        <v>367</v>
      </c>
      <c r="C1048" s="12">
        <v>0.536</v>
      </c>
      <c r="D1048" s="12">
        <v>0</v>
      </c>
      <c r="E1048" s="10" t="s">
        <v>159</v>
      </c>
      <c r="F1048" s="14">
        <v>39994.39</v>
      </c>
      <c r="G1048" s="14">
        <f>F1048*C1048</f>
        <v>21436.99304</v>
      </c>
      <c r="H1048" s="15">
        <f>IF($G$1279=0,0,G1048/$G$1279*100)</f>
      </c>
      <c r="I1048" s="12" t="str">
        <f>IF(O1048-C1048&gt;0,O1048-C1048,"")</f>
        <v/>
      </c>
      <c r="J1048" s="14" t="str">
        <f>IF(I1048="","",F1048*I1048)</f>
        <v/>
      </c>
      <c r="K1048" s="15">
        <f>IF(OR(J1048="",$G$1279=0),"",J1048/$G$1279*100)</f>
      </c>
      <c r="L1048" s="12" t="str">
        <f>IF(C1048-O1048&gt;0,C1048-O1048,"")</f>
        <v/>
      </c>
      <c r="M1048" s="14" t="str">
        <f>IF(L1048="","",F1048*L1048)</f>
        <v/>
      </c>
      <c r="N1048" s="15">
        <f>IF(OR(M1048="",$G$1279=0),"",M1048/$G$1279*100)</f>
      </c>
      <c r="O1048" s="12">
        <v>0.536</v>
      </c>
      <c r="P1048" s="14">
        <f>F1048*O1048</f>
        <v>21436.99304</v>
      </c>
      <c r="Q1048" s="15">
        <f>IF($P$1279=0,0,P1048/$P$1279*100)</f>
      </c>
      <c r="R1048" s="10" t="str">
        <f>IF(O1048=C1048,"TETAP",IF(C1048=0,"BARU",IF(O1048=0,"HAPUS",IF(O1048&gt;C1048,"TAMBAH","KURANG"))))</f>
        <v>TETAP</v>
      </c>
    </row>
    <row r="1049" spans="1:18" x14ac:dyDescent="0.25">
      <c r="A1049" s="10" t="s">
        <v>819</v>
      </c>
      <c r="B1049" s="18" t="s">
        <v>368</v>
      </c>
      <c r="C1049" s="12">
        <v>0.536</v>
      </c>
      <c r="D1049" s="12">
        <v>0</v>
      </c>
      <c r="E1049" s="10" t="s">
        <v>159</v>
      </c>
      <c r="F1049" s="14">
        <v>342654.98</v>
      </c>
      <c r="G1049" s="14">
        <f>F1049*C1049</f>
        <v>183663.06928</v>
      </c>
      <c r="H1049" s="15">
        <f>IF($G$1279=0,0,G1049/$G$1279*100)</f>
      </c>
      <c r="I1049" s="12" t="str">
        <f>IF(O1049-C1049&gt;0,O1049-C1049,"")</f>
        <v/>
      </c>
      <c r="J1049" s="14" t="str">
        <f>IF(I1049="","",F1049*I1049)</f>
        <v/>
      </c>
      <c r="K1049" s="15">
        <f>IF(OR(J1049="",$G$1279=0),"",J1049/$G$1279*100)</f>
      </c>
      <c r="L1049" s="12" t="str">
        <f>IF(C1049-O1049&gt;0,C1049-O1049,"")</f>
        <v/>
      </c>
      <c r="M1049" s="14" t="str">
        <f>IF(L1049="","",F1049*L1049)</f>
        <v/>
      </c>
      <c r="N1049" s="15">
        <f>IF(OR(M1049="",$G$1279=0),"",M1049/$G$1279*100)</f>
      </c>
      <c r="O1049" s="12">
        <v>0.536</v>
      </c>
      <c r="P1049" s="14">
        <f>F1049*O1049</f>
        <v>183663.06928</v>
      </c>
      <c r="Q1049" s="15">
        <f>IF($P$1279=0,0,P1049/$P$1279*100)</f>
      </c>
      <c r="R1049" s="10" t="str">
        <f>IF(O1049=C1049,"TETAP",IF(C1049=0,"BARU",IF(O1049=0,"HAPUS",IF(O1049&gt;C1049,"TAMBAH","KURANG"))))</f>
        <v>TETAP</v>
      </c>
    </row>
    <row r="1050" spans="1:18" x14ac:dyDescent="0.25">
      <c r="A1050" s="10" t="s">
        <v>820</v>
      </c>
      <c r="B1050" s="18" t="s">
        <v>465</v>
      </c>
      <c r="C1050" s="12">
        <v>0.536</v>
      </c>
      <c r="D1050" s="12">
        <v>0</v>
      </c>
      <c r="E1050" s="10" t="s">
        <v>159</v>
      </c>
      <c r="F1050" s="14">
        <v>1243301.43</v>
      </c>
      <c r="G1050" s="14">
        <f>F1050*C1050</f>
        <v>666409.56648</v>
      </c>
      <c r="H1050" s="15">
        <f>IF($G$1279=0,0,G1050/$G$1279*100)</f>
      </c>
      <c r="I1050" s="12" t="str">
        <f>IF(O1050-C1050&gt;0,O1050-C1050,"")</f>
        <v/>
      </c>
      <c r="J1050" s="14" t="str">
        <f>IF(I1050="","",F1050*I1050)</f>
        <v/>
      </c>
      <c r="K1050" s="15">
        <f>IF(OR(J1050="",$G$1279=0),"",J1050/$G$1279*100)</f>
      </c>
      <c r="L1050" s="12" t="str">
        <f>IF(C1050-O1050&gt;0,C1050-O1050,"")</f>
        <v/>
      </c>
      <c r="M1050" s="14" t="str">
        <f>IF(L1050="","",F1050*L1050)</f>
        <v/>
      </c>
      <c r="N1050" s="15">
        <f>IF(OR(M1050="",$G$1279=0),"",M1050/$G$1279*100)</f>
      </c>
      <c r="O1050" s="12">
        <v>0.536</v>
      </c>
      <c r="P1050" s="14">
        <f>F1050*O1050</f>
        <v>666409.56648</v>
      </c>
      <c r="Q1050" s="15">
        <f>IF($P$1279=0,0,P1050/$P$1279*100)</f>
      </c>
      <c r="R1050" s="10" t="str">
        <f>IF(O1050=C1050,"TETAP",IF(C1050=0,"BARU",IF(O1050=0,"HAPUS",IF(O1050&gt;C1050,"TAMBAH","KURANG"))))</f>
        <v>TETAP</v>
      </c>
    </row>
    <row r="1051" spans="1:18" x14ac:dyDescent="0.25">
      <c r="A1051" s="10" t="s">
        <v>821</v>
      </c>
      <c r="B1051" s="18" t="s">
        <v>822</v>
      </c>
      <c r="C1051" s="12">
        <v>0.45</v>
      </c>
      <c r="D1051" s="12">
        <v>0</v>
      </c>
      <c r="E1051" s="10" t="s">
        <v>26</v>
      </c>
      <c r="F1051" s="14">
        <v>164501.03</v>
      </c>
      <c r="G1051" s="14">
        <f>F1051*C1051</f>
        <v>74025.4635</v>
      </c>
      <c r="H1051" s="15">
        <f>IF($G$1279=0,0,G1051/$G$1279*100)</f>
      </c>
      <c r="I1051" s="12" t="str">
        <f>IF(O1051-C1051&gt;0,O1051-C1051,"")</f>
        <v/>
      </c>
      <c r="J1051" s="14" t="str">
        <f>IF(I1051="","",F1051*I1051)</f>
        <v/>
      </c>
      <c r="K1051" s="15">
        <f>IF(OR(J1051="",$G$1279=0),"",J1051/$G$1279*100)</f>
      </c>
      <c r="L1051" s="12" t="str">
        <f>IF(C1051-O1051&gt;0,C1051-O1051,"")</f>
        <v/>
      </c>
      <c r="M1051" s="14" t="str">
        <f>IF(L1051="","",F1051*L1051)</f>
        <v/>
      </c>
      <c r="N1051" s="15">
        <f>IF(OR(M1051="",$G$1279=0),"",M1051/$G$1279*100)</f>
      </c>
      <c r="O1051" s="12">
        <v>0.45</v>
      </c>
      <c r="P1051" s="14">
        <f>F1051*O1051</f>
        <v>74025.4635</v>
      </c>
      <c r="Q1051" s="15">
        <f>IF($P$1279=0,0,P1051/$P$1279*100)</f>
      </c>
      <c r="R1051" s="10" t="str">
        <f>IF(O1051=C1051,"TETAP",IF(C1051=0,"BARU",IF(O1051=0,"HAPUS",IF(O1051&gt;C1051,"TAMBAH","KURANG"))))</f>
        <v>TETAP</v>
      </c>
    </row>
    <row r="1052" spans="1:18" x14ac:dyDescent="0.25">
      <c r="A1052" s="10" t="s">
        <v>823</v>
      </c>
      <c r="B1052" s="18" t="s">
        <v>824</v>
      </c>
      <c r="C1052" s="12">
        <v>10.725</v>
      </c>
      <c r="D1052" s="12">
        <v>0</v>
      </c>
      <c r="E1052" s="10" t="s">
        <v>26</v>
      </c>
      <c r="F1052" s="14">
        <v>70152.73</v>
      </c>
      <c r="G1052" s="14">
        <f>F1052*C1052</f>
        <v>752388.0292499999</v>
      </c>
      <c r="H1052" s="15">
        <f>IF($G$1279=0,0,G1052/$G$1279*100)</f>
      </c>
      <c r="I1052" s="12" t="str">
        <f>IF(O1052-C1052&gt;0,O1052-C1052,"")</f>
        <v/>
      </c>
      <c r="J1052" s="14" t="str">
        <f>IF(I1052="","",F1052*I1052)</f>
        <v/>
      </c>
      <c r="K1052" s="15">
        <f>IF(OR(J1052="",$G$1279=0),"",J1052/$G$1279*100)</f>
      </c>
      <c r="L1052" s="12" t="str">
        <f>IF(C1052-O1052&gt;0,C1052-O1052,"")</f>
        <v/>
      </c>
      <c r="M1052" s="14" t="str">
        <f>IF(L1052="","",F1052*L1052)</f>
        <v/>
      </c>
      <c r="N1052" s="15">
        <f>IF(OR(M1052="",$G$1279=0),"",M1052/$G$1279*100)</f>
      </c>
      <c r="O1052" s="12">
        <v>10.725</v>
      </c>
      <c r="P1052" s="14">
        <f>F1052*O1052</f>
        <v>752388.0292499999</v>
      </c>
      <c r="Q1052" s="15">
        <f>IF($P$1279=0,0,P1052/$P$1279*100)</f>
      </c>
      <c r="R1052" s="10" t="str">
        <f>IF(O1052=C1052,"TETAP",IF(C1052=0,"BARU",IF(O1052=0,"HAPUS",IF(O1052&gt;C1052,"TAMBAH","KURANG"))))</f>
        <v>TETAP</v>
      </c>
    </row>
    <row r="1053" spans="1:18" x14ac:dyDescent="0.25">
      <c r="A1053" s="10" t="s">
        <v>825</v>
      </c>
      <c r="B1053" s="18" t="s">
        <v>374</v>
      </c>
      <c r="C1053" s="12">
        <v>1.609</v>
      </c>
      <c r="D1053" s="12">
        <v>0</v>
      </c>
      <c r="E1053" s="10" t="s">
        <v>159</v>
      </c>
      <c r="F1053" s="14">
        <v>1399567.05</v>
      </c>
      <c r="G1053" s="14">
        <f>F1053*C1053</f>
        <v>2251903.38345</v>
      </c>
      <c r="H1053" s="15">
        <f>IF($G$1279=0,0,G1053/$G$1279*100)</f>
      </c>
      <c r="I1053" s="12" t="str">
        <f>IF(O1053-C1053&gt;0,O1053-C1053,"")</f>
        <v/>
      </c>
      <c r="J1053" s="14" t="str">
        <f>IF(I1053="","",F1053*I1053)</f>
        <v/>
      </c>
      <c r="K1053" s="15">
        <f>IF(OR(J1053="",$G$1279=0),"",J1053/$G$1279*100)</f>
      </c>
      <c r="L1053" s="12" t="str">
        <f>IF(C1053-O1053&gt;0,C1053-O1053,"")</f>
        <v/>
      </c>
      <c r="M1053" s="14" t="str">
        <f>IF(L1053="","",F1053*L1053)</f>
        <v/>
      </c>
      <c r="N1053" s="15">
        <f>IF(OR(M1053="",$G$1279=0),"",M1053/$G$1279*100)</f>
      </c>
      <c r="O1053" s="12">
        <v>1.609</v>
      </c>
      <c r="P1053" s="14">
        <f>F1053*O1053</f>
        <v>2251903.38345</v>
      </c>
      <c r="Q1053" s="15">
        <f>IF($P$1279=0,0,P1053/$P$1279*100)</f>
      </c>
      <c r="R1053" s="10" t="str">
        <f>IF(O1053=C1053,"TETAP",IF(C1053=0,"BARU",IF(O1053=0,"HAPUS",IF(O1053&gt;C1053,"TAMBAH","KURANG"))))</f>
        <v>TETAP</v>
      </c>
    </row>
    <row r="1054" spans="1:18" x14ac:dyDescent="0.25">
      <c r="A1054" s="10" t="s">
        <v>826</v>
      </c>
      <c r="B1054" s="18" t="s">
        <v>402</v>
      </c>
      <c r="C1054" s="12">
        <v>0.45</v>
      </c>
      <c r="D1054" s="12">
        <v>0</v>
      </c>
      <c r="E1054" s="10" t="s">
        <v>26</v>
      </c>
      <c r="F1054" s="14">
        <v>60093.87</v>
      </c>
      <c r="G1054" s="14">
        <f>F1054*C1054</f>
        <v>27042.2415</v>
      </c>
      <c r="H1054" s="15">
        <f>IF($G$1279=0,0,G1054/$G$1279*100)</f>
      </c>
      <c r="I1054" s="12" t="str">
        <f>IF(O1054-C1054&gt;0,O1054-C1054,"")</f>
        <v/>
      </c>
      <c r="J1054" s="14" t="str">
        <f>IF(I1054="","",F1054*I1054)</f>
        <v/>
      </c>
      <c r="K1054" s="15">
        <f>IF(OR(J1054="",$G$1279=0),"",J1054/$G$1279*100)</f>
      </c>
      <c r="L1054" s="12" t="str">
        <f>IF(C1054-O1054&gt;0,C1054-O1054,"")</f>
        <v/>
      </c>
      <c r="M1054" s="14" t="str">
        <f>IF(L1054="","",F1054*L1054)</f>
        <v/>
      </c>
      <c r="N1054" s="15">
        <f>IF(OR(M1054="",$G$1279=0),"",M1054/$G$1279*100)</f>
      </c>
      <c r="O1054" s="12">
        <v>0.45</v>
      </c>
      <c r="P1054" s="14">
        <f>F1054*O1054</f>
        <v>27042.2415</v>
      </c>
      <c r="Q1054" s="15">
        <f>IF($P$1279=0,0,P1054/$P$1279*100)</f>
      </c>
      <c r="R1054" s="10" t="str">
        <f>IF(O1054=C1054,"TETAP",IF(C1054=0,"BARU",IF(O1054=0,"HAPUS",IF(O1054&gt;C1054,"TAMBAH","KURANG"))))</f>
        <v>TETAP</v>
      </c>
    </row>
    <row r="1055" spans="1:18" x14ac:dyDescent="0.25">
      <c r="A1055" s="10" t="s">
        <v>827</v>
      </c>
      <c r="B1055" s="18" t="s">
        <v>182</v>
      </c>
      <c r="C1055" s="12">
        <v>0.45</v>
      </c>
      <c r="D1055" s="12">
        <v>0</v>
      </c>
      <c r="E1055" s="10" t="s">
        <v>26</v>
      </c>
      <c r="F1055" s="14">
        <v>44344.2</v>
      </c>
      <c r="G1055" s="14">
        <f>F1055*C1055</f>
        <v>19954.89</v>
      </c>
      <c r="H1055" s="15">
        <f>IF($G$1279=0,0,G1055/$G$1279*100)</f>
      </c>
      <c r="I1055" s="12" t="str">
        <f>IF(O1055-C1055&gt;0,O1055-C1055,"")</f>
        <v/>
      </c>
      <c r="J1055" s="14" t="str">
        <f>IF(I1055="","",F1055*I1055)</f>
        <v/>
      </c>
      <c r="K1055" s="15">
        <f>IF(OR(J1055="",$G$1279=0),"",J1055/$G$1279*100)</f>
      </c>
      <c r="L1055" s="12" t="str">
        <f>IF(C1055-O1055&gt;0,C1055-O1055,"")</f>
        <v/>
      </c>
      <c r="M1055" s="14" t="str">
        <f>IF(L1055="","",F1055*L1055)</f>
        <v/>
      </c>
      <c r="N1055" s="15">
        <f>IF(OR(M1055="",$G$1279=0),"",M1055/$G$1279*100)</f>
      </c>
      <c r="O1055" s="12">
        <v>0.45</v>
      </c>
      <c r="P1055" s="14">
        <f>F1055*O1055</f>
        <v>19954.89</v>
      </c>
      <c r="Q1055" s="15">
        <f>IF($P$1279=0,0,P1055/$P$1279*100)</f>
      </c>
      <c r="R1055" s="10" t="str">
        <f>IF(O1055=C1055,"TETAP",IF(C1055=0,"BARU",IF(O1055=0,"HAPUS",IF(O1055&gt;C1055,"TAMBAH","KURANG"))))</f>
        <v>TETAP</v>
      </c>
    </row>
    <row r="1056" spans="1:18" x14ac:dyDescent="0.25">
      <c r="A1056" s="5" t="s">
        <v>828</v>
      </c>
      <c r="B1056" s="16" t="s">
        <v>829</v>
      </c>
      <c r="C1056" s="7"/>
      <c r="D1056" s="7"/>
      <c r="E1056" s="5"/>
      <c r="F1056" s="8"/>
      <c r="G1056" s="8"/>
      <c r="H1056" s="9"/>
      <c r="I1056" s="7"/>
      <c r="J1056" s="8"/>
      <c r="K1056" s="9"/>
      <c r="L1056" s="7"/>
      <c r="M1056" s="8"/>
      <c r="N1056" s="9"/>
      <c r="O1056" s="7"/>
      <c r="P1056" s="8"/>
      <c r="Q1056" s="9"/>
      <c r="R1056" s="5"/>
    </row>
    <row r="1057" spans="1:18" x14ac:dyDescent="0.25">
      <c r="A1057" s="10" t="s">
        <v>24</v>
      </c>
      <c r="B1057" s="20" t="s">
        <v>594</v>
      </c>
      <c r="C1057" s="12">
        <v>95.702</v>
      </c>
      <c r="D1057" s="12">
        <v>0</v>
      </c>
      <c r="E1057" s="10" t="s">
        <v>26</v>
      </c>
      <c r="F1057" s="14">
        <v>164501.03</v>
      </c>
      <c r="G1057" s="14">
        <f>F1057*C1057</f>
        <v>15743077.57306</v>
      </c>
      <c r="H1057" s="15">
        <f>IF($G$1279=0,0,G1057/$G$1279*100)</f>
      </c>
      <c r="I1057" s="12" t="str">
        <f>IF(O1057-C1057&gt;0,O1057-C1057,"")</f>
        <v/>
      </c>
      <c r="J1057" s="14" t="str">
        <f>IF(I1057="","",F1057*I1057)</f>
        <v/>
      </c>
      <c r="K1057" s="15">
        <f>IF(OR(J1057="",$G$1279=0),"",J1057/$G$1279*100)</f>
      </c>
      <c r="L1057" s="12" t="str">
        <f>IF(C1057-O1057&gt;0,C1057-O1057,"")</f>
        <v/>
      </c>
      <c r="M1057" s="14" t="str">
        <f>IF(L1057="","",F1057*L1057)</f>
        <v/>
      </c>
      <c r="N1057" s="15">
        <f>IF(OR(M1057="",$G$1279=0),"",M1057/$G$1279*100)</f>
      </c>
      <c r="O1057" s="12">
        <v>95.702</v>
      </c>
      <c r="P1057" s="14">
        <f>F1057*O1057</f>
        <v>15743077.57306</v>
      </c>
      <c r="Q1057" s="15">
        <f>IF($P$1279=0,0,P1057/$P$1279*100)</f>
      </c>
      <c r="R1057" s="10" t="str">
        <f>IF(O1057=C1057,"TETAP",IF(C1057=0,"BARU",IF(O1057=0,"HAPUS",IF(O1057&gt;C1057,"TAMBAH","KURANG"))))</f>
        <v>TETAP</v>
      </c>
    </row>
    <row r="1058" spans="1:18" x14ac:dyDescent="0.25">
      <c r="A1058" s="10" t="s">
        <v>27</v>
      </c>
      <c r="B1058" s="20" t="s">
        <v>595</v>
      </c>
      <c r="C1058" s="12">
        <v>95.702</v>
      </c>
      <c r="D1058" s="12">
        <v>0</v>
      </c>
      <c r="E1058" s="10" t="s">
        <v>26</v>
      </c>
      <c r="F1058" s="14">
        <v>60093.87</v>
      </c>
      <c r="G1058" s="14">
        <f>F1058*C1058</f>
        <v>5751103.54674</v>
      </c>
      <c r="H1058" s="15">
        <f>IF($G$1279=0,0,G1058/$G$1279*100)</f>
      </c>
      <c r="I1058" s="12" t="str">
        <f>IF(O1058-C1058&gt;0,O1058-C1058,"")</f>
        <v/>
      </c>
      <c r="J1058" s="14" t="str">
        <f>IF(I1058="","",F1058*I1058)</f>
        <v/>
      </c>
      <c r="K1058" s="15">
        <f>IF(OR(J1058="",$G$1279=0),"",J1058/$G$1279*100)</f>
      </c>
      <c r="L1058" s="12" t="str">
        <f>IF(C1058-O1058&gt;0,C1058-O1058,"")</f>
        <v/>
      </c>
      <c r="M1058" s="14" t="str">
        <f>IF(L1058="","",F1058*L1058)</f>
        <v/>
      </c>
      <c r="N1058" s="15">
        <f>IF(OR(M1058="",$G$1279=0),"",M1058/$G$1279*100)</f>
      </c>
      <c r="O1058" s="12">
        <v>95.702</v>
      </c>
      <c r="P1058" s="14">
        <f>F1058*O1058</f>
        <v>5751103.54674</v>
      </c>
      <c r="Q1058" s="15">
        <f>IF($P$1279=0,0,P1058/$P$1279*100)</f>
      </c>
      <c r="R1058" s="10" t="str">
        <f>IF(O1058=C1058,"TETAP",IF(C1058=0,"BARU",IF(O1058=0,"HAPUS",IF(O1058&gt;C1058,"TAMBAH","KURANG"))))</f>
        <v>TETAP</v>
      </c>
    </row>
    <row r="1059" spans="1:18" x14ac:dyDescent="0.25">
      <c r="A1059" s="10" t="s">
        <v>30</v>
      </c>
      <c r="B1059" s="20" t="s">
        <v>596</v>
      </c>
      <c r="C1059" s="12">
        <v>115.642</v>
      </c>
      <c r="D1059" s="12">
        <v>0</v>
      </c>
      <c r="E1059" s="10" t="s">
        <v>26</v>
      </c>
      <c r="F1059" s="14">
        <v>44344.2</v>
      </c>
      <c r="G1059" s="14">
        <f>F1059*C1059</f>
        <v>5128051.976399999</v>
      </c>
      <c r="H1059" s="15">
        <f>IF($G$1279=0,0,G1059/$G$1279*100)</f>
      </c>
      <c r="I1059" s="12" t="str">
        <f>IF(O1059-C1059&gt;0,O1059-C1059,"")</f>
        <v/>
      </c>
      <c r="J1059" s="14" t="str">
        <f>IF(I1059="","",F1059*I1059)</f>
        <v/>
      </c>
      <c r="K1059" s="15">
        <f>IF(OR(J1059="",$G$1279=0),"",J1059/$G$1279*100)</f>
      </c>
      <c r="L1059" s="12" t="str">
        <f>IF(C1059-O1059&gt;0,C1059-O1059,"")</f>
        <v/>
      </c>
      <c r="M1059" s="14" t="str">
        <f>IF(L1059="","",F1059*L1059)</f>
        <v/>
      </c>
      <c r="N1059" s="15">
        <f>IF(OR(M1059="",$G$1279=0),"",M1059/$G$1279*100)</f>
      </c>
      <c r="O1059" s="12">
        <v>115.642</v>
      </c>
      <c r="P1059" s="14">
        <f>F1059*O1059</f>
        <v>5128051.976399999</v>
      </c>
      <c r="Q1059" s="15">
        <f>IF($P$1279=0,0,P1059/$P$1279*100)</f>
      </c>
      <c r="R1059" s="10" t="str">
        <f>IF(O1059=C1059,"TETAP",IF(C1059=0,"BARU",IF(O1059=0,"HAPUS",IF(O1059&gt;C1059,"TAMBAH","KURANG"))))</f>
        <v>TETAP</v>
      </c>
    </row>
    <row r="1060" spans="1:18" x14ac:dyDescent="0.25">
      <c r="A1060" s="10" t="s">
        <v>33</v>
      </c>
      <c r="B1060" s="20" t="s">
        <v>404</v>
      </c>
      <c r="C1060" s="12">
        <v>5.335</v>
      </c>
      <c r="D1060" s="12">
        <v>0</v>
      </c>
      <c r="E1060" s="10" t="s">
        <v>26</v>
      </c>
      <c r="F1060" s="14">
        <v>40999.28</v>
      </c>
      <c r="G1060" s="14">
        <f>F1060*C1060</f>
        <v>218731.1588</v>
      </c>
      <c r="H1060" s="15">
        <f>IF($G$1279=0,0,G1060/$G$1279*100)</f>
      </c>
      <c r="I1060" s="12" t="str">
        <f>IF(O1060-C1060&gt;0,O1060-C1060,"")</f>
        <v/>
      </c>
      <c r="J1060" s="14" t="str">
        <f>IF(I1060="","",F1060*I1060)</f>
        <v/>
      </c>
      <c r="K1060" s="15">
        <f>IF(OR(J1060="",$G$1279=0),"",J1060/$G$1279*100)</f>
      </c>
      <c r="L1060" s="12" t="str">
        <f>IF(C1060-O1060&gt;0,C1060-O1060,"")</f>
        <v/>
      </c>
      <c r="M1060" s="14" t="str">
        <f>IF(L1060="","",F1060*L1060)</f>
        <v/>
      </c>
      <c r="N1060" s="15">
        <f>IF(OR(M1060="",$G$1279=0),"",M1060/$G$1279*100)</f>
      </c>
      <c r="O1060" s="12">
        <v>5.335</v>
      </c>
      <c r="P1060" s="14">
        <f>F1060*O1060</f>
        <v>218731.1588</v>
      </c>
      <c r="Q1060" s="15">
        <f>IF($P$1279=0,0,P1060/$P$1279*100)</f>
      </c>
      <c r="R1060" s="10" t="str">
        <f>IF(O1060=C1060,"TETAP",IF(C1060=0,"BARU",IF(O1060=0,"HAPUS",IF(O1060&gt;C1060,"TAMBAH","KURANG"))))</f>
        <v>TETAP</v>
      </c>
    </row>
    <row r="1061" spans="1:18" x14ac:dyDescent="0.25">
      <c r="A1061" s="5" t="s">
        <v>35</v>
      </c>
      <c r="B1061" s="17" t="s">
        <v>411</v>
      </c>
      <c r="C1061" s="7"/>
      <c r="D1061" s="7"/>
      <c r="E1061" s="5"/>
      <c r="F1061" s="8"/>
      <c r="G1061" s="8"/>
      <c r="H1061" s="9"/>
      <c r="I1061" s="7"/>
      <c r="J1061" s="8"/>
      <c r="K1061" s="9"/>
      <c r="L1061" s="7"/>
      <c r="M1061" s="8"/>
      <c r="N1061" s="9"/>
      <c r="O1061" s="7"/>
      <c r="P1061" s="8"/>
      <c r="Q1061" s="9"/>
      <c r="R1061" s="5"/>
    </row>
    <row r="1062" spans="1:18" x14ac:dyDescent="0.25">
      <c r="A1062" s="10" t="s">
        <v>193</v>
      </c>
      <c r="B1062" s="18" t="s">
        <v>412</v>
      </c>
      <c r="C1062" s="12">
        <v>51.04</v>
      </c>
      <c r="D1062" s="12">
        <v>0</v>
      </c>
      <c r="E1062" s="10" t="s">
        <v>26</v>
      </c>
      <c r="F1062" s="14">
        <v>298683.04</v>
      </c>
      <c r="G1062" s="14">
        <f>F1062*C1062</f>
        <v>15244782.361599999</v>
      </c>
      <c r="H1062" s="15">
        <f>IF($G$1279=0,0,G1062/$G$1279*100)</f>
      </c>
      <c r="I1062" s="12" t="str">
        <f>IF(O1062-C1062&gt;0,O1062-C1062,"")</f>
        <v/>
      </c>
      <c r="J1062" s="14" t="str">
        <f>IF(I1062="","",F1062*I1062)</f>
        <v/>
      </c>
      <c r="K1062" s="15">
        <f>IF(OR(J1062="",$G$1279=0),"",J1062/$G$1279*100)</f>
      </c>
      <c r="L1062" s="12" t="str">
        <f>IF(C1062-O1062&gt;0,C1062-O1062,"")</f>
        <v/>
      </c>
      <c r="M1062" s="14" t="str">
        <f>IF(L1062="","",F1062*L1062)</f>
        <v/>
      </c>
      <c r="N1062" s="15">
        <f>IF(OR(M1062="",$G$1279=0),"",M1062/$G$1279*100)</f>
      </c>
      <c r="O1062" s="12">
        <v>51.04</v>
      </c>
      <c r="P1062" s="14">
        <f>F1062*O1062</f>
        <v>15244782.361599999</v>
      </c>
      <c r="Q1062" s="15">
        <f>IF($P$1279=0,0,P1062/$P$1279*100)</f>
      </c>
      <c r="R1062" s="10" t="str">
        <f>IF(O1062=C1062,"TETAP",IF(C1062=0,"BARU",IF(O1062=0,"HAPUS",IF(O1062&gt;C1062,"TAMBAH","KURANG"))))</f>
        <v>TETAP</v>
      </c>
    </row>
    <row r="1063" spans="1:18" x14ac:dyDescent="0.25">
      <c r="A1063" s="10" t="s">
        <v>195</v>
      </c>
      <c r="B1063" s="18" t="s">
        <v>413</v>
      </c>
      <c r="C1063" s="12">
        <v>164.7</v>
      </c>
      <c r="D1063" s="12">
        <v>0</v>
      </c>
      <c r="E1063" s="10" t="s">
        <v>37</v>
      </c>
      <c r="F1063" s="14">
        <v>6848.67</v>
      </c>
      <c r="G1063" s="14">
        <f>F1063*C1063</f>
        <v>1127975.949</v>
      </c>
      <c r="H1063" s="15">
        <f>IF($G$1279=0,0,G1063/$G$1279*100)</f>
      </c>
      <c r="I1063" s="12" t="str">
        <f>IF(O1063-C1063&gt;0,O1063-C1063,"")</f>
        <v/>
      </c>
      <c r="J1063" s="14" t="str">
        <f>IF(I1063="","",F1063*I1063)</f>
        <v/>
      </c>
      <c r="K1063" s="15">
        <f>IF(OR(J1063="",$G$1279=0),"",J1063/$G$1279*100)</f>
      </c>
      <c r="L1063" s="12" t="str">
        <f>IF(C1063-O1063&gt;0,C1063-O1063,"")</f>
        <v/>
      </c>
      <c r="M1063" s="14" t="str">
        <f>IF(L1063="","",F1063*L1063)</f>
        <v/>
      </c>
      <c r="N1063" s="15">
        <f>IF(OR(M1063="",$G$1279=0),"",M1063/$G$1279*100)</f>
      </c>
      <c r="O1063" s="12">
        <v>164.7</v>
      </c>
      <c r="P1063" s="14">
        <f>F1063*O1063</f>
        <v>1127975.949</v>
      </c>
      <c r="Q1063" s="15">
        <f>IF($P$1279=0,0,P1063/$P$1279*100)</f>
      </c>
      <c r="R1063" s="10" t="str">
        <f>IF(O1063=C1063,"TETAP",IF(C1063=0,"BARU",IF(O1063=0,"HAPUS",IF(O1063&gt;C1063,"TAMBAH","KURANG"))))</f>
        <v>TETAP</v>
      </c>
    </row>
    <row r="1064" spans="1:18" x14ac:dyDescent="0.25">
      <c r="A1064" s="10" t="s">
        <v>197</v>
      </c>
      <c r="B1064" s="18" t="s">
        <v>513</v>
      </c>
      <c r="C1064" s="12">
        <v>83.232</v>
      </c>
      <c r="D1064" s="12">
        <v>0</v>
      </c>
      <c r="E1064" s="10" t="s">
        <v>26</v>
      </c>
      <c r="F1064" s="14">
        <v>201383.58</v>
      </c>
      <c r="G1064" s="14">
        <f>F1064*C1064</f>
        <v>16761558.13056</v>
      </c>
      <c r="H1064" s="15">
        <f>IF($G$1279=0,0,G1064/$G$1279*100)</f>
      </c>
      <c r="I1064" s="12" t="str">
        <f>IF(O1064-C1064&gt;0,O1064-C1064,"")</f>
        <v/>
      </c>
      <c r="J1064" s="14" t="str">
        <f>IF(I1064="","",F1064*I1064)</f>
        <v/>
      </c>
      <c r="K1064" s="15">
        <f>IF(OR(J1064="",$G$1279=0),"",J1064/$G$1279*100)</f>
      </c>
      <c r="L1064" s="12" t="str">
        <f>IF(C1064-O1064&gt;0,C1064-O1064,"")</f>
        <v/>
      </c>
      <c r="M1064" s="14" t="str">
        <f>IF(L1064="","",F1064*L1064)</f>
        <v/>
      </c>
      <c r="N1064" s="15">
        <f>IF(OR(M1064="",$G$1279=0),"",M1064/$G$1279*100)</f>
      </c>
      <c r="O1064" s="12">
        <v>83.232</v>
      </c>
      <c r="P1064" s="14">
        <f>F1064*O1064</f>
        <v>16761558.13056</v>
      </c>
      <c r="Q1064" s="15">
        <f>IF($P$1279=0,0,P1064/$P$1279*100)</f>
      </c>
      <c r="R1064" s="10" t="str">
        <f>IF(O1064=C1064,"TETAP",IF(C1064=0,"BARU",IF(O1064=0,"HAPUS",IF(O1064&gt;C1064,"TAMBAH","KURANG"))))</f>
        <v>TETAP</v>
      </c>
    </row>
    <row r="1065" spans="1:18" x14ac:dyDescent="0.25">
      <c r="A1065" s="10" t="s">
        <v>198</v>
      </c>
      <c r="B1065" s="18" t="s">
        <v>415</v>
      </c>
      <c r="C1065" s="12">
        <v>9.25</v>
      </c>
      <c r="D1065" s="12">
        <v>0</v>
      </c>
      <c r="E1065" s="10" t="s">
        <v>37</v>
      </c>
      <c r="F1065" s="14">
        <v>180329.43</v>
      </c>
      <c r="G1065" s="14">
        <f>F1065*C1065</f>
        <v>1668047.2275</v>
      </c>
      <c r="H1065" s="15">
        <f>IF($G$1279=0,0,G1065/$G$1279*100)</f>
      </c>
      <c r="I1065" s="12" t="str">
        <f>IF(O1065-C1065&gt;0,O1065-C1065,"")</f>
        <v/>
      </c>
      <c r="J1065" s="14" t="str">
        <f>IF(I1065="","",F1065*I1065)</f>
        <v/>
      </c>
      <c r="K1065" s="15">
        <f>IF(OR(J1065="",$G$1279=0),"",J1065/$G$1279*100)</f>
      </c>
      <c r="L1065" s="12" t="str">
        <f>IF(C1065-O1065&gt;0,C1065-O1065,"")</f>
        <v/>
      </c>
      <c r="M1065" s="14" t="str">
        <f>IF(L1065="","",F1065*L1065)</f>
        <v/>
      </c>
      <c r="N1065" s="15">
        <f>IF(OR(M1065="",$G$1279=0),"",M1065/$G$1279*100)</f>
      </c>
      <c r="O1065" s="12">
        <v>9.25</v>
      </c>
      <c r="P1065" s="14">
        <f>F1065*O1065</f>
        <v>1668047.2275</v>
      </c>
      <c r="Q1065" s="15">
        <f>IF($P$1279=0,0,P1065/$P$1279*100)</f>
      </c>
      <c r="R1065" s="10" t="str">
        <f>IF(O1065=C1065,"TETAP",IF(C1065=0,"BARU",IF(O1065=0,"HAPUS",IF(O1065&gt;C1065,"TAMBAH","KURANG"))))</f>
        <v>TETAP</v>
      </c>
    </row>
    <row r="1066" spans="1:18" x14ac:dyDescent="0.25">
      <c r="A1066" s="10" t="s">
        <v>38</v>
      </c>
      <c r="B1066" s="20" t="s">
        <v>416</v>
      </c>
      <c r="C1066" s="12">
        <v>58.798</v>
      </c>
      <c r="D1066" s="12">
        <v>0</v>
      </c>
      <c r="E1066" s="10" t="s">
        <v>26</v>
      </c>
      <c r="F1066" s="14">
        <v>222901.19</v>
      </c>
      <c r="G1066" s="14">
        <f>F1066*C1066</f>
        <v>13106144.16962</v>
      </c>
      <c r="H1066" s="15">
        <f>IF($G$1279=0,0,G1066/$G$1279*100)</f>
      </c>
      <c r="I1066" s="12" t="str">
        <f>IF(O1066-C1066&gt;0,O1066-C1066,"")</f>
        <v/>
      </c>
      <c r="J1066" s="14" t="str">
        <f>IF(I1066="","",F1066*I1066)</f>
        <v/>
      </c>
      <c r="K1066" s="15">
        <f>IF(OR(J1066="",$G$1279=0),"",J1066/$G$1279*100)</f>
      </c>
      <c r="L1066" s="12" t="str">
        <f>IF(C1066-O1066&gt;0,C1066-O1066,"")</f>
        <v/>
      </c>
      <c r="M1066" s="14" t="str">
        <f>IF(L1066="","",F1066*L1066)</f>
        <v/>
      </c>
      <c r="N1066" s="15">
        <f>IF(OR(M1066="",$G$1279=0),"",M1066/$G$1279*100)</f>
      </c>
      <c r="O1066" s="12">
        <v>58.798</v>
      </c>
      <c r="P1066" s="14">
        <f>F1066*O1066</f>
        <v>13106144.16962</v>
      </c>
      <c r="Q1066" s="15">
        <f>IF($P$1279=0,0,P1066/$P$1279*100)</f>
      </c>
      <c r="R1066" s="10" t="str">
        <f>IF(O1066=C1066,"TETAP",IF(C1066=0,"BARU",IF(O1066=0,"HAPUS",IF(O1066&gt;C1066,"TAMBAH","KURANG"))))</f>
        <v>TETAP</v>
      </c>
    </row>
    <row r="1067" spans="1:18" x14ac:dyDescent="0.25">
      <c r="A1067" s="10" t="s">
        <v>108</v>
      </c>
      <c r="B1067" s="20" t="s">
        <v>420</v>
      </c>
      <c r="C1067" s="12">
        <v>35.896</v>
      </c>
      <c r="D1067" s="12">
        <v>0</v>
      </c>
      <c r="E1067" s="10" t="s">
        <v>37</v>
      </c>
      <c r="F1067" s="14">
        <v>104856.07</v>
      </c>
      <c r="G1067" s="14">
        <f>F1067*C1067</f>
        <v>3763913.4887200003</v>
      </c>
      <c r="H1067" s="15">
        <f>IF($G$1279=0,0,G1067/$G$1279*100)</f>
      </c>
      <c r="I1067" s="12" t="str">
        <f>IF(O1067-C1067&gt;0,O1067-C1067,"")</f>
        <v/>
      </c>
      <c r="J1067" s="14" t="str">
        <f>IF(I1067="","",F1067*I1067)</f>
        <v/>
      </c>
      <c r="K1067" s="15">
        <f>IF(OR(J1067="",$G$1279=0),"",J1067/$G$1279*100)</f>
      </c>
      <c r="L1067" s="12" t="str">
        <f>IF(C1067-O1067&gt;0,C1067-O1067,"")</f>
        <v/>
      </c>
      <c r="M1067" s="14" t="str">
        <f>IF(L1067="","",F1067*L1067)</f>
        <v/>
      </c>
      <c r="N1067" s="15">
        <f>IF(OR(M1067="",$G$1279=0),"",M1067/$G$1279*100)</f>
      </c>
      <c r="O1067" s="12">
        <v>35.896</v>
      </c>
      <c r="P1067" s="14">
        <f>F1067*O1067</f>
        <v>3763913.4887200003</v>
      </c>
      <c r="Q1067" s="15">
        <f>IF($P$1279=0,0,P1067/$P$1279*100)</f>
      </c>
      <c r="R1067" s="10" t="str">
        <f>IF(O1067=C1067,"TETAP",IF(C1067=0,"BARU",IF(O1067=0,"HAPUS",IF(O1067&gt;C1067,"TAMBAH","KURANG"))))</f>
        <v>TETAP</v>
      </c>
    </row>
    <row r="1068" spans="1:18" x14ac:dyDescent="0.25">
      <c r="A1068" s="10" t="s">
        <v>110</v>
      </c>
      <c r="B1068" s="20" t="s">
        <v>830</v>
      </c>
      <c r="C1068" s="12">
        <v>10.769</v>
      </c>
      <c r="D1068" s="12">
        <v>0</v>
      </c>
      <c r="E1068" s="10" t="s">
        <v>26</v>
      </c>
      <c r="F1068" s="14">
        <v>92448.72</v>
      </c>
      <c r="G1068" s="14">
        <f>F1068*C1068</f>
        <v>995580.2656800001</v>
      </c>
      <c r="H1068" s="15">
        <f>IF($G$1279=0,0,G1068/$G$1279*100)</f>
      </c>
      <c r="I1068" s="12" t="str">
        <f>IF(O1068-C1068&gt;0,O1068-C1068,"")</f>
        <v/>
      </c>
      <c r="J1068" s="14" t="str">
        <f>IF(I1068="","",F1068*I1068)</f>
        <v/>
      </c>
      <c r="K1068" s="15">
        <f>IF(OR(J1068="",$G$1279=0),"",J1068/$G$1279*100)</f>
      </c>
      <c r="L1068" s="12" t="str">
        <f>IF(C1068-O1068&gt;0,C1068-O1068,"")</f>
        <v/>
      </c>
      <c r="M1068" s="14" t="str">
        <f>IF(L1068="","",F1068*L1068)</f>
        <v/>
      </c>
      <c r="N1068" s="15">
        <f>IF(OR(M1068="",$G$1279=0),"",M1068/$G$1279*100)</f>
      </c>
      <c r="O1068" s="12">
        <v>10.769</v>
      </c>
      <c r="P1068" s="14">
        <f>F1068*O1068</f>
        <v>995580.2656800001</v>
      </c>
      <c r="Q1068" s="15">
        <f>IF($P$1279=0,0,P1068/$P$1279*100)</f>
      </c>
      <c r="R1068" s="10" t="str">
        <f>IF(O1068=C1068,"TETAP",IF(C1068=0,"BARU",IF(O1068=0,"HAPUS",IF(O1068&gt;C1068,"TAMBAH","KURANG"))))</f>
        <v>TETAP</v>
      </c>
    </row>
    <row r="1069" spans="1:18" x14ac:dyDescent="0.25">
      <c r="A1069" s="10" t="s">
        <v>112</v>
      </c>
      <c r="B1069" s="20" t="s">
        <v>831</v>
      </c>
      <c r="C1069" s="12">
        <v>4.644</v>
      </c>
      <c r="D1069" s="12">
        <v>0</v>
      </c>
      <c r="E1069" s="10" t="s">
        <v>26</v>
      </c>
      <c r="F1069" s="14">
        <v>1234913.05</v>
      </c>
      <c r="G1069" s="14">
        <f>F1069*C1069</f>
        <v>5734936.2042000005</v>
      </c>
      <c r="H1069" s="15">
        <f>IF($G$1279=0,0,G1069/$G$1279*100)</f>
      </c>
      <c r="I1069" s="12" t="str">
        <f>IF(O1069-C1069&gt;0,O1069-C1069,"")</f>
        <v/>
      </c>
      <c r="J1069" s="14" t="str">
        <f>IF(I1069="","",F1069*I1069)</f>
        <v/>
      </c>
      <c r="K1069" s="15">
        <f>IF(OR(J1069="",$G$1279=0),"",J1069/$G$1279*100)</f>
      </c>
      <c r="L1069" s="12" t="str">
        <f>IF(C1069-O1069&gt;0,C1069-O1069,"")</f>
        <v/>
      </c>
      <c r="M1069" s="14" t="str">
        <f>IF(L1069="","",F1069*L1069)</f>
        <v/>
      </c>
      <c r="N1069" s="15">
        <f>IF(OR(M1069="",$G$1279=0),"",M1069/$G$1279*100)</f>
      </c>
      <c r="O1069" s="12">
        <v>4.644</v>
      </c>
      <c r="P1069" s="14">
        <f>F1069*O1069</f>
        <v>5734936.2042000005</v>
      </c>
      <c r="Q1069" s="15">
        <f>IF($P$1279=0,0,P1069/$P$1279*100)</f>
      </c>
      <c r="R1069" s="10" t="str">
        <f>IF(O1069=C1069,"TETAP",IF(C1069=0,"BARU",IF(O1069=0,"HAPUS",IF(O1069&gt;C1069,"TAMBAH","KURANG"))))</f>
        <v>TETAP</v>
      </c>
    </row>
    <row r="1070" spans="1:18" x14ac:dyDescent="0.25">
      <c r="A1070" s="10" t="s">
        <v>115</v>
      </c>
      <c r="B1070" s="20" t="s">
        <v>832</v>
      </c>
      <c r="C1070" s="12">
        <v>2.4</v>
      </c>
      <c r="D1070" s="12">
        <v>0</v>
      </c>
      <c r="E1070" s="10" t="s">
        <v>26</v>
      </c>
      <c r="F1070" s="14">
        <v>827291.85</v>
      </c>
      <c r="G1070" s="14">
        <f>F1070*C1070</f>
        <v>1985500.44</v>
      </c>
      <c r="H1070" s="15">
        <f>IF($G$1279=0,0,G1070/$G$1279*100)</f>
      </c>
      <c r="I1070" s="12" t="str">
        <f>IF(O1070-C1070&gt;0,O1070-C1070,"")</f>
        <v/>
      </c>
      <c r="J1070" s="14" t="str">
        <f>IF(I1070="","",F1070*I1070)</f>
        <v/>
      </c>
      <c r="K1070" s="15">
        <f>IF(OR(J1070="",$G$1279=0),"",J1070/$G$1279*100)</f>
      </c>
      <c r="L1070" s="12" t="str">
        <f>IF(C1070-O1070&gt;0,C1070-O1070,"")</f>
        <v/>
      </c>
      <c r="M1070" s="14" t="str">
        <f>IF(L1070="","",F1070*L1070)</f>
        <v/>
      </c>
      <c r="N1070" s="15">
        <f>IF(OR(M1070="",$G$1279=0),"",M1070/$G$1279*100)</f>
      </c>
      <c r="O1070" s="12">
        <v>2.4</v>
      </c>
      <c r="P1070" s="14">
        <f>F1070*O1070</f>
        <v>1985500.44</v>
      </c>
      <c r="Q1070" s="15">
        <f>IF($P$1279=0,0,P1070/$P$1279*100)</f>
      </c>
      <c r="R1070" s="10" t="str">
        <f>IF(O1070=C1070,"TETAP",IF(C1070=0,"BARU",IF(O1070=0,"HAPUS",IF(O1070&gt;C1070,"TAMBAH","KURANG"))))</f>
        <v>TETAP</v>
      </c>
    </row>
    <row r="1071" spans="1:18" x14ac:dyDescent="0.25">
      <c r="A1071" s="10" t="s">
        <v>132</v>
      </c>
      <c r="B1071" s="20" t="s">
        <v>833</v>
      </c>
      <c r="C1071" s="12">
        <v>115.642</v>
      </c>
      <c r="D1071" s="12">
        <v>0</v>
      </c>
      <c r="E1071" s="10" t="s">
        <v>26</v>
      </c>
      <c r="F1071" s="14">
        <v>92770.1</v>
      </c>
      <c r="G1071" s="14">
        <f>F1071*C1071</f>
        <v>10728119.9042</v>
      </c>
      <c r="H1071" s="15">
        <f>IF($G$1279=0,0,G1071/$G$1279*100)</f>
      </c>
      <c r="I1071" s="12" t="str">
        <f>IF(O1071-C1071&gt;0,O1071-C1071,"")</f>
        <v/>
      </c>
      <c r="J1071" s="14" t="str">
        <f>IF(I1071="","",F1071*I1071)</f>
        <v/>
      </c>
      <c r="K1071" s="15">
        <f>IF(OR(J1071="",$G$1279=0),"",J1071/$G$1279*100)</f>
      </c>
      <c r="L1071" s="12" t="str">
        <f>IF(C1071-O1071&gt;0,C1071-O1071,"")</f>
        <v/>
      </c>
      <c r="M1071" s="14" t="str">
        <f>IF(L1071="","",F1071*L1071)</f>
        <v/>
      </c>
      <c r="N1071" s="15">
        <f>IF(OR(M1071="",$G$1279=0),"",M1071/$G$1279*100)</f>
      </c>
      <c r="O1071" s="12">
        <v>115.642</v>
      </c>
      <c r="P1071" s="14">
        <f>F1071*O1071</f>
        <v>10728119.9042</v>
      </c>
      <c r="Q1071" s="15">
        <f>IF($P$1279=0,0,P1071/$P$1279*100)</f>
      </c>
      <c r="R1071" s="10" t="str">
        <f>IF(O1071=C1071,"TETAP",IF(C1071=0,"BARU",IF(O1071=0,"HAPUS",IF(O1071&gt;C1071,"TAMBAH","KURANG"))))</f>
        <v>TETAP</v>
      </c>
    </row>
    <row r="1072" spans="1:18" x14ac:dyDescent="0.25">
      <c r="A1072" s="10" t="s">
        <v>138</v>
      </c>
      <c r="B1072" s="20" t="s">
        <v>640</v>
      </c>
      <c r="C1072" s="12">
        <v>1</v>
      </c>
      <c r="D1072" s="12">
        <v>0</v>
      </c>
      <c r="E1072" s="10" t="s">
        <v>119</v>
      </c>
      <c r="F1072" s="14">
        <v>2296017.52</v>
      </c>
      <c r="G1072" s="14">
        <f>F1072*C1072</f>
        <v>2296017.52</v>
      </c>
      <c r="H1072" s="15">
        <f>IF($G$1279=0,0,G1072/$G$1279*100)</f>
      </c>
      <c r="I1072" s="12" t="str">
        <f>IF(O1072-C1072&gt;0,O1072-C1072,"")</f>
        <v/>
      </c>
      <c r="J1072" s="14" t="str">
        <f>IF(I1072="","",F1072*I1072)</f>
        <v/>
      </c>
      <c r="K1072" s="15">
        <f>IF(OR(J1072="",$G$1279=0),"",J1072/$G$1279*100)</f>
      </c>
      <c r="L1072" s="12" t="str">
        <f>IF(C1072-O1072&gt;0,C1072-O1072,"")</f>
        <v/>
      </c>
      <c r="M1072" s="14" t="str">
        <f>IF(L1072="","",F1072*L1072)</f>
        <v/>
      </c>
      <c r="N1072" s="15">
        <f>IF(OR(M1072="",$G$1279=0),"",M1072/$G$1279*100)</f>
      </c>
      <c r="O1072" s="12">
        <v>1</v>
      </c>
      <c r="P1072" s="14">
        <f>F1072*O1072</f>
        <v>2296017.52</v>
      </c>
      <c r="Q1072" s="15">
        <f>IF($P$1279=0,0,P1072/$P$1279*100)</f>
      </c>
      <c r="R1072" s="10" t="str">
        <f>IF(O1072=C1072,"TETAP",IF(C1072=0,"BARU",IF(O1072=0,"HAPUS",IF(O1072&gt;C1072,"TAMBAH","KURANG"))))</f>
        <v>TETAP</v>
      </c>
    </row>
    <row r="1073" spans="1:18" x14ac:dyDescent="0.25">
      <c r="A1073" s="10" t="s">
        <v>144</v>
      </c>
      <c r="B1073" s="20" t="s">
        <v>834</v>
      </c>
      <c r="C1073" s="12">
        <v>11</v>
      </c>
      <c r="D1073" s="12">
        <v>0</v>
      </c>
      <c r="E1073" s="10" t="s">
        <v>32</v>
      </c>
      <c r="F1073" s="14">
        <v>255040.84</v>
      </c>
      <c r="G1073" s="14">
        <f>F1073*C1073</f>
        <v>2805449.2399999998</v>
      </c>
      <c r="H1073" s="15">
        <f>IF($G$1279=0,0,G1073/$G$1279*100)</f>
      </c>
      <c r="I1073" s="12" t="str">
        <f>IF(O1073-C1073&gt;0,O1073-C1073,"")</f>
        <v/>
      </c>
      <c r="J1073" s="14" t="str">
        <f>IF(I1073="","",F1073*I1073)</f>
        <v/>
      </c>
      <c r="K1073" s="15">
        <f>IF(OR(J1073="",$G$1279=0),"",J1073/$G$1279*100)</f>
      </c>
      <c r="L1073" s="12" t="str">
        <f>IF(C1073-O1073&gt;0,C1073-O1073,"")</f>
        <v/>
      </c>
      <c r="M1073" s="14" t="str">
        <f>IF(L1073="","",F1073*L1073)</f>
        <v/>
      </c>
      <c r="N1073" s="15">
        <f>IF(OR(M1073="",$G$1279=0),"",M1073/$G$1279*100)</f>
      </c>
      <c r="O1073" s="12">
        <v>11</v>
      </c>
      <c r="P1073" s="14">
        <f>F1073*O1073</f>
        <v>2805449.2399999998</v>
      </c>
      <c r="Q1073" s="15">
        <f>IF($P$1279=0,0,P1073/$P$1279*100)</f>
      </c>
      <c r="R1073" s="10" t="str">
        <f>IF(O1073=C1073,"TETAP",IF(C1073=0,"BARU",IF(O1073=0,"HAPUS",IF(O1073&gt;C1073,"TAMBAH","KURANG"))))</f>
        <v>TETAP</v>
      </c>
    </row>
    <row r="1074" spans="1:18" x14ac:dyDescent="0.25">
      <c r="A1074" s="10" t="s">
        <v>150</v>
      </c>
      <c r="B1074" s="20" t="s">
        <v>426</v>
      </c>
      <c r="C1074" s="12">
        <v>6</v>
      </c>
      <c r="D1074" s="12">
        <v>0</v>
      </c>
      <c r="E1074" s="10" t="s">
        <v>114</v>
      </c>
      <c r="F1074" s="14">
        <v>480412.67</v>
      </c>
      <c r="G1074" s="14">
        <f>F1074*C1074</f>
        <v>2882476.02</v>
      </c>
      <c r="H1074" s="15">
        <f>IF($G$1279=0,0,G1074/$G$1279*100)</f>
      </c>
      <c r="I1074" s="12" t="str">
        <f>IF(O1074-C1074&gt;0,O1074-C1074,"")</f>
        <v/>
      </c>
      <c r="J1074" s="14" t="str">
        <f>IF(I1074="","",F1074*I1074)</f>
        <v/>
      </c>
      <c r="K1074" s="15">
        <f>IF(OR(J1074="",$G$1279=0),"",J1074/$G$1279*100)</f>
      </c>
      <c r="L1074" s="12" t="str">
        <f>IF(C1074-O1074&gt;0,C1074-O1074,"")</f>
        <v/>
      </c>
      <c r="M1074" s="14" t="str">
        <f>IF(L1074="","",F1074*L1074)</f>
        <v/>
      </c>
      <c r="N1074" s="15">
        <f>IF(OR(M1074="",$G$1279=0),"",M1074/$G$1279*100)</f>
      </c>
      <c r="O1074" s="12">
        <v>6</v>
      </c>
      <c r="P1074" s="14">
        <f>F1074*O1074</f>
        <v>2882476.02</v>
      </c>
      <c r="Q1074" s="15">
        <f>IF($P$1279=0,0,P1074/$P$1279*100)</f>
      </c>
      <c r="R1074" s="10" t="str">
        <f>IF(O1074=C1074,"TETAP",IF(C1074=0,"BARU",IF(O1074=0,"HAPUS",IF(O1074&gt;C1074,"TAMBAH","KURANG"))))</f>
        <v>TETAP</v>
      </c>
    </row>
    <row r="1075" spans="1:18" x14ac:dyDescent="0.25">
      <c r="A1075" s="10" t="s">
        <v>152</v>
      </c>
      <c r="B1075" s="20" t="s">
        <v>835</v>
      </c>
      <c r="C1075" s="12">
        <v>4</v>
      </c>
      <c r="D1075" s="12">
        <v>0</v>
      </c>
      <c r="E1075" s="10" t="s">
        <v>114</v>
      </c>
      <c r="F1075" s="14">
        <v>425988.24</v>
      </c>
      <c r="G1075" s="14">
        <f>F1075*C1075</f>
        <v>1703952.96</v>
      </c>
      <c r="H1075" s="15">
        <f>IF($G$1279=0,0,G1075/$G$1279*100)</f>
      </c>
      <c r="I1075" s="12" t="str">
        <f>IF(O1075-C1075&gt;0,O1075-C1075,"")</f>
        <v/>
      </c>
      <c r="J1075" s="14" t="str">
        <f>IF(I1075="","",F1075*I1075)</f>
        <v/>
      </c>
      <c r="K1075" s="15">
        <f>IF(OR(J1075="",$G$1279=0),"",J1075/$G$1279*100)</f>
      </c>
      <c r="L1075" s="12" t="str">
        <f>IF(C1075-O1075&gt;0,C1075-O1075,"")</f>
        <v/>
      </c>
      <c r="M1075" s="14" t="str">
        <f>IF(L1075="","",F1075*L1075)</f>
        <v/>
      </c>
      <c r="N1075" s="15">
        <f>IF(OR(M1075="",$G$1279=0),"",M1075/$G$1279*100)</f>
      </c>
      <c r="O1075" s="12">
        <v>4</v>
      </c>
      <c r="P1075" s="14">
        <f>F1075*O1075</f>
        <v>1703952.96</v>
      </c>
      <c r="Q1075" s="15">
        <f>IF($P$1279=0,0,P1075/$P$1279*100)</f>
      </c>
      <c r="R1075" s="10" t="str">
        <f>IF(O1075=C1075,"TETAP",IF(C1075=0,"BARU",IF(O1075=0,"HAPUS",IF(O1075&gt;C1075,"TAMBAH","KURANG"))))</f>
        <v>TETAP</v>
      </c>
    </row>
    <row r="1076" spans="1:18" x14ac:dyDescent="0.25">
      <c r="A1076" s="10" t="s">
        <v>531</v>
      </c>
      <c r="B1076" s="20" t="s">
        <v>836</v>
      </c>
      <c r="C1076" s="12">
        <v>1</v>
      </c>
      <c r="D1076" s="12">
        <v>0</v>
      </c>
      <c r="E1076" s="10" t="s">
        <v>114</v>
      </c>
      <c r="F1076" s="14">
        <v>69290.26</v>
      </c>
      <c r="G1076" s="14">
        <f>F1076*C1076</f>
        <v>69290.26</v>
      </c>
      <c r="H1076" s="15">
        <f>IF($G$1279=0,0,G1076/$G$1279*100)</f>
      </c>
      <c r="I1076" s="12" t="str">
        <f>IF(O1076-C1076&gt;0,O1076-C1076,"")</f>
        <v/>
      </c>
      <c r="J1076" s="14" t="str">
        <f>IF(I1076="","",F1076*I1076)</f>
        <v/>
      </c>
      <c r="K1076" s="15">
        <f>IF(OR(J1076="",$G$1279=0),"",J1076/$G$1279*100)</f>
      </c>
      <c r="L1076" s="12" t="str">
        <f>IF(C1076-O1076&gt;0,C1076-O1076,"")</f>
        <v/>
      </c>
      <c r="M1076" s="14" t="str">
        <f>IF(L1076="","",F1076*L1076)</f>
        <v/>
      </c>
      <c r="N1076" s="15">
        <f>IF(OR(M1076="",$G$1279=0),"",M1076/$G$1279*100)</f>
      </c>
      <c r="O1076" s="12">
        <v>1</v>
      </c>
      <c r="P1076" s="14">
        <f>F1076*O1076</f>
        <v>69290.26</v>
      </c>
      <c r="Q1076" s="15">
        <f>IF($P$1279=0,0,P1076/$P$1279*100)</f>
      </c>
      <c r="R1076" s="10" t="str">
        <f>IF(O1076=C1076,"TETAP",IF(C1076=0,"BARU",IF(O1076=0,"HAPUS",IF(O1076&gt;C1076,"TAMBAH","KURANG"))))</f>
        <v>TETAP</v>
      </c>
    </row>
    <row r="1077" spans="1:18" x14ac:dyDescent="0.25">
      <c r="A1077" s="10" t="s">
        <v>533</v>
      </c>
      <c r="B1077" s="20" t="s">
        <v>579</v>
      </c>
      <c r="C1077" s="12">
        <v>4</v>
      </c>
      <c r="D1077" s="12">
        <v>0</v>
      </c>
      <c r="E1077" s="10" t="s">
        <v>114</v>
      </c>
      <c r="F1077" s="14">
        <v>88424.41</v>
      </c>
      <c r="G1077" s="14">
        <f>F1077*C1077</f>
        <v>353697.64</v>
      </c>
      <c r="H1077" s="15">
        <f>IF($G$1279=0,0,G1077/$G$1279*100)</f>
      </c>
      <c r="I1077" s="12" t="str">
        <f>IF(O1077-C1077&gt;0,O1077-C1077,"")</f>
        <v/>
      </c>
      <c r="J1077" s="14" t="str">
        <f>IF(I1077="","",F1077*I1077)</f>
        <v/>
      </c>
      <c r="K1077" s="15">
        <f>IF(OR(J1077="",$G$1279=0),"",J1077/$G$1279*100)</f>
      </c>
      <c r="L1077" s="12" t="str">
        <f>IF(C1077-O1077&gt;0,C1077-O1077,"")</f>
        <v/>
      </c>
      <c r="M1077" s="14" t="str">
        <f>IF(L1077="","",F1077*L1077)</f>
        <v/>
      </c>
      <c r="N1077" s="15">
        <f>IF(OR(M1077="",$G$1279=0),"",M1077/$G$1279*100)</f>
      </c>
      <c r="O1077" s="12">
        <v>4</v>
      </c>
      <c r="P1077" s="14">
        <f>F1077*O1077</f>
        <v>353697.64</v>
      </c>
      <c r="Q1077" s="15">
        <f>IF($P$1279=0,0,P1077/$P$1279*100)</f>
      </c>
      <c r="R1077" s="10" t="str">
        <f>IF(O1077=C1077,"TETAP",IF(C1077=0,"BARU",IF(O1077=0,"HAPUS",IF(O1077&gt;C1077,"TAMBAH","KURANG"))))</f>
        <v>TETAP</v>
      </c>
    </row>
    <row r="1078" spans="1:18" x14ac:dyDescent="0.25">
      <c r="A1078" s="10" t="s">
        <v>534</v>
      </c>
      <c r="B1078" s="20" t="s">
        <v>576</v>
      </c>
      <c r="C1078" s="12">
        <v>6</v>
      </c>
      <c r="D1078" s="12">
        <v>0</v>
      </c>
      <c r="E1078" s="10" t="s">
        <v>32</v>
      </c>
      <c r="F1078" s="14">
        <v>144903.67</v>
      </c>
      <c r="G1078" s="14">
        <f>F1078*C1078</f>
        <v>869422.02</v>
      </c>
      <c r="H1078" s="15">
        <f>IF($G$1279=0,0,G1078/$G$1279*100)</f>
      </c>
      <c r="I1078" s="12" t="str">
        <f>IF(O1078-C1078&gt;0,O1078-C1078,"")</f>
        <v/>
      </c>
      <c r="J1078" s="14" t="str">
        <f>IF(I1078="","",F1078*I1078)</f>
        <v/>
      </c>
      <c r="K1078" s="15">
        <f>IF(OR(J1078="",$G$1279=0),"",J1078/$G$1279*100)</f>
      </c>
      <c r="L1078" s="12" t="str">
        <f>IF(C1078-O1078&gt;0,C1078-O1078,"")</f>
        <v/>
      </c>
      <c r="M1078" s="14" t="str">
        <f>IF(L1078="","",F1078*L1078)</f>
        <v/>
      </c>
      <c r="N1078" s="15">
        <f>IF(OR(M1078="",$G$1279=0),"",M1078/$G$1279*100)</f>
      </c>
      <c r="O1078" s="12">
        <v>6</v>
      </c>
      <c r="P1078" s="14">
        <f>F1078*O1078</f>
        <v>869422.02</v>
      </c>
      <c r="Q1078" s="15">
        <f>IF($P$1279=0,0,P1078/$P$1279*100)</f>
      </c>
      <c r="R1078" s="10" t="str">
        <f>IF(O1078=C1078,"TETAP",IF(C1078=0,"BARU",IF(O1078=0,"HAPUS",IF(O1078&gt;C1078,"TAMBAH","KURANG"))))</f>
        <v>TETAP</v>
      </c>
    </row>
    <row r="1079" spans="1:18" x14ac:dyDescent="0.25">
      <c r="A1079" s="10" t="s">
        <v>580</v>
      </c>
      <c r="B1079" s="20" t="s">
        <v>837</v>
      </c>
      <c r="C1079" s="12">
        <v>1</v>
      </c>
      <c r="D1079" s="12">
        <v>0</v>
      </c>
      <c r="E1079" s="10" t="s">
        <v>32</v>
      </c>
      <c r="F1079" s="14">
        <v>4095874.13</v>
      </c>
      <c r="G1079" s="14">
        <f>F1079*C1079</f>
        <v>4095874.13</v>
      </c>
      <c r="H1079" s="15">
        <f>IF($G$1279=0,0,G1079/$G$1279*100)</f>
      </c>
      <c r="I1079" s="12" t="str">
        <f>IF(O1079-C1079&gt;0,O1079-C1079,"")</f>
        <v/>
      </c>
      <c r="J1079" s="14" t="str">
        <f>IF(I1079="","",F1079*I1079)</f>
        <v/>
      </c>
      <c r="K1079" s="15">
        <f>IF(OR(J1079="",$G$1279=0),"",J1079/$G$1279*100)</f>
      </c>
      <c r="L1079" s="12" t="str">
        <f>IF(C1079-O1079&gt;0,C1079-O1079,"")</f>
        <v/>
      </c>
      <c r="M1079" s="14" t="str">
        <f>IF(L1079="","",F1079*L1079)</f>
        <v/>
      </c>
      <c r="N1079" s="15">
        <f>IF(OR(M1079="",$G$1279=0),"",M1079/$G$1279*100)</f>
      </c>
      <c r="O1079" s="12">
        <v>1</v>
      </c>
      <c r="P1079" s="14">
        <f>F1079*O1079</f>
        <v>4095874.13</v>
      </c>
      <c r="Q1079" s="15">
        <f>IF($P$1279=0,0,P1079/$P$1279*100)</f>
      </c>
      <c r="R1079" s="10" t="str">
        <f>IF(O1079=C1079,"TETAP",IF(C1079=0,"BARU",IF(O1079=0,"HAPUS",IF(O1079&gt;C1079,"TAMBAH","KURANG"))))</f>
        <v>TETAP</v>
      </c>
    </row>
    <row r="1080" spans="1:18" x14ac:dyDescent="0.25">
      <c r="A1080" s="5" t="s">
        <v>838</v>
      </c>
      <c r="B1080" s="6" t="s">
        <v>839</v>
      </c>
      <c r="C1080" s="7"/>
      <c r="D1080" s="7"/>
      <c r="E1080" s="5"/>
      <c r="F1080" s="8"/>
      <c r="G1080" s="8"/>
      <c r="H1080" s="9"/>
      <c r="I1080" s="7"/>
      <c r="J1080" s="8"/>
      <c r="K1080" s="9"/>
      <c r="L1080" s="7"/>
      <c r="M1080" s="8"/>
      <c r="N1080" s="9"/>
      <c r="O1080" s="7"/>
      <c r="P1080" s="8"/>
      <c r="Q1080" s="9"/>
      <c r="R1080" s="5"/>
    </row>
    <row r="1081" spans="1:18" x14ac:dyDescent="0.25">
      <c r="A1081" s="5" t="s">
        <v>840</v>
      </c>
      <c r="B1081" s="16" t="s">
        <v>841</v>
      </c>
      <c r="C1081" s="7"/>
      <c r="D1081" s="7"/>
      <c r="E1081" s="5"/>
      <c r="F1081" s="8"/>
      <c r="G1081" s="8"/>
      <c r="H1081" s="9"/>
      <c r="I1081" s="7"/>
      <c r="J1081" s="8"/>
      <c r="K1081" s="9"/>
      <c r="L1081" s="7"/>
      <c r="M1081" s="8"/>
      <c r="N1081" s="9"/>
      <c r="O1081" s="7"/>
      <c r="P1081" s="8"/>
      <c r="Q1081" s="9"/>
      <c r="R1081" s="5"/>
    </row>
    <row r="1082" spans="1:18" x14ac:dyDescent="0.25">
      <c r="A1082" s="10" t="s">
        <v>24</v>
      </c>
      <c r="B1082" s="20" t="s">
        <v>842</v>
      </c>
      <c r="C1082" s="12">
        <v>100</v>
      </c>
      <c r="D1082" s="13">
        <v>100</v>
      </c>
      <c r="E1082" s="10" t="s">
        <v>37</v>
      </c>
      <c r="F1082" s="14">
        <v>4216.27</v>
      </c>
      <c r="G1082" s="14">
        <f>F1082*C1082</f>
        <v>421627.00000000006</v>
      </c>
      <c r="H1082" s="15">
        <f>IF($G$1279=0,0,G1082/$G$1279*100)</f>
      </c>
      <c r="I1082" s="12" t="str">
        <f>IF(O1082-C1082&gt;0,O1082-C1082,"")</f>
        <v/>
      </c>
      <c r="J1082" s="14" t="str">
        <f>IF(I1082="","",F1082*I1082)</f>
        <v/>
      </c>
      <c r="K1082" s="15">
        <f>IF(OR(J1082="",$G$1279=0),"",J1082/$G$1279*100)</f>
      </c>
      <c r="L1082" s="12" t="str">
        <f>IF(C1082-O1082&gt;0,C1082-O1082,"")</f>
        <v/>
      </c>
      <c r="M1082" s="14" t="str">
        <f>IF(L1082="","",F1082*L1082)</f>
        <v/>
      </c>
      <c r="N1082" s="15">
        <f>IF(OR(M1082="",$G$1279=0),"",M1082/$G$1279*100)</f>
      </c>
      <c r="O1082" s="12">
        <v>100</v>
      </c>
      <c r="P1082" s="14">
        <f>F1082*O1082</f>
        <v>421627.00000000006</v>
      </c>
      <c r="Q1082" s="15">
        <f>IF($P$1279=0,0,P1082/$P$1279*100)</f>
      </c>
      <c r="R1082" s="10" t="str">
        <f>IF(O1082=C1082,"TETAP",IF(C1082=0,"BARU",IF(O1082=0,"HAPUS",IF(O1082&gt;C1082,"TAMBAH","KURANG"))))</f>
        <v>TETAP</v>
      </c>
    </row>
    <row r="1083" spans="1:18" x14ac:dyDescent="0.25">
      <c r="A1083" s="10" t="s">
        <v>27</v>
      </c>
      <c r="B1083" s="20" t="s">
        <v>843</v>
      </c>
      <c r="C1083" s="12">
        <v>80</v>
      </c>
      <c r="D1083" s="13">
        <v>80</v>
      </c>
      <c r="E1083" s="10" t="s">
        <v>159</v>
      </c>
      <c r="F1083" s="14">
        <v>48730.7</v>
      </c>
      <c r="G1083" s="14">
        <f>F1083*C1083</f>
        <v>3898456</v>
      </c>
      <c r="H1083" s="15">
        <f>IF($G$1279=0,0,G1083/$G$1279*100)</f>
      </c>
      <c r="I1083" s="12" t="str">
        <f>IF(O1083-C1083&gt;0,O1083-C1083,"")</f>
        <v/>
      </c>
      <c r="J1083" s="14" t="str">
        <f>IF(I1083="","",F1083*I1083)</f>
        <v/>
      </c>
      <c r="K1083" s="15">
        <f>IF(OR(J1083="",$G$1279=0),"",J1083/$G$1279*100)</f>
      </c>
      <c r="L1083" s="12" t="str">
        <f>IF(C1083-O1083&gt;0,C1083-O1083,"")</f>
        <v/>
      </c>
      <c r="M1083" s="14" t="str">
        <f>IF(L1083="","",F1083*L1083)</f>
        <v/>
      </c>
      <c r="N1083" s="15">
        <f>IF(OR(M1083="",$G$1279=0),"",M1083/$G$1279*100)</f>
      </c>
      <c r="O1083" s="12">
        <v>80</v>
      </c>
      <c r="P1083" s="14">
        <f>F1083*O1083</f>
        <v>3898456</v>
      </c>
      <c r="Q1083" s="15">
        <f>IF($P$1279=0,0,P1083/$P$1279*100)</f>
      </c>
      <c r="R1083" s="10" t="str">
        <f>IF(O1083=C1083,"TETAP",IF(C1083=0,"BARU",IF(O1083=0,"HAPUS",IF(O1083&gt;C1083,"TAMBAH","KURANG"))))</f>
        <v>TETAP</v>
      </c>
    </row>
    <row r="1084" spans="1:18" x14ac:dyDescent="0.25">
      <c r="A1084" s="10" t="s">
        <v>30</v>
      </c>
      <c r="B1084" s="20" t="s">
        <v>844</v>
      </c>
      <c r="C1084" s="12">
        <v>80</v>
      </c>
      <c r="D1084" s="12">
        <v>0</v>
      </c>
      <c r="E1084" s="10" t="s">
        <v>159</v>
      </c>
      <c r="F1084" s="14">
        <v>39994.39</v>
      </c>
      <c r="G1084" s="14">
        <f>F1084*C1084</f>
        <v>3199551.2</v>
      </c>
      <c r="H1084" s="15">
        <f>IF($G$1279=0,0,G1084/$G$1279*100)</f>
      </c>
      <c r="I1084" s="12" t="str">
        <f>IF(O1084-C1084&gt;0,O1084-C1084,"")</f>
        <v/>
      </c>
      <c r="J1084" s="14" t="str">
        <f>IF(I1084="","",F1084*I1084)</f>
        <v/>
      </c>
      <c r="K1084" s="15">
        <f>IF(OR(J1084="",$G$1279=0),"",J1084/$G$1279*100)</f>
      </c>
      <c r="L1084" s="12" t="str">
        <f>IF(C1084-O1084&gt;0,C1084-O1084,"")</f>
        <v/>
      </c>
      <c r="M1084" s="14" t="str">
        <f>IF(L1084="","",F1084*L1084)</f>
        <v/>
      </c>
      <c r="N1084" s="15">
        <f>IF(OR(M1084="",$G$1279=0),"",M1084/$G$1279*100)</f>
      </c>
      <c r="O1084" s="12">
        <v>80</v>
      </c>
      <c r="P1084" s="14">
        <f>F1084*O1084</f>
        <v>3199551.2</v>
      </c>
      <c r="Q1084" s="15">
        <f>IF($P$1279=0,0,P1084/$P$1279*100)</f>
      </c>
      <c r="R1084" s="10" t="str">
        <f>IF(O1084=C1084,"TETAP",IF(C1084=0,"BARU",IF(O1084=0,"HAPUS",IF(O1084&gt;C1084,"TAMBAH","KURANG"))))</f>
        <v>TETAP</v>
      </c>
    </row>
    <row r="1085" spans="1:18" x14ac:dyDescent="0.25">
      <c r="A1085" s="10" t="s">
        <v>33</v>
      </c>
      <c r="B1085" s="20" t="s">
        <v>845</v>
      </c>
      <c r="C1085" s="12">
        <v>35</v>
      </c>
      <c r="D1085" s="13">
        <v>33.9</v>
      </c>
      <c r="E1085" s="10" t="s">
        <v>159</v>
      </c>
      <c r="F1085" s="14">
        <v>1204293.02</v>
      </c>
      <c r="G1085" s="14">
        <f>F1085*C1085</f>
        <v>42150255.7</v>
      </c>
      <c r="H1085" s="15">
        <f>IF($G$1279=0,0,G1085/$G$1279*100)</f>
      </c>
      <c r="I1085" s="12" t="str">
        <f>IF(O1085-C1085&gt;0,O1085-C1085,"")</f>
        <v/>
      </c>
      <c r="J1085" s="14" t="str">
        <f>IF(I1085="","",F1085*I1085)</f>
        <v/>
      </c>
      <c r="K1085" s="15">
        <f>IF(OR(J1085="",$G$1279=0),"",J1085/$G$1279*100)</f>
      </c>
      <c r="L1085" s="12" t="str">
        <f>IF(C1085-O1085&gt;0,C1085-O1085,"")</f>
        <v/>
      </c>
      <c r="M1085" s="14" t="str">
        <f>IF(L1085="","",F1085*L1085)</f>
        <v/>
      </c>
      <c r="N1085" s="15">
        <f>IF(OR(M1085="",$G$1279=0),"",M1085/$G$1279*100)</f>
      </c>
      <c r="O1085" s="12">
        <v>35</v>
      </c>
      <c r="P1085" s="14">
        <f>F1085*O1085</f>
        <v>42150255.7</v>
      </c>
      <c r="Q1085" s="15">
        <f>IF($P$1279=0,0,P1085/$P$1279*100)</f>
      </c>
      <c r="R1085" s="10" t="str">
        <f>IF(O1085=C1085,"TETAP",IF(C1085=0,"BARU",IF(O1085=0,"HAPUS",IF(O1085&gt;C1085,"TAMBAH","KURANG"))))</f>
        <v>TETAP</v>
      </c>
    </row>
    <row r="1086" spans="1:18" x14ac:dyDescent="0.25">
      <c r="A1086" s="10" t="s">
        <v>35</v>
      </c>
      <c r="B1086" s="20" t="s">
        <v>846</v>
      </c>
      <c r="C1086" s="12">
        <v>3</v>
      </c>
      <c r="D1086" s="13">
        <v>2.1</v>
      </c>
      <c r="E1086" s="10" t="s">
        <v>159</v>
      </c>
      <c r="F1086" s="14">
        <v>1243301.43</v>
      </c>
      <c r="G1086" s="14">
        <f>F1086*C1086</f>
        <v>3729904.29</v>
      </c>
      <c r="H1086" s="15">
        <f>IF($G$1279=0,0,G1086/$G$1279*100)</f>
      </c>
      <c r="I1086" s="12" t="str">
        <f>IF(O1086-C1086&gt;0,O1086-C1086,"")</f>
        <v/>
      </c>
      <c r="J1086" s="14" t="str">
        <f>IF(I1086="","",F1086*I1086)</f>
        <v/>
      </c>
      <c r="K1086" s="15">
        <f>IF(OR(J1086="",$G$1279=0),"",J1086/$G$1279*100)</f>
      </c>
      <c r="L1086" s="12" t="str">
        <f>IF(C1086-O1086&gt;0,C1086-O1086,"")</f>
        <v/>
      </c>
      <c r="M1086" s="14" t="str">
        <f>IF(L1086="","",F1086*L1086)</f>
        <v/>
      </c>
      <c r="N1086" s="15">
        <f>IF(OR(M1086="",$G$1279=0),"",M1086/$G$1279*100)</f>
      </c>
      <c r="O1086" s="12">
        <v>3</v>
      </c>
      <c r="P1086" s="14">
        <f>F1086*O1086</f>
        <v>3729904.29</v>
      </c>
      <c r="Q1086" s="15">
        <f>IF($P$1279=0,0,P1086/$P$1279*100)</f>
      </c>
      <c r="R1086" s="10" t="str">
        <f>IF(O1086=C1086,"TETAP",IF(C1086=0,"BARU",IF(O1086=0,"HAPUS",IF(O1086&gt;C1086,"TAMBAH","KURANG"))))</f>
        <v>TETAP</v>
      </c>
    </row>
    <row r="1087" spans="1:18" x14ac:dyDescent="0.25">
      <c r="A1087" s="10" t="s">
        <v>38</v>
      </c>
      <c r="B1087" s="20" t="s">
        <v>847</v>
      </c>
      <c r="C1087" s="12">
        <v>56.19</v>
      </c>
      <c r="D1087" s="12">
        <v>0</v>
      </c>
      <c r="E1087" s="10" t="s">
        <v>37</v>
      </c>
      <c r="F1087" s="14">
        <v>317261.88</v>
      </c>
      <c r="G1087" s="14">
        <f>F1087*C1087</f>
        <v>17826945.0372</v>
      </c>
      <c r="H1087" s="15">
        <f>IF($G$1279=0,0,G1087/$G$1279*100)</f>
      </c>
      <c r="I1087" s="12" t="str">
        <f>IF(O1087-C1087&gt;0,O1087-C1087,"")</f>
        <v/>
      </c>
      <c r="J1087" s="14" t="str">
        <f>IF(I1087="","",F1087*I1087)</f>
        <v/>
      </c>
      <c r="K1087" s="15">
        <f>IF(OR(J1087="",$G$1279=0),"",J1087/$G$1279*100)</f>
      </c>
      <c r="L1087" s="12" t="str">
        <f>IF(C1087-O1087&gt;0,C1087-O1087,"")</f>
        <v/>
      </c>
      <c r="M1087" s="14" t="str">
        <f>IF(L1087="","",F1087*L1087)</f>
        <v/>
      </c>
      <c r="N1087" s="15">
        <f>IF(OR(M1087="",$G$1279=0),"",M1087/$G$1279*100)</f>
      </c>
      <c r="O1087" s="12">
        <v>56.19</v>
      </c>
      <c r="P1087" s="14">
        <f>F1087*O1087</f>
        <v>17826945.0372</v>
      </c>
      <c r="Q1087" s="15">
        <f>IF($P$1279=0,0,P1087/$P$1279*100)</f>
      </c>
      <c r="R1087" s="10" t="str">
        <f>IF(O1087=C1087,"TETAP",IF(C1087=0,"BARU",IF(O1087=0,"HAPUS",IF(O1087&gt;C1087,"TAMBAH","KURANG"))))</f>
        <v>TETAP</v>
      </c>
    </row>
    <row r="1088" spans="1:18" x14ac:dyDescent="0.25">
      <c r="A1088" s="10" t="s">
        <v>108</v>
      </c>
      <c r="B1088" s="20" t="s">
        <v>848</v>
      </c>
      <c r="C1088" s="12">
        <v>40</v>
      </c>
      <c r="D1088" s="13">
        <v>40</v>
      </c>
      <c r="E1088" s="10" t="s">
        <v>26</v>
      </c>
      <c r="F1088" s="14">
        <v>60093.87</v>
      </c>
      <c r="G1088" s="14">
        <f>F1088*C1088</f>
        <v>2403754.8000000003</v>
      </c>
      <c r="H1088" s="15">
        <f>IF($G$1279=0,0,G1088/$G$1279*100)</f>
      </c>
      <c r="I1088" s="12" t="str">
        <f>IF(O1088-C1088&gt;0,O1088-C1088,"")</f>
        <v/>
      </c>
      <c r="J1088" s="14" t="str">
        <f>IF(I1088="","",F1088*I1088)</f>
        <v/>
      </c>
      <c r="K1088" s="15">
        <f>IF(OR(J1088="",$G$1279=0),"",J1088/$G$1279*100)</f>
      </c>
      <c r="L1088" s="12" t="str">
        <f>IF(C1088-O1088&gt;0,C1088-O1088,"")</f>
        <v/>
      </c>
      <c r="M1088" s="14" t="str">
        <f>IF(L1088="","",F1088*L1088)</f>
        <v/>
      </c>
      <c r="N1088" s="15">
        <f>IF(OR(M1088="",$G$1279=0),"",M1088/$G$1279*100)</f>
      </c>
      <c r="O1088" s="12">
        <v>40</v>
      </c>
      <c r="P1088" s="14">
        <f>F1088*O1088</f>
        <v>2403754.8000000003</v>
      </c>
      <c r="Q1088" s="15">
        <f>IF($P$1279=0,0,P1088/$P$1279*100)</f>
      </c>
      <c r="R1088" s="10" t="str">
        <f>IF(O1088=C1088,"TETAP",IF(C1088=0,"BARU",IF(O1088=0,"HAPUS",IF(O1088&gt;C1088,"TAMBAH","KURANG"))))</f>
        <v>TETAP</v>
      </c>
    </row>
    <row r="1089" spans="1:18" x14ac:dyDescent="0.25">
      <c r="A1089" s="10" t="s">
        <v>110</v>
      </c>
      <c r="B1089" s="20" t="s">
        <v>849</v>
      </c>
      <c r="C1089" s="12">
        <v>40</v>
      </c>
      <c r="D1089" s="13">
        <v>25</v>
      </c>
      <c r="E1089" s="10" t="s">
        <v>26</v>
      </c>
      <c r="F1089" s="14">
        <v>44344.2</v>
      </c>
      <c r="G1089" s="14">
        <f>F1089*C1089</f>
        <v>1773768</v>
      </c>
      <c r="H1089" s="15">
        <f>IF($G$1279=0,0,G1089/$G$1279*100)</f>
      </c>
      <c r="I1089" s="12" t="str">
        <f>IF(O1089-C1089&gt;0,O1089-C1089,"")</f>
        <v/>
      </c>
      <c r="J1089" s="14" t="str">
        <f>IF(I1089="","",F1089*I1089)</f>
        <v/>
      </c>
      <c r="K1089" s="15">
        <f>IF(OR(J1089="",$G$1279=0),"",J1089/$G$1279*100)</f>
      </c>
      <c r="L1089" s="12" t="str">
        <f>IF(C1089-O1089&gt;0,C1089-O1089,"")</f>
        <v/>
      </c>
      <c r="M1089" s="14" t="str">
        <f>IF(L1089="","",F1089*L1089)</f>
        <v/>
      </c>
      <c r="N1089" s="15">
        <f>IF(OR(M1089="",$G$1279=0),"",M1089/$G$1279*100)</f>
      </c>
      <c r="O1089" s="12">
        <v>40</v>
      </c>
      <c r="P1089" s="14">
        <f>F1089*O1089</f>
        <v>1773768</v>
      </c>
      <c r="Q1089" s="15">
        <f>IF($P$1279=0,0,P1089/$P$1279*100)</f>
      </c>
      <c r="R1089" s="10" t="str">
        <f>IF(O1089=C1089,"TETAP",IF(C1089=0,"BARU",IF(O1089=0,"HAPUS",IF(O1089&gt;C1089,"TAMBAH","KURANG"))))</f>
        <v>TETAP</v>
      </c>
    </row>
    <row r="1090" spans="1:18" x14ac:dyDescent="0.25">
      <c r="A1090" s="10" t="s">
        <v>112</v>
      </c>
      <c r="B1090" s="20" t="s">
        <v>184</v>
      </c>
      <c r="C1090" s="12">
        <v>200</v>
      </c>
      <c r="D1090" s="12">
        <v>0</v>
      </c>
      <c r="E1090" s="10" t="s">
        <v>37</v>
      </c>
      <c r="F1090" s="14">
        <v>54708.05</v>
      </c>
      <c r="G1090" s="14">
        <f>F1090*C1090</f>
        <v>10941610</v>
      </c>
      <c r="H1090" s="15">
        <f>IF($G$1279=0,0,G1090/$G$1279*100)</f>
      </c>
      <c r="I1090" s="12" t="str">
        <f>IF(O1090-C1090&gt;0,O1090-C1090,"")</f>
        <v/>
      </c>
      <c r="J1090" s="14" t="str">
        <f>IF(I1090="","",F1090*I1090)</f>
        <v/>
      </c>
      <c r="K1090" s="15">
        <f>IF(OR(J1090="",$G$1279=0),"",J1090/$G$1279*100)</f>
      </c>
      <c r="L1090" s="12" t="str">
        <f>IF(C1090-O1090&gt;0,C1090-O1090,"")</f>
        <v/>
      </c>
      <c r="M1090" s="14" t="str">
        <f>IF(L1090="","",F1090*L1090)</f>
        <v/>
      </c>
      <c r="N1090" s="15">
        <f>IF(OR(M1090="",$G$1279=0),"",M1090/$G$1279*100)</f>
      </c>
      <c r="O1090" s="12">
        <v>200</v>
      </c>
      <c r="P1090" s="14">
        <f>F1090*O1090</f>
        <v>10941610</v>
      </c>
      <c r="Q1090" s="15">
        <f>IF($P$1279=0,0,P1090/$P$1279*100)</f>
      </c>
      <c r="R1090" s="10" t="str">
        <f>IF(O1090=C1090,"TETAP",IF(C1090=0,"BARU",IF(O1090=0,"HAPUS",IF(O1090&gt;C1090,"TAMBAH","KURANG"))))</f>
        <v>TETAP</v>
      </c>
    </row>
    <row r="1091" spans="1:18" x14ac:dyDescent="0.25">
      <c r="A1091" s="5" t="s">
        <v>115</v>
      </c>
      <c r="B1091" s="17" t="s">
        <v>850</v>
      </c>
      <c r="C1091" s="7"/>
      <c r="D1091" s="7"/>
      <c r="E1091" s="5"/>
      <c r="F1091" s="8"/>
      <c r="G1091" s="8"/>
      <c r="H1091" s="9"/>
      <c r="I1091" s="7"/>
      <c r="J1091" s="8"/>
      <c r="K1091" s="9"/>
      <c r="L1091" s="7"/>
      <c r="M1091" s="8"/>
      <c r="N1091" s="9"/>
      <c r="O1091" s="7"/>
      <c r="P1091" s="8"/>
      <c r="Q1091" s="9"/>
      <c r="R1091" s="5"/>
    </row>
    <row r="1092" spans="1:18" x14ac:dyDescent="0.25">
      <c r="A1092" s="10" t="s">
        <v>117</v>
      </c>
      <c r="B1092" s="18" t="s">
        <v>320</v>
      </c>
      <c r="C1092" s="12">
        <v>75</v>
      </c>
      <c r="D1092" s="13">
        <v>7</v>
      </c>
      <c r="E1092" s="10" t="s">
        <v>26</v>
      </c>
      <c r="F1092" s="14">
        <v>243079.61</v>
      </c>
      <c r="G1092" s="14">
        <f>F1092*C1092</f>
        <v>18230970.75</v>
      </c>
      <c r="H1092" s="15">
        <f>IF($G$1279=0,0,G1092/$G$1279*100)</f>
      </c>
      <c r="I1092" s="12" t="str">
        <f>IF(O1092-C1092&gt;0,O1092-C1092,"")</f>
        <v/>
      </c>
      <c r="J1092" s="14" t="str">
        <f>IF(I1092="","",F1092*I1092)</f>
        <v/>
      </c>
      <c r="K1092" s="15">
        <f>IF(OR(J1092="",$G$1279=0),"",J1092/$G$1279*100)</f>
      </c>
      <c r="L1092" s="12" t="str">
        <f>IF(C1092-O1092&gt;0,C1092-O1092,"")</f>
        <v/>
      </c>
      <c r="M1092" s="14" t="str">
        <f>IF(L1092="","",F1092*L1092)</f>
        <v/>
      </c>
      <c r="N1092" s="15">
        <f>IF(OR(M1092="",$G$1279=0),"",M1092/$G$1279*100)</f>
      </c>
      <c r="O1092" s="12">
        <v>75</v>
      </c>
      <c r="P1092" s="14">
        <f>F1092*O1092</f>
        <v>18230970.75</v>
      </c>
      <c r="Q1092" s="15">
        <f>IF($P$1279=0,0,P1092/$P$1279*100)</f>
      </c>
      <c r="R1092" s="10" t="str">
        <f>IF(O1092=C1092,"TETAP",IF(C1092=0,"BARU",IF(O1092=0,"HAPUS",IF(O1092&gt;C1092,"TAMBAH","KURANG"))))</f>
        <v>TETAP</v>
      </c>
    </row>
    <row r="1093" spans="1:18" x14ac:dyDescent="0.25">
      <c r="A1093" s="10" t="s">
        <v>120</v>
      </c>
      <c r="B1093" s="18" t="s">
        <v>205</v>
      </c>
      <c r="C1093" s="12">
        <v>2085.854</v>
      </c>
      <c r="D1093" s="13">
        <v>300</v>
      </c>
      <c r="E1093" s="10" t="s">
        <v>169</v>
      </c>
      <c r="F1093" s="14">
        <v>28927.25</v>
      </c>
      <c r="G1093" s="14">
        <f>F1093*C1093</f>
        <v>60338020.12149999</v>
      </c>
      <c r="H1093" s="15">
        <f>IF($G$1279=0,0,G1093/$G$1279*100)</f>
      </c>
      <c r="I1093" s="12" t="str">
        <f>IF(O1093-C1093&gt;0,O1093-C1093,"")</f>
        <v/>
      </c>
      <c r="J1093" s="14" t="str">
        <f>IF(I1093="","",F1093*I1093)</f>
        <v/>
      </c>
      <c r="K1093" s="15">
        <f>IF(OR(J1093="",$G$1279=0),"",J1093/$G$1279*100)</f>
      </c>
      <c r="L1093" s="12" t="str">
        <f>IF(C1093-O1093&gt;0,C1093-O1093,"")</f>
        <v/>
      </c>
      <c r="M1093" s="14" t="str">
        <f>IF(L1093="","",F1093*L1093)</f>
        <v/>
      </c>
      <c r="N1093" s="15">
        <f>IF(OR(M1093="",$G$1279=0),"",M1093/$G$1279*100)</f>
      </c>
      <c r="O1093" s="12">
        <v>2085.854</v>
      </c>
      <c r="P1093" s="14">
        <f>F1093*O1093</f>
        <v>60338020.12149999</v>
      </c>
      <c r="Q1093" s="15">
        <f>IF($P$1279=0,0,P1093/$P$1279*100)</f>
      </c>
      <c r="R1093" s="10" t="str">
        <f>IF(O1093=C1093,"TETAP",IF(C1093=0,"BARU",IF(O1093=0,"HAPUS",IF(O1093&gt;C1093,"TAMBAH","KURANG"))))</f>
        <v>TETAP</v>
      </c>
    </row>
    <row r="1094" spans="1:18" x14ac:dyDescent="0.25">
      <c r="A1094" s="10" t="s">
        <v>122</v>
      </c>
      <c r="B1094" s="18" t="s">
        <v>374</v>
      </c>
      <c r="C1094" s="12">
        <v>11.25</v>
      </c>
      <c r="D1094" s="12">
        <v>0</v>
      </c>
      <c r="E1094" s="10" t="s">
        <v>159</v>
      </c>
      <c r="F1094" s="14">
        <v>1399567.05</v>
      </c>
      <c r="G1094" s="14">
        <f>F1094*C1094</f>
        <v>15745129.3125</v>
      </c>
      <c r="H1094" s="15">
        <f>IF($G$1279=0,0,G1094/$G$1279*100)</f>
      </c>
      <c r="I1094" s="12" t="str">
        <f>IF(O1094-C1094&gt;0,O1094-C1094,"")</f>
        <v/>
      </c>
      <c r="J1094" s="14" t="str">
        <f>IF(I1094="","",F1094*I1094)</f>
        <v/>
      </c>
      <c r="K1094" s="15">
        <f>IF(OR(J1094="",$G$1279=0),"",J1094/$G$1279*100)</f>
      </c>
      <c r="L1094" s="12" t="str">
        <f>IF(C1094-O1094&gt;0,C1094-O1094,"")</f>
        <v/>
      </c>
      <c r="M1094" s="14" t="str">
        <f>IF(L1094="","",F1094*L1094)</f>
        <v/>
      </c>
      <c r="N1094" s="15">
        <f>IF(OR(M1094="",$G$1279=0),"",M1094/$G$1279*100)</f>
      </c>
      <c r="O1094" s="12">
        <v>11.25</v>
      </c>
      <c r="P1094" s="14">
        <f>F1094*O1094</f>
        <v>15745129.3125</v>
      </c>
      <c r="Q1094" s="15">
        <f>IF($P$1279=0,0,P1094/$P$1279*100)</f>
      </c>
      <c r="R1094" s="10" t="str">
        <f>IF(O1094=C1094,"TETAP",IF(C1094=0,"BARU",IF(O1094=0,"HAPUS",IF(O1094&gt;C1094,"TAMBAH","KURANG"))))</f>
        <v>TETAP</v>
      </c>
    </row>
    <row r="1095" spans="1:18" x14ac:dyDescent="0.25">
      <c r="A1095" s="5" t="s">
        <v>132</v>
      </c>
      <c r="B1095" s="17" t="s">
        <v>851</v>
      </c>
      <c r="C1095" s="7"/>
      <c r="D1095" s="7"/>
      <c r="E1095" s="5"/>
      <c r="F1095" s="8"/>
      <c r="G1095" s="8"/>
      <c r="H1095" s="9"/>
      <c r="I1095" s="7"/>
      <c r="J1095" s="8"/>
      <c r="K1095" s="9"/>
      <c r="L1095" s="7"/>
      <c r="M1095" s="8"/>
      <c r="N1095" s="9"/>
      <c r="O1095" s="7"/>
      <c r="P1095" s="8"/>
      <c r="Q1095" s="9"/>
      <c r="R1095" s="5"/>
    </row>
    <row r="1096" spans="1:18" x14ac:dyDescent="0.25">
      <c r="A1096" s="10" t="s">
        <v>134</v>
      </c>
      <c r="B1096" s="18" t="s">
        <v>843</v>
      </c>
      <c r="C1096" s="12">
        <v>2.9</v>
      </c>
      <c r="D1096" s="12">
        <v>0</v>
      </c>
      <c r="E1096" s="10" t="s">
        <v>159</v>
      </c>
      <c r="F1096" s="14">
        <v>48730.7</v>
      </c>
      <c r="G1096" s="14">
        <f>F1096*C1096</f>
        <v>141319.03</v>
      </c>
      <c r="H1096" s="15">
        <f>IF($G$1279=0,0,G1096/$G$1279*100)</f>
      </c>
      <c r="I1096" s="12">
        <f>IF(O1096-C1096&gt;0,O1096-C1096,"")</f>
        <v>4.359999999999999</v>
      </c>
      <c r="J1096" s="14">
        <f>IF(I1096="","",F1096*I1096)</f>
        <v>212465.85199999996</v>
      </c>
      <c r="K1096" s="15">
        <f>IF(OR(J1096="",$G$1279=0),"",J1096/$G$1279*100)</f>
      </c>
      <c r="L1096" s="12" t="str">
        <f>IF(C1096-O1096&gt;0,C1096-O1096,"")</f>
        <v/>
      </c>
      <c r="M1096" s="14" t="str">
        <f>IF(L1096="","",F1096*L1096)</f>
        <v/>
      </c>
      <c r="N1096" s="15">
        <f>IF(OR(M1096="",$G$1279=0),"",M1096/$G$1279*100)</f>
      </c>
      <c r="O1096" s="12">
        <v>7.26</v>
      </c>
      <c r="P1096" s="14">
        <f>F1096*O1096</f>
        <v>353784.882</v>
      </c>
      <c r="Q1096" s="15">
        <f>IF($P$1279=0,0,P1096/$P$1279*100)</f>
      </c>
      <c r="R1096" s="10" t="str">
        <f>IF(O1096=C1096,"TETAP",IF(C1096=0,"BARU",IF(O1096=0,"HAPUS",IF(O1096&gt;C1096,"TAMBAH","KURANG"))))</f>
        <v>TAMBAH</v>
      </c>
    </row>
    <row r="1097" spans="1:18" x14ac:dyDescent="0.25">
      <c r="A1097" s="10" t="s">
        <v>136</v>
      </c>
      <c r="B1097" s="18" t="s">
        <v>187</v>
      </c>
      <c r="C1097" s="12">
        <v>11.52</v>
      </c>
      <c r="D1097" s="12">
        <v>0</v>
      </c>
      <c r="E1097" s="10" t="s">
        <v>26</v>
      </c>
      <c r="F1097" s="14">
        <v>218225.13</v>
      </c>
      <c r="G1097" s="14">
        <f>F1097*C1097</f>
        <v>2513953.4976</v>
      </c>
      <c r="H1097" s="15">
        <f>IF($G$1279=0,0,G1097/$G$1279*100)</f>
      </c>
      <c r="I1097" s="12">
        <f>IF(O1097-C1097&gt;0,O1097-C1097,"")</f>
        <v>17.28</v>
      </c>
      <c r="J1097" s="14">
        <f>IF(I1097="","",F1097*I1097)</f>
        <v>3770930.2464000005</v>
      </c>
      <c r="K1097" s="15">
        <f>IF(OR(J1097="",$G$1279=0),"",J1097/$G$1279*100)</f>
      </c>
      <c r="L1097" s="12" t="str">
        <f>IF(C1097-O1097&gt;0,C1097-O1097,"")</f>
        <v/>
      </c>
      <c r="M1097" s="14" t="str">
        <f>IF(L1097="","",F1097*L1097)</f>
        <v/>
      </c>
      <c r="N1097" s="15">
        <f>IF(OR(M1097="",$G$1279=0),"",M1097/$G$1279*100)</f>
      </c>
      <c r="O1097" s="12">
        <v>28.8</v>
      </c>
      <c r="P1097" s="14">
        <f>F1097*O1097</f>
        <v>6284883.744</v>
      </c>
      <c r="Q1097" s="15">
        <f>IF($P$1279=0,0,P1097/$P$1279*100)</f>
      </c>
      <c r="R1097" s="10" t="str">
        <f>IF(O1097=C1097,"TETAP",IF(C1097=0,"BARU",IF(O1097=0,"HAPUS",IF(O1097&gt;C1097,"TAMBAH","KURANG"))))</f>
        <v>TAMBAH</v>
      </c>
    </row>
    <row r="1098" spans="1:18" x14ac:dyDescent="0.25">
      <c r="A1098" s="10" t="s">
        <v>381</v>
      </c>
      <c r="B1098" s="18" t="s">
        <v>205</v>
      </c>
      <c r="C1098" s="12">
        <v>88.77</v>
      </c>
      <c r="D1098" s="12">
        <v>0</v>
      </c>
      <c r="E1098" s="10" t="s">
        <v>169</v>
      </c>
      <c r="F1098" s="14">
        <v>19252.39</v>
      </c>
      <c r="G1098" s="14">
        <f>F1098*C1098</f>
        <v>1709034.6602999999</v>
      </c>
      <c r="H1098" s="15">
        <f>IF($G$1279=0,0,G1098/$G$1279*100)</f>
      </c>
      <c r="I1098" s="12">
        <f>IF(O1098-C1098&gt;0,O1098-C1098,"")</f>
        <v>133.14999999999998</v>
      </c>
      <c r="J1098" s="14">
        <f>IF(I1098="","",F1098*I1098)</f>
        <v>2563455.7284999993</v>
      </c>
      <c r="K1098" s="15">
        <f>IF(OR(J1098="",$G$1279=0),"",J1098/$G$1279*100)</f>
      </c>
      <c r="L1098" s="12" t="str">
        <f>IF(C1098-O1098&gt;0,C1098-O1098,"")</f>
        <v/>
      </c>
      <c r="M1098" s="14" t="str">
        <f>IF(L1098="","",F1098*L1098)</f>
        <v/>
      </c>
      <c r="N1098" s="15">
        <f>IF(OR(M1098="",$G$1279=0),"",M1098/$G$1279*100)</f>
      </c>
      <c r="O1098" s="12">
        <v>221.92</v>
      </c>
      <c r="P1098" s="14">
        <f>F1098*O1098</f>
        <v>4272490.3888</v>
      </c>
      <c r="Q1098" s="15">
        <f>IF($P$1279=0,0,P1098/$P$1279*100)</f>
      </c>
      <c r="R1098" s="10" t="str">
        <f>IF(O1098=C1098,"TETAP",IF(C1098=0,"BARU",IF(O1098=0,"HAPUS",IF(O1098&gt;C1098,"TAMBAH","KURANG"))))</f>
        <v>TAMBAH</v>
      </c>
    </row>
    <row r="1099" spans="1:18" x14ac:dyDescent="0.25">
      <c r="A1099" s="10" t="s">
        <v>382</v>
      </c>
      <c r="B1099" s="18" t="s">
        <v>374</v>
      </c>
      <c r="C1099" s="12">
        <v>0.84</v>
      </c>
      <c r="D1099" s="12">
        <v>0</v>
      </c>
      <c r="E1099" s="10" t="s">
        <v>159</v>
      </c>
      <c r="F1099" s="14">
        <v>1399567.05</v>
      </c>
      <c r="G1099" s="14">
        <f>F1099*C1099</f>
        <v>1175636.322</v>
      </c>
      <c r="H1099" s="15">
        <f>IF($G$1279=0,0,G1099/$G$1279*100)</f>
      </c>
      <c r="I1099" s="12">
        <f>IF(O1099-C1099&gt;0,O1099-C1099,"")</f>
        <v>1.27</v>
      </c>
      <c r="J1099" s="14">
        <f>IF(I1099="","",F1099*I1099)</f>
        <v>1777450.1535</v>
      </c>
      <c r="K1099" s="15">
        <f>IF(OR(J1099="",$G$1279=0),"",J1099/$G$1279*100)</f>
      </c>
      <c r="L1099" s="12" t="str">
        <f>IF(C1099-O1099&gt;0,C1099-O1099,"")</f>
        <v/>
      </c>
      <c r="M1099" s="14" t="str">
        <f>IF(L1099="","",F1099*L1099)</f>
        <v/>
      </c>
      <c r="N1099" s="15">
        <f>IF(OR(M1099="",$G$1279=0),"",M1099/$G$1279*100)</f>
      </c>
      <c r="O1099" s="12">
        <v>2.11</v>
      </c>
      <c r="P1099" s="14">
        <f>F1099*O1099</f>
        <v>2953086.4754999997</v>
      </c>
      <c r="Q1099" s="15">
        <f>IF($P$1279=0,0,P1099/$P$1279*100)</f>
      </c>
      <c r="R1099" s="10" t="str">
        <f>IF(O1099=C1099,"TETAP",IF(C1099=0,"BARU",IF(O1099=0,"HAPUS",IF(O1099&gt;C1099,"TAMBAH","KURANG"))))</f>
        <v>TAMBAH</v>
      </c>
    </row>
    <row r="1100" spans="1:18" x14ac:dyDescent="0.25">
      <c r="A1100" s="10" t="s">
        <v>852</v>
      </c>
      <c r="B1100" s="18" t="s">
        <v>853</v>
      </c>
      <c r="C1100" s="12">
        <v>2</v>
      </c>
      <c r="D1100" s="12">
        <v>0</v>
      </c>
      <c r="E1100" s="10" t="s">
        <v>32</v>
      </c>
      <c r="F1100" s="14">
        <v>2958442.04</v>
      </c>
      <c r="G1100" s="14">
        <f>F1100*C1100</f>
        <v>5916884.08</v>
      </c>
      <c r="H1100" s="15">
        <f>IF($G$1279=0,0,G1100/$G$1279*100)</f>
      </c>
      <c r="I1100" s="12">
        <f>IF(O1100-C1100&gt;0,O1100-C1100,"")</f>
        <v>3</v>
      </c>
      <c r="J1100" s="14">
        <f>IF(I1100="","",F1100*I1100)</f>
        <v>8875326.120000001</v>
      </c>
      <c r="K1100" s="15">
        <f>IF(OR(J1100="",$G$1279=0),"",J1100/$G$1279*100)</f>
      </c>
      <c r="L1100" s="12" t="str">
        <f>IF(C1100-O1100&gt;0,C1100-O1100,"")</f>
        <v/>
      </c>
      <c r="M1100" s="14" t="str">
        <f>IF(L1100="","",F1100*L1100)</f>
        <v/>
      </c>
      <c r="N1100" s="15">
        <f>IF(OR(M1100="",$G$1279=0),"",M1100/$G$1279*100)</f>
      </c>
      <c r="O1100" s="12">
        <v>5</v>
      </c>
      <c r="P1100" s="14">
        <f>F1100*O1100</f>
        <v>14792210.2</v>
      </c>
      <c r="Q1100" s="15">
        <f>IF($P$1279=0,0,P1100/$P$1279*100)</f>
      </c>
      <c r="R1100" s="10" t="str">
        <f>IF(O1100=C1100,"TETAP",IF(C1100=0,"BARU",IF(O1100=0,"HAPUS",IF(O1100&gt;C1100,"TAMBAH","KURANG"))))</f>
        <v>TAMBAH</v>
      </c>
    </row>
    <row r="1101" spans="1:18" x14ac:dyDescent="0.25">
      <c r="A1101" s="5" t="s">
        <v>138</v>
      </c>
      <c r="B1101" s="17" t="s">
        <v>854</v>
      </c>
      <c r="C1101" s="7"/>
      <c r="D1101" s="7"/>
      <c r="E1101" s="5"/>
      <c r="F1101" s="8"/>
      <c r="G1101" s="8"/>
      <c r="H1101" s="9"/>
      <c r="I1101" s="7"/>
      <c r="J1101" s="8"/>
      <c r="K1101" s="9"/>
      <c r="L1101" s="7"/>
      <c r="M1101" s="8"/>
      <c r="N1101" s="9"/>
      <c r="O1101" s="7"/>
      <c r="P1101" s="8"/>
      <c r="Q1101" s="9"/>
      <c r="R1101" s="5"/>
    </row>
    <row r="1102" spans="1:18" x14ac:dyDescent="0.25">
      <c r="A1102" s="10" t="s">
        <v>140</v>
      </c>
      <c r="B1102" s="18" t="s">
        <v>843</v>
      </c>
      <c r="C1102" s="12">
        <v>243.5</v>
      </c>
      <c r="D1102" s="13">
        <v>243.5</v>
      </c>
      <c r="E1102" s="10" t="s">
        <v>159</v>
      </c>
      <c r="F1102" s="14">
        <v>48730.7</v>
      </c>
      <c r="G1102" s="14">
        <f>F1102*C1102</f>
        <v>11865925.45</v>
      </c>
      <c r="H1102" s="15">
        <f>IF($G$1279=0,0,G1102/$G$1279*100)</f>
      </c>
      <c r="I1102" s="12" t="str">
        <f>IF(O1102-C1102&gt;0,O1102-C1102,"")</f>
        <v/>
      </c>
      <c r="J1102" s="14" t="str">
        <f>IF(I1102="","",F1102*I1102)</f>
        <v/>
      </c>
      <c r="K1102" s="15">
        <f>IF(OR(J1102="",$G$1279=0),"",J1102/$G$1279*100)</f>
      </c>
      <c r="L1102" s="12" t="str">
        <f>IF(C1102-O1102&gt;0,C1102-O1102,"")</f>
        <v/>
      </c>
      <c r="M1102" s="14" t="str">
        <f>IF(L1102="","",F1102*L1102)</f>
        <v/>
      </c>
      <c r="N1102" s="15">
        <f>IF(OR(M1102="",$G$1279=0),"",M1102/$G$1279*100)</f>
      </c>
      <c r="O1102" s="12">
        <v>243.5</v>
      </c>
      <c r="P1102" s="14">
        <f>F1102*O1102</f>
        <v>11865925.45</v>
      </c>
      <c r="Q1102" s="15">
        <f>IF($P$1279=0,0,P1102/$P$1279*100)</f>
      </c>
      <c r="R1102" s="10" t="str">
        <f>IF(O1102=C1102,"TETAP",IF(C1102=0,"BARU",IF(O1102=0,"HAPUS",IF(O1102&gt;C1102,"TAMBAH","KURANG"))))</f>
        <v>TETAP</v>
      </c>
    </row>
    <row r="1103" spans="1:18" x14ac:dyDescent="0.25">
      <c r="A1103" s="10" t="s">
        <v>142</v>
      </c>
      <c r="B1103" s="18" t="s">
        <v>409</v>
      </c>
      <c r="C1103" s="12">
        <v>8.992</v>
      </c>
      <c r="D1103" s="12">
        <v>0</v>
      </c>
      <c r="E1103" s="10" t="s">
        <v>159</v>
      </c>
      <c r="F1103" s="14">
        <v>342654.98</v>
      </c>
      <c r="G1103" s="14">
        <f>F1103*C1103</f>
        <v>3081153.5801600004</v>
      </c>
      <c r="H1103" s="15">
        <f>IF($G$1279=0,0,G1103/$G$1279*100)</f>
      </c>
      <c r="I1103" s="12" t="str">
        <f>IF(O1103-C1103&gt;0,O1103-C1103,"")</f>
        <v/>
      </c>
      <c r="J1103" s="14" t="str">
        <f>IF(I1103="","",F1103*I1103)</f>
        <v/>
      </c>
      <c r="K1103" s="15">
        <f>IF(OR(J1103="",$G$1279=0),"",J1103/$G$1279*100)</f>
      </c>
      <c r="L1103" s="12" t="str">
        <f>IF(C1103-O1103&gt;0,C1103-O1103,"")</f>
        <v/>
      </c>
      <c r="M1103" s="14" t="str">
        <f>IF(L1103="","",F1103*L1103)</f>
        <v/>
      </c>
      <c r="N1103" s="15">
        <f>IF(OR(M1103="",$G$1279=0),"",M1103/$G$1279*100)</f>
      </c>
      <c r="O1103" s="12">
        <v>8.992</v>
      </c>
      <c r="P1103" s="14">
        <f>F1103*O1103</f>
        <v>3081153.5801600004</v>
      </c>
      <c r="Q1103" s="15">
        <f>IF($P$1279=0,0,P1103/$P$1279*100)</f>
      </c>
      <c r="R1103" s="10" t="str">
        <f>IF(O1103=C1103,"TETAP",IF(C1103=0,"BARU",IF(O1103=0,"HAPUS",IF(O1103&gt;C1103,"TAMBAH","KURANG"))))</f>
        <v>TETAP</v>
      </c>
    </row>
    <row r="1104" spans="1:18" x14ac:dyDescent="0.25">
      <c r="A1104" s="10" t="s">
        <v>512</v>
      </c>
      <c r="B1104" s="18" t="s">
        <v>752</v>
      </c>
      <c r="C1104" s="12">
        <v>150.3</v>
      </c>
      <c r="D1104" s="12">
        <v>0</v>
      </c>
      <c r="E1104" s="10" t="s">
        <v>26</v>
      </c>
      <c r="F1104" s="14">
        <v>164501.03</v>
      </c>
      <c r="G1104" s="14">
        <f>F1104*C1104</f>
        <v>24724504.809</v>
      </c>
      <c r="H1104" s="15">
        <f>IF($G$1279=0,0,G1104/$G$1279*100)</f>
      </c>
      <c r="I1104" s="12" t="str">
        <f>IF(O1104-C1104&gt;0,O1104-C1104,"")</f>
        <v/>
      </c>
      <c r="J1104" s="14" t="str">
        <f>IF(I1104="","",F1104*I1104)</f>
        <v/>
      </c>
      <c r="K1104" s="15">
        <f>IF(OR(J1104="",$G$1279=0),"",J1104/$G$1279*100)</f>
      </c>
      <c r="L1104" s="12" t="str">
        <f>IF(C1104-O1104&gt;0,C1104-O1104,"")</f>
        <v/>
      </c>
      <c r="M1104" s="14" t="str">
        <f>IF(L1104="","",F1104*L1104)</f>
        <v/>
      </c>
      <c r="N1104" s="15">
        <f>IF(OR(M1104="",$G$1279=0),"",M1104/$G$1279*100)</f>
      </c>
      <c r="O1104" s="12">
        <v>150.3</v>
      </c>
      <c r="P1104" s="14">
        <f>F1104*O1104</f>
        <v>24724504.809</v>
      </c>
      <c r="Q1104" s="15">
        <f>IF($P$1279=0,0,P1104/$P$1279*100)</f>
      </c>
      <c r="R1104" s="10" t="str">
        <f>IF(O1104=C1104,"TETAP",IF(C1104=0,"BARU",IF(O1104=0,"HAPUS",IF(O1104&gt;C1104,"TAMBAH","KURANG"))))</f>
        <v>TETAP</v>
      </c>
    </row>
    <row r="1105" spans="1:18" x14ac:dyDescent="0.25">
      <c r="A1105" s="10" t="s">
        <v>514</v>
      </c>
      <c r="B1105" s="18" t="s">
        <v>402</v>
      </c>
      <c r="C1105" s="12">
        <v>167</v>
      </c>
      <c r="D1105" s="13">
        <v>18</v>
      </c>
      <c r="E1105" s="10" t="s">
        <v>26</v>
      </c>
      <c r="F1105" s="14">
        <v>60093.87</v>
      </c>
      <c r="G1105" s="14">
        <f>F1105*C1105</f>
        <v>10035676.290000001</v>
      </c>
      <c r="H1105" s="15">
        <f>IF($G$1279=0,0,G1105/$G$1279*100)</f>
      </c>
      <c r="I1105" s="12" t="str">
        <f>IF(O1105-C1105&gt;0,O1105-C1105,"")</f>
        <v/>
      </c>
      <c r="J1105" s="14" t="str">
        <f>IF(I1105="","",F1105*I1105)</f>
        <v/>
      </c>
      <c r="K1105" s="15">
        <f>IF(OR(J1105="",$G$1279=0),"",J1105/$G$1279*100)</f>
      </c>
      <c r="L1105" s="12" t="str">
        <f>IF(C1105-O1105&gt;0,C1105-O1105,"")</f>
        <v/>
      </c>
      <c r="M1105" s="14" t="str">
        <f>IF(L1105="","",F1105*L1105)</f>
        <v/>
      </c>
      <c r="N1105" s="15">
        <f>IF(OR(M1105="",$G$1279=0),"",M1105/$G$1279*100)</f>
      </c>
      <c r="O1105" s="12">
        <v>167</v>
      </c>
      <c r="P1105" s="14">
        <f>F1105*O1105</f>
        <v>10035676.290000001</v>
      </c>
      <c r="Q1105" s="15">
        <f>IF($P$1279=0,0,P1105/$P$1279*100)</f>
      </c>
      <c r="R1105" s="10" t="str">
        <f>IF(O1105=C1105,"TETAP",IF(C1105=0,"BARU",IF(O1105=0,"HAPUS",IF(O1105&gt;C1105,"TAMBAH","KURANG"))))</f>
        <v>TETAP</v>
      </c>
    </row>
    <row r="1106" spans="1:18" x14ac:dyDescent="0.25">
      <c r="A1106" s="10" t="s">
        <v>855</v>
      </c>
      <c r="B1106" s="18" t="s">
        <v>849</v>
      </c>
      <c r="C1106" s="12">
        <v>167</v>
      </c>
      <c r="D1106" s="12">
        <v>0</v>
      </c>
      <c r="E1106" s="10" t="s">
        <v>26</v>
      </c>
      <c r="F1106" s="14">
        <v>44344.2</v>
      </c>
      <c r="G1106" s="14">
        <f>F1106*C1106</f>
        <v>7405481.399999999</v>
      </c>
      <c r="H1106" s="15">
        <f>IF($G$1279=0,0,G1106/$G$1279*100)</f>
      </c>
      <c r="I1106" s="12" t="str">
        <f>IF(O1106-C1106&gt;0,O1106-C1106,"")</f>
        <v/>
      </c>
      <c r="J1106" s="14" t="str">
        <f>IF(I1106="","",F1106*I1106)</f>
        <v/>
      </c>
      <c r="K1106" s="15">
        <f>IF(OR(J1106="",$G$1279=0),"",J1106/$G$1279*100)</f>
      </c>
      <c r="L1106" s="12" t="str">
        <f>IF(C1106-O1106&gt;0,C1106-O1106,"")</f>
        <v/>
      </c>
      <c r="M1106" s="14" t="str">
        <f>IF(L1106="","",F1106*L1106)</f>
        <v/>
      </c>
      <c r="N1106" s="15">
        <f>IF(OR(M1106="",$G$1279=0),"",M1106/$G$1279*100)</f>
      </c>
      <c r="O1106" s="12">
        <v>167</v>
      </c>
      <c r="P1106" s="14">
        <f>F1106*O1106</f>
        <v>7405481.399999999</v>
      </c>
      <c r="Q1106" s="15">
        <f>IF($P$1279=0,0,P1106/$P$1279*100)</f>
      </c>
      <c r="R1106" s="10" t="str">
        <f>IF(O1106=C1106,"TETAP",IF(C1106=0,"BARU",IF(O1106=0,"HAPUS",IF(O1106&gt;C1106,"TAMBAH","KURANG"))))</f>
        <v>TETAP</v>
      </c>
    </row>
    <row r="1107" spans="1:18" x14ac:dyDescent="0.25">
      <c r="A1107" s="10" t="s">
        <v>856</v>
      </c>
      <c r="B1107" s="18" t="s">
        <v>857</v>
      </c>
      <c r="C1107" s="12">
        <v>2.088</v>
      </c>
      <c r="D1107" s="12">
        <v>0</v>
      </c>
      <c r="E1107" s="10" t="s">
        <v>159</v>
      </c>
      <c r="F1107" s="14">
        <v>1243301.43</v>
      </c>
      <c r="G1107" s="14">
        <f>F1107*C1107</f>
        <v>2596013.38584</v>
      </c>
      <c r="H1107" s="15">
        <f>IF($G$1279=0,0,G1107/$G$1279*100)</f>
      </c>
      <c r="I1107" s="12" t="str">
        <f>IF(O1107-C1107&gt;0,O1107-C1107,"")</f>
        <v/>
      </c>
      <c r="J1107" s="14" t="str">
        <f>IF(I1107="","",F1107*I1107)</f>
        <v/>
      </c>
      <c r="K1107" s="15">
        <f>IF(OR(J1107="",$G$1279=0),"",J1107/$G$1279*100)</f>
      </c>
      <c r="L1107" s="12" t="str">
        <f>IF(C1107-O1107&gt;0,C1107-O1107,"")</f>
        <v/>
      </c>
      <c r="M1107" s="14" t="str">
        <f>IF(L1107="","",F1107*L1107)</f>
        <v/>
      </c>
      <c r="N1107" s="15">
        <f>IF(OR(M1107="",$G$1279=0),"",M1107/$G$1279*100)</f>
      </c>
      <c r="O1107" s="12">
        <v>2.088</v>
      </c>
      <c r="P1107" s="14">
        <f>F1107*O1107</f>
        <v>2596013.38584</v>
      </c>
      <c r="Q1107" s="15">
        <f>IF($P$1279=0,0,P1107/$P$1279*100)</f>
      </c>
      <c r="R1107" s="10" t="str">
        <f>IF(O1107=C1107,"TETAP",IF(C1107=0,"BARU",IF(O1107=0,"HAPUS",IF(O1107&gt;C1107,"TAMBAH","KURANG"))))</f>
        <v>TETAP</v>
      </c>
    </row>
    <row r="1108" spans="1:18" x14ac:dyDescent="0.25">
      <c r="A1108" s="5" t="s">
        <v>858</v>
      </c>
      <c r="B1108" s="16" t="s">
        <v>859</v>
      </c>
      <c r="C1108" s="7"/>
      <c r="D1108" s="7"/>
      <c r="E1108" s="5"/>
      <c r="F1108" s="8"/>
      <c r="G1108" s="8"/>
      <c r="H1108" s="9"/>
      <c r="I1108" s="7"/>
      <c r="J1108" s="8"/>
      <c r="K1108" s="9"/>
      <c r="L1108" s="7"/>
      <c r="M1108" s="8"/>
      <c r="N1108" s="9"/>
      <c r="O1108" s="7"/>
      <c r="P1108" s="8"/>
      <c r="Q1108" s="9"/>
      <c r="R1108" s="5"/>
    </row>
    <row r="1109" spans="1:18" x14ac:dyDescent="0.25">
      <c r="A1109" s="10" t="s">
        <v>24</v>
      </c>
      <c r="B1109" s="20" t="s">
        <v>860</v>
      </c>
      <c r="C1109" s="12">
        <v>105</v>
      </c>
      <c r="D1109" s="12">
        <v>0</v>
      </c>
      <c r="E1109" s="10" t="s">
        <v>37</v>
      </c>
      <c r="F1109" s="14">
        <v>4216.27</v>
      </c>
      <c r="G1109" s="14">
        <f>F1109*C1109</f>
        <v>442708.35000000003</v>
      </c>
      <c r="H1109" s="15">
        <f>IF($G$1279=0,0,G1109/$G$1279*100)</f>
      </c>
      <c r="I1109" s="12" t="str">
        <f>IF(O1109-C1109&gt;0,O1109-C1109,"")</f>
        <v/>
      </c>
      <c r="J1109" s="14" t="str">
        <f>IF(I1109="","",F1109*I1109)</f>
        <v/>
      </c>
      <c r="K1109" s="15">
        <f>IF(OR(J1109="",$G$1279=0),"",J1109/$G$1279*100)</f>
      </c>
      <c r="L1109" s="12" t="str">
        <f>IF(C1109-O1109&gt;0,C1109-O1109,"")</f>
        <v/>
      </c>
      <c r="M1109" s="14" t="str">
        <f>IF(L1109="","",F1109*L1109)</f>
        <v/>
      </c>
      <c r="N1109" s="15">
        <f>IF(OR(M1109="",$G$1279=0),"",M1109/$G$1279*100)</f>
      </c>
      <c r="O1109" s="12">
        <v>105</v>
      </c>
      <c r="P1109" s="14">
        <f>F1109*O1109</f>
        <v>442708.35000000003</v>
      </c>
      <c r="Q1109" s="15">
        <f>IF($P$1279=0,0,P1109/$P$1279*100)</f>
      </c>
      <c r="R1109" s="10" t="str">
        <f>IF(O1109=C1109,"TETAP",IF(C1109=0,"BARU",IF(O1109=0,"HAPUS",IF(O1109&gt;C1109,"TAMBAH","KURANG"))))</f>
        <v>TETAP</v>
      </c>
    </row>
    <row r="1110" spans="1:18" x14ac:dyDescent="0.25">
      <c r="A1110" s="10" t="s">
        <v>27</v>
      </c>
      <c r="B1110" s="20" t="s">
        <v>861</v>
      </c>
      <c r="C1110" s="12">
        <v>126</v>
      </c>
      <c r="D1110" s="12">
        <v>0</v>
      </c>
      <c r="E1110" s="10" t="s">
        <v>159</v>
      </c>
      <c r="F1110" s="14">
        <v>39994.39</v>
      </c>
      <c r="G1110" s="14">
        <f>F1110*C1110</f>
        <v>5039293.14</v>
      </c>
      <c r="H1110" s="15">
        <f>IF($G$1279=0,0,G1110/$G$1279*100)</f>
      </c>
      <c r="I1110" s="12" t="str">
        <f>IF(O1110-C1110&gt;0,O1110-C1110,"")</f>
        <v/>
      </c>
      <c r="J1110" s="14" t="str">
        <f>IF(I1110="","",F1110*I1110)</f>
        <v/>
      </c>
      <c r="K1110" s="15">
        <f>IF(OR(J1110="",$G$1279=0),"",J1110/$G$1279*100)</f>
      </c>
      <c r="L1110" s="12" t="str">
        <f>IF(C1110-O1110&gt;0,C1110-O1110,"")</f>
        <v/>
      </c>
      <c r="M1110" s="14" t="str">
        <f>IF(L1110="","",F1110*L1110)</f>
        <v/>
      </c>
      <c r="N1110" s="15">
        <f>IF(OR(M1110="",$G$1279=0),"",M1110/$G$1279*100)</f>
      </c>
      <c r="O1110" s="12">
        <v>126</v>
      </c>
      <c r="P1110" s="14">
        <f>F1110*O1110</f>
        <v>5039293.14</v>
      </c>
      <c r="Q1110" s="15">
        <f>IF($P$1279=0,0,P1110/$P$1279*100)</f>
      </c>
      <c r="R1110" s="10" t="str">
        <f>IF(O1110=C1110,"TETAP",IF(C1110=0,"BARU",IF(O1110=0,"HAPUS",IF(O1110&gt;C1110,"TAMBAH","KURANG"))))</f>
        <v>TETAP</v>
      </c>
    </row>
    <row r="1111" spans="1:18" x14ac:dyDescent="0.25">
      <c r="A1111" s="10" t="s">
        <v>30</v>
      </c>
      <c r="B1111" s="20" t="s">
        <v>862</v>
      </c>
      <c r="C1111" s="12">
        <v>189</v>
      </c>
      <c r="D1111" s="12">
        <v>0</v>
      </c>
      <c r="E1111" s="10" t="s">
        <v>159</v>
      </c>
      <c r="F1111" s="14">
        <v>417480.9</v>
      </c>
      <c r="G1111" s="14">
        <f>F1111*C1111</f>
        <v>78903890.10000001</v>
      </c>
      <c r="H1111" s="15">
        <f>IF($G$1279=0,0,G1111/$G$1279*100)</f>
      </c>
      <c r="I1111" s="12" t="str">
        <f>IF(O1111-C1111&gt;0,O1111-C1111,"")</f>
        <v/>
      </c>
      <c r="J1111" s="14" t="str">
        <f>IF(I1111="","",F1111*I1111)</f>
        <v/>
      </c>
      <c r="K1111" s="15">
        <f>IF(OR(J1111="",$G$1279=0),"",J1111/$G$1279*100)</f>
      </c>
      <c r="L1111" s="12" t="str">
        <f>IF(C1111-O1111&gt;0,C1111-O1111,"")</f>
        <v/>
      </c>
      <c r="M1111" s="14" t="str">
        <f>IF(L1111="","",F1111*L1111)</f>
        <v/>
      </c>
      <c r="N1111" s="15">
        <f>IF(OR(M1111="",$G$1279=0),"",M1111/$G$1279*100)</f>
      </c>
      <c r="O1111" s="12">
        <v>189</v>
      </c>
      <c r="P1111" s="14">
        <f>F1111*O1111</f>
        <v>78903890.10000001</v>
      </c>
      <c r="Q1111" s="15">
        <f>IF($P$1279=0,0,P1111/$P$1279*100)</f>
      </c>
      <c r="R1111" s="10" t="str">
        <f>IF(O1111=C1111,"TETAP",IF(C1111=0,"BARU",IF(O1111=0,"HAPUS",IF(O1111&gt;C1111,"TAMBAH","KURANG"))))</f>
        <v>TETAP</v>
      </c>
    </row>
    <row r="1112" spans="1:18" x14ac:dyDescent="0.25">
      <c r="A1112" s="10" t="s">
        <v>33</v>
      </c>
      <c r="B1112" s="20" t="s">
        <v>485</v>
      </c>
      <c r="C1112" s="12">
        <v>63</v>
      </c>
      <c r="D1112" s="12">
        <v>0</v>
      </c>
      <c r="E1112" s="10" t="s">
        <v>159</v>
      </c>
      <c r="F1112" s="14">
        <v>416974.77</v>
      </c>
      <c r="G1112" s="14">
        <f>F1112*C1112</f>
        <v>26269410.51</v>
      </c>
      <c r="H1112" s="15">
        <f>IF($G$1279=0,0,G1112/$G$1279*100)</f>
      </c>
      <c r="I1112" s="12" t="str">
        <f>IF(O1112-C1112&gt;0,O1112-C1112,"")</f>
        <v/>
      </c>
      <c r="J1112" s="14" t="str">
        <f>IF(I1112="","",F1112*I1112)</f>
        <v/>
      </c>
      <c r="K1112" s="15">
        <f>IF(OR(J1112="",$G$1279=0),"",J1112/$G$1279*100)</f>
      </c>
      <c r="L1112" s="12" t="str">
        <f>IF(C1112-O1112&gt;0,C1112-O1112,"")</f>
        <v/>
      </c>
      <c r="M1112" s="14" t="str">
        <f>IF(L1112="","",F1112*L1112)</f>
        <v/>
      </c>
      <c r="N1112" s="15">
        <f>IF(OR(M1112="",$G$1279=0),"",M1112/$G$1279*100)</f>
      </c>
      <c r="O1112" s="12">
        <v>63</v>
      </c>
      <c r="P1112" s="14">
        <f>F1112*O1112</f>
        <v>26269410.51</v>
      </c>
      <c r="Q1112" s="15">
        <f>IF($P$1279=0,0,P1112/$P$1279*100)</f>
      </c>
      <c r="R1112" s="10" t="str">
        <f>IF(O1112=C1112,"TETAP",IF(C1112=0,"BARU",IF(O1112=0,"HAPUS",IF(O1112&gt;C1112,"TAMBAH","KURANG"))))</f>
        <v>TETAP</v>
      </c>
    </row>
    <row r="1113" spans="1:18" x14ac:dyDescent="0.25">
      <c r="A1113" s="10" t="s">
        <v>35</v>
      </c>
      <c r="B1113" s="20" t="s">
        <v>486</v>
      </c>
      <c r="C1113" s="12">
        <v>63</v>
      </c>
      <c r="D1113" s="12">
        <v>0</v>
      </c>
      <c r="E1113" s="10" t="s">
        <v>159</v>
      </c>
      <c r="F1113" s="14">
        <v>39994.39</v>
      </c>
      <c r="G1113" s="14">
        <f>F1113*C1113</f>
        <v>2519646.57</v>
      </c>
      <c r="H1113" s="15">
        <f>IF($G$1279=0,0,G1113/$G$1279*100)</f>
      </c>
      <c r="I1113" s="12" t="str">
        <f>IF(O1113-C1113&gt;0,O1113-C1113,"")</f>
        <v/>
      </c>
      <c r="J1113" s="14" t="str">
        <f>IF(I1113="","",F1113*I1113)</f>
        <v/>
      </c>
      <c r="K1113" s="15">
        <f>IF(OR(J1113="",$G$1279=0),"",J1113/$G$1279*100)</f>
      </c>
      <c r="L1113" s="12" t="str">
        <f>IF(C1113-O1113&gt;0,C1113-O1113,"")</f>
        <v/>
      </c>
      <c r="M1113" s="14" t="str">
        <f>IF(L1113="","",F1113*L1113)</f>
        <v/>
      </c>
      <c r="N1113" s="15">
        <f>IF(OR(M1113="",$G$1279=0),"",M1113/$G$1279*100)</f>
      </c>
      <c r="O1113" s="12">
        <v>63</v>
      </c>
      <c r="P1113" s="14">
        <f>F1113*O1113</f>
        <v>2519646.57</v>
      </c>
      <c r="Q1113" s="15">
        <f>IF($P$1279=0,0,P1113/$P$1279*100)</f>
      </c>
      <c r="R1113" s="10" t="str">
        <f>IF(O1113=C1113,"TETAP",IF(C1113=0,"BARU",IF(O1113=0,"HAPUS",IF(O1113&gt;C1113,"TAMBAH","KURANG"))))</f>
        <v>TETAP</v>
      </c>
    </row>
    <row r="1114" spans="1:18" x14ac:dyDescent="0.25">
      <c r="A1114" s="10" t="s">
        <v>38</v>
      </c>
      <c r="B1114" s="20" t="s">
        <v>465</v>
      </c>
      <c r="C1114" s="12">
        <v>31.5</v>
      </c>
      <c r="D1114" s="12">
        <v>0</v>
      </c>
      <c r="E1114" s="10" t="s">
        <v>159</v>
      </c>
      <c r="F1114" s="14">
        <v>1243301.43</v>
      </c>
      <c r="G1114" s="14">
        <f>F1114*C1114</f>
        <v>39163995.044999994</v>
      </c>
      <c r="H1114" s="15">
        <f>IF($G$1279=0,0,G1114/$G$1279*100)</f>
      </c>
      <c r="I1114" s="12" t="str">
        <f>IF(O1114-C1114&gt;0,O1114-C1114,"")</f>
        <v/>
      </c>
      <c r="J1114" s="14" t="str">
        <f>IF(I1114="","",F1114*I1114)</f>
        <v/>
      </c>
      <c r="K1114" s="15">
        <f>IF(OR(J1114="",$G$1279=0),"",J1114/$G$1279*100)</f>
      </c>
      <c r="L1114" s="12" t="str">
        <f>IF(C1114-O1114&gt;0,C1114-O1114,"")</f>
        <v/>
      </c>
      <c r="M1114" s="14" t="str">
        <f>IF(L1114="","",F1114*L1114)</f>
        <v/>
      </c>
      <c r="N1114" s="15">
        <f>IF(OR(M1114="",$G$1279=0),"",M1114/$G$1279*100)</f>
      </c>
      <c r="O1114" s="12">
        <v>31.5</v>
      </c>
      <c r="P1114" s="14">
        <f>F1114*O1114</f>
        <v>39163995.044999994</v>
      </c>
      <c r="Q1114" s="15">
        <f>IF($P$1279=0,0,P1114/$P$1279*100)</f>
      </c>
      <c r="R1114" s="10" t="str">
        <f>IF(O1114=C1114,"TETAP",IF(C1114=0,"BARU",IF(O1114=0,"HAPUS",IF(O1114&gt;C1114,"TAMBAH","KURANG"))))</f>
        <v>TETAP</v>
      </c>
    </row>
    <row r="1115" spans="1:18" x14ac:dyDescent="0.25">
      <c r="A1115" s="5" t="s">
        <v>108</v>
      </c>
      <c r="B1115" s="17" t="s">
        <v>863</v>
      </c>
      <c r="C1115" s="7"/>
      <c r="D1115" s="7"/>
      <c r="E1115" s="5"/>
      <c r="F1115" s="8"/>
      <c r="G1115" s="8"/>
      <c r="H1115" s="9"/>
      <c r="I1115" s="7"/>
      <c r="J1115" s="8"/>
      <c r="K1115" s="9"/>
      <c r="L1115" s="7"/>
      <c r="M1115" s="8"/>
      <c r="N1115" s="9"/>
      <c r="O1115" s="7"/>
      <c r="P1115" s="8"/>
      <c r="Q1115" s="9"/>
      <c r="R1115" s="5"/>
    </row>
    <row r="1116" spans="1:18" x14ac:dyDescent="0.25">
      <c r="A1116" s="10" t="s">
        <v>212</v>
      </c>
      <c r="B1116" s="18" t="s">
        <v>187</v>
      </c>
      <c r="C1116" s="12">
        <v>31.5</v>
      </c>
      <c r="D1116" s="12">
        <v>0</v>
      </c>
      <c r="E1116" s="10" t="s">
        <v>26</v>
      </c>
      <c r="F1116" s="14">
        <v>218225.13</v>
      </c>
      <c r="G1116" s="14">
        <f>F1116*C1116</f>
        <v>6874091.595</v>
      </c>
      <c r="H1116" s="15">
        <f>IF($G$1279=0,0,G1116/$G$1279*100)</f>
      </c>
      <c r="I1116" s="12" t="str">
        <f>IF(O1116-C1116&gt;0,O1116-C1116,"")</f>
        <v/>
      </c>
      <c r="J1116" s="14" t="str">
        <f>IF(I1116="","",F1116*I1116)</f>
        <v/>
      </c>
      <c r="K1116" s="15">
        <f>IF(OR(J1116="",$G$1279=0),"",J1116/$G$1279*100)</f>
      </c>
      <c r="L1116" s="12" t="str">
        <f>IF(C1116-O1116&gt;0,C1116-O1116,"")</f>
        <v/>
      </c>
      <c r="M1116" s="14" t="str">
        <f>IF(L1116="","",F1116*L1116)</f>
        <v/>
      </c>
      <c r="N1116" s="15">
        <f>IF(OR(M1116="",$G$1279=0),"",M1116/$G$1279*100)</f>
      </c>
      <c r="O1116" s="12">
        <v>31.5</v>
      </c>
      <c r="P1116" s="14">
        <f>F1116*O1116</f>
        <v>6874091.595</v>
      </c>
      <c r="Q1116" s="15">
        <f>IF($P$1279=0,0,P1116/$P$1279*100)</f>
      </c>
      <c r="R1116" s="10" t="str">
        <f>IF(O1116=C1116,"TETAP",IF(C1116=0,"BARU",IF(O1116=0,"HAPUS",IF(O1116&gt;C1116,"TAMBAH","KURANG"))))</f>
        <v>TETAP</v>
      </c>
    </row>
    <row r="1117" spans="1:18" x14ac:dyDescent="0.25">
      <c r="A1117" s="10" t="s">
        <v>214</v>
      </c>
      <c r="B1117" s="18" t="s">
        <v>864</v>
      </c>
      <c r="C1117" s="12">
        <v>651</v>
      </c>
      <c r="D1117" s="12">
        <v>0</v>
      </c>
      <c r="E1117" s="10" t="s">
        <v>26</v>
      </c>
      <c r="F1117" s="14">
        <v>70152.73</v>
      </c>
      <c r="G1117" s="14">
        <f>F1117*C1117</f>
        <v>45669427.23</v>
      </c>
      <c r="H1117" s="15">
        <f>IF($G$1279=0,0,G1117/$G$1279*100)</f>
      </c>
      <c r="I1117" s="12" t="str">
        <f>IF(O1117-C1117&gt;0,O1117-C1117,"")</f>
        <v/>
      </c>
      <c r="J1117" s="14" t="str">
        <f>IF(I1117="","",F1117*I1117)</f>
        <v/>
      </c>
      <c r="K1117" s="15">
        <f>IF(OR(J1117="",$G$1279=0),"",J1117/$G$1279*100)</f>
      </c>
      <c r="L1117" s="12" t="str">
        <f>IF(C1117-O1117&gt;0,C1117-O1117,"")</f>
        <v/>
      </c>
      <c r="M1117" s="14" t="str">
        <f>IF(L1117="","",F1117*L1117)</f>
        <v/>
      </c>
      <c r="N1117" s="15">
        <f>IF(OR(M1117="",$G$1279=0),"",M1117/$G$1279*100)</f>
      </c>
      <c r="O1117" s="12">
        <v>651</v>
      </c>
      <c r="P1117" s="14">
        <f>F1117*O1117</f>
        <v>45669427.23</v>
      </c>
      <c r="Q1117" s="15">
        <f>IF($P$1279=0,0,P1117/$P$1279*100)</f>
      </c>
      <c r="R1117" s="10" t="str">
        <f>IF(O1117=C1117,"TETAP",IF(C1117=0,"BARU",IF(O1117=0,"HAPUS",IF(O1117&gt;C1117,"TAMBAH","KURANG"))))</f>
        <v>TETAP</v>
      </c>
    </row>
    <row r="1118" spans="1:18" x14ac:dyDescent="0.25">
      <c r="A1118" s="10" t="s">
        <v>216</v>
      </c>
      <c r="B1118" s="18" t="s">
        <v>865</v>
      </c>
      <c r="C1118" s="12">
        <v>0.46</v>
      </c>
      <c r="D1118" s="12">
        <v>0</v>
      </c>
      <c r="E1118" s="10" t="s">
        <v>169</v>
      </c>
      <c r="F1118" s="14">
        <v>838005.45</v>
      </c>
      <c r="G1118" s="14">
        <f>F1118*C1118</f>
        <v>385482.507</v>
      </c>
      <c r="H1118" s="15">
        <f>IF($G$1279=0,0,G1118/$G$1279*100)</f>
      </c>
      <c r="I1118" s="12" t="str">
        <f>IF(O1118-C1118&gt;0,O1118-C1118,"")</f>
        <v/>
      </c>
      <c r="J1118" s="14" t="str">
        <f>IF(I1118="","",F1118*I1118)</f>
        <v/>
      </c>
      <c r="K1118" s="15">
        <f>IF(OR(J1118="",$G$1279=0),"",J1118/$G$1279*100)</f>
      </c>
      <c r="L1118" s="12" t="str">
        <f>IF(C1118-O1118&gt;0,C1118-O1118,"")</f>
        <v/>
      </c>
      <c r="M1118" s="14" t="str">
        <f>IF(L1118="","",F1118*L1118)</f>
        <v/>
      </c>
      <c r="N1118" s="15">
        <f>IF(OR(M1118="",$G$1279=0),"",M1118/$G$1279*100)</f>
      </c>
      <c r="O1118" s="12">
        <v>0.46</v>
      </c>
      <c r="P1118" s="14">
        <f>F1118*O1118</f>
        <v>385482.507</v>
      </c>
      <c r="Q1118" s="15">
        <f>IF($P$1279=0,0,P1118/$P$1279*100)</f>
      </c>
      <c r="R1118" s="10" t="str">
        <f>IF(O1118=C1118,"TETAP",IF(C1118=0,"BARU",IF(O1118=0,"HAPUS",IF(O1118&gt;C1118,"TAMBAH","KURANG"))))</f>
        <v>TETAP</v>
      </c>
    </row>
    <row r="1119" spans="1:18" x14ac:dyDescent="0.25">
      <c r="A1119" s="10" t="s">
        <v>218</v>
      </c>
      <c r="B1119" s="18" t="s">
        <v>866</v>
      </c>
      <c r="C1119" s="12">
        <v>378</v>
      </c>
      <c r="D1119" s="12">
        <v>0</v>
      </c>
      <c r="E1119" s="10" t="s">
        <v>26</v>
      </c>
      <c r="F1119" s="14">
        <v>11564.32</v>
      </c>
      <c r="G1119" s="14">
        <f>F1119*C1119</f>
        <v>4371312.96</v>
      </c>
      <c r="H1119" s="15">
        <f>IF($G$1279=0,0,G1119/$G$1279*100)</f>
      </c>
      <c r="I1119" s="12" t="str">
        <f>IF(O1119-C1119&gt;0,O1119-C1119,"")</f>
        <v/>
      </c>
      <c r="J1119" s="14" t="str">
        <f>IF(I1119="","",F1119*I1119)</f>
        <v/>
      </c>
      <c r="K1119" s="15">
        <f>IF(OR(J1119="",$G$1279=0),"",J1119/$G$1279*100)</f>
      </c>
      <c r="L1119" s="12" t="str">
        <f>IF(C1119-O1119&gt;0,C1119-O1119,"")</f>
        <v/>
      </c>
      <c r="M1119" s="14" t="str">
        <f>IF(L1119="","",F1119*L1119)</f>
        <v/>
      </c>
      <c r="N1119" s="15">
        <f>IF(OR(M1119="",$G$1279=0),"",M1119/$G$1279*100)</f>
      </c>
      <c r="O1119" s="12">
        <v>378</v>
      </c>
      <c r="P1119" s="14">
        <f>F1119*O1119</f>
        <v>4371312.96</v>
      </c>
      <c r="Q1119" s="15">
        <f>IF($P$1279=0,0,P1119/$P$1279*100)</f>
      </c>
      <c r="R1119" s="10" t="str">
        <f>IF(O1119=C1119,"TETAP",IF(C1119=0,"BARU",IF(O1119=0,"HAPUS",IF(O1119&gt;C1119,"TAMBAH","KURANG"))))</f>
        <v>TETAP</v>
      </c>
    </row>
    <row r="1120" spans="1:18" x14ac:dyDescent="0.25">
      <c r="A1120" s="5" t="s">
        <v>216</v>
      </c>
      <c r="B1120" s="19" t="s">
        <v>867</v>
      </c>
      <c r="C1120" s="7"/>
      <c r="D1120" s="7"/>
      <c r="E1120" s="5"/>
      <c r="F1120" s="8"/>
      <c r="G1120" s="8"/>
      <c r="H1120" s="9"/>
      <c r="I1120" s="7"/>
      <c r="J1120" s="8"/>
      <c r="K1120" s="9"/>
      <c r="L1120" s="7"/>
      <c r="M1120" s="8"/>
      <c r="N1120" s="9"/>
      <c r="O1120" s="7"/>
      <c r="P1120" s="8"/>
      <c r="Q1120" s="9"/>
      <c r="R1120" s="5"/>
    </row>
    <row r="1121" spans="1:18" x14ac:dyDescent="0.25">
      <c r="A1121" s="10" t="s">
        <v>868</v>
      </c>
      <c r="B1121" s="18" t="s">
        <v>869</v>
      </c>
      <c r="C1121" s="12">
        <v>113.63</v>
      </c>
      <c r="D1121" s="12">
        <v>0</v>
      </c>
      <c r="E1121" s="10" t="s">
        <v>169</v>
      </c>
      <c r="F1121" s="14">
        <v>28927.25</v>
      </c>
      <c r="G1121" s="14">
        <f>F1121*C1121</f>
        <v>3287003.4175</v>
      </c>
      <c r="H1121" s="15">
        <f>IF($G$1279=0,0,G1121/$G$1279*100)</f>
      </c>
      <c r="I1121" s="12" t="str">
        <f>IF(O1121-C1121&gt;0,O1121-C1121,"")</f>
        <v/>
      </c>
      <c r="J1121" s="14" t="str">
        <f>IF(I1121="","",F1121*I1121)</f>
        <v/>
      </c>
      <c r="K1121" s="15">
        <f>IF(OR(J1121="",$G$1279=0),"",J1121/$G$1279*100)</f>
      </c>
      <c r="L1121" s="12" t="str">
        <f>IF(C1121-O1121&gt;0,C1121-O1121,"")</f>
        <v/>
      </c>
      <c r="M1121" s="14" t="str">
        <f>IF(L1121="","",F1121*L1121)</f>
        <v/>
      </c>
      <c r="N1121" s="15">
        <f>IF(OR(M1121="",$G$1279=0),"",M1121/$G$1279*100)</f>
      </c>
      <c r="O1121" s="12">
        <v>113.63</v>
      </c>
      <c r="P1121" s="14">
        <f>F1121*O1121</f>
        <v>3287003.4175</v>
      </c>
      <c r="Q1121" s="15">
        <f>IF($P$1279=0,0,P1121/$P$1279*100)</f>
      </c>
      <c r="R1121" s="10" t="str">
        <f>IF(O1121=C1121,"TETAP",IF(C1121=0,"BARU",IF(O1121=0,"HAPUS",IF(O1121&gt;C1121,"TAMBAH","KURANG"))))</f>
        <v>TETAP</v>
      </c>
    </row>
    <row r="1122" spans="1:18" x14ac:dyDescent="0.25">
      <c r="A1122" s="10" t="s">
        <v>870</v>
      </c>
      <c r="B1122" s="18" t="s">
        <v>871</v>
      </c>
      <c r="C1122" s="12">
        <v>84.51</v>
      </c>
      <c r="D1122" s="12">
        <v>0</v>
      </c>
      <c r="E1122" s="10" t="s">
        <v>169</v>
      </c>
      <c r="F1122" s="14">
        <v>28927.25</v>
      </c>
      <c r="G1122" s="14">
        <f>F1122*C1122</f>
        <v>2444641.8975</v>
      </c>
      <c r="H1122" s="15">
        <f>IF($G$1279=0,0,G1122/$G$1279*100)</f>
      </c>
      <c r="I1122" s="12" t="str">
        <f>IF(O1122-C1122&gt;0,O1122-C1122,"")</f>
        <v/>
      </c>
      <c r="J1122" s="14" t="str">
        <f>IF(I1122="","",F1122*I1122)</f>
        <v/>
      </c>
      <c r="K1122" s="15">
        <f>IF(OR(J1122="",$G$1279=0),"",J1122/$G$1279*100)</f>
      </c>
      <c r="L1122" s="12" t="str">
        <f>IF(C1122-O1122&gt;0,C1122-O1122,"")</f>
        <v/>
      </c>
      <c r="M1122" s="14" t="str">
        <f>IF(L1122="","",F1122*L1122)</f>
        <v/>
      </c>
      <c r="N1122" s="15">
        <f>IF(OR(M1122="",$G$1279=0),"",M1122/$G$1279*100)</f>
      </c>
      <c r="O1122" s="12">
        <v>84.51</v>
      </c>
      <c r="P1122" s="14">
        <f>F1122*O1122</f>
        <v>2444641.8975</v>
      </c>
      <c r="Q1122" s="15">
        <f>IF($P$1279=0,0,P1122/$P$1279*100)</f>
      </c>
      <c r="R1122" s="10" t="str">
        <f>IF(O1122=C1122,"TETAP",IF(C1122=0,"BARU",IF(O1122=0,"HAPUS",IF(O1122&gt;C1122,"TAMBAH","KURANG"))))</f>
        <v>TETAP</v>
      </c>
    </row>
    <row r="1123" spans="1:18" x14ac:dyDescent="0.25">
      <c r="A1123" s="10" t="s">
        <v>218</v>
      </c>
      <c r="B1123" s="18" t="s">
        <v>872</v>
      </c>
      <c r="C1123" s="12">
        <v>183.79</v>
      </c>
      <c r="D1123" s="12">
        <v>0</v>
      </c>
      <c r="E1123" s="10" t="s">
        <v>169</v>
      </c>
      <c r="F1123" s="14">
        <v>28927.25</v>
      </c>
      <c r="G1123" s="14">
        <f>F1123*C1123</f>
        <v>5316539.2775</v>
      </c>
      <c r="H1123" s="15">
        <f>IF($G$1279=0,0,G1123/$G$1279*100)</f>
      </c>
      <c r="I1123" s="12" t="str">
        <f>IF(O1123-C1123&gt;0,O1123-C1123,"")</f>
        <v/>
      </c>
      <c r="J1123" s="14" t="str">
        <f>IF(I1123="","",F1123*I1123)</f>
        <v/>
      </c>
      <c r="K1123" s="15">
        <f>IF(OR(J1123="",$G$1279=0),"",J1123/$G$1279*100)</f>
      </c>
      <c r="L1123" s="12" t="str">
        <f>IF(C1123-O1123&gt;0,C1123-O1123,"")</f>
        <v/>
      </c>
      <c r="M1123" s="14" t="str">
        <f>IF(L1123="","",F1123*L1123)</f>
        <v/>
      </c>
      <c r="N1123" s="15">
        <f>IF(OR(M1123="",$G$1279=0),"",M1123/$G$1279*100)</f>
      </c>
      <c r="O1123" s="12">
        <v>183.79</v>
      </c>
      <c r="P1123" s="14">
        <f>F1123*O1123</f>
        <v>5316539.2775</v>
      </c>
      <c r="Q1123" s="15">
        <f>IF($P$1279=0,0,P1123/$P$1279*100)</f>
      </c>
      <c r="R1123" s="10" t="str">
        <f>IF(O1123=C1123,"TETAP",IF(C1123=0,"BARU",IF(O1123=0,"HAPUS",IF(O1123&gt;C1123,"TAMBAH","KURANG"))))</f>
        <v>TETAP</v>
      </c>
    </row>
    <row r="1124" spans="1:18" x14ac:dyDescent="0.25">
      <c r="A1124" s="10" t="s">
        <v>219</v>
      </c>
      <c r="B1124" s="18" t="s">
        <v>873</v>
      </c>
      <c r="C1124" s="12">
        <v>100.8</v>
      </c>
      <c r="D1124" s="12">
        <v>0</v>
      </c>
      <c r="E1124" s="10" t="s">
        <v>37</v>
      </c>
      <c r="F1124" s="14">
        <v>37887.68</v>
      </c>
      <c r="G1124" s="14">
        <f>F1124*C1124</f>
        <v>3819078.144</v>
      </c>
      <c r="H1124" s="15">
        <f>IF($G$1279=0,0,G1124/$G$1279*100)</f>
      </c>
      <c r="I1124" s="12" t="str">
        <f>IF(O1124-C1124&gt;0,O1124-C1124,"")</f>
        <v/>
      </c>
      <c r="J1124" s="14" t="str">
        <f>IF(I1124="","",F1124*I1124)</f>
        <v/>
      </c>
      <c r="K1124" s="15">
        <f>IF(OR(J1124="",$G$1279=0),"",J1124/$G$1279*100)</f>
      </c>
      <c r="L1124" s="12" t="str">
        <f>IF(C1124-O1124&gt;0,C1124-O1124,"")</f>
        <v/>
      </c>
      <c r="M1124" s="14" t="str">
        <f>IF(L1124="","",F1124*L1124)</f>
        <v/>
      </c>
      <c r="N1124" s="15">
        <f>IF(OR(M1124="",$G$1279=0),"",M1124/$G$1279*100)</f>
      </c>
      <c r="O1124" s="12">
        <v>100.8</v>
      </c>
      <c r="P1124" s="14">
        <f>F1124*O1124</f>
        <v>3819078.144</v>
      </c>
      <c r="Q1124" s="15">
        <f>IF($P$1279=0,0,P1124/$P$1279*100)</f>
      </c>
      <c r="R1124" s="10" t="str">
        <f>IF(O1124=C1124,"TETAP",IF(C1124=0,"BARU",IF(O1124=0,"HAPUS",IF(O1124&gt;C1124,"TAMBAH","KURANG"))))</f>
        <v>TETAP</v>
      </c>
    </row>
    <row r="1125" spans="1:18" x14ac:dyDescent="0.25">
      <c r="A1125" s="10" t="s">
        <v>216</v>
      </c>
      <c r="B1125" s="18" t="s">
        <v>874</v>
      </c>
      <c r="C1125" s="12">
        <v>94.5</v>
      </c>
      <c r="D1125" s="12">
        <v>0</v>
      </c>
      <c r="E1125" s="10" t="s">
        <v>159</v>
      </c>
      <c r="F1125" s="14">
        <v>1399567.05</v>
      </c>
      <c r="G1125" s="14">
        <f>F1125*C1125</f>
        <v>132259086.22500001</v>
      </c>
      <c r="H1125" s="15">
        <f>IF($G$1279=0,0,G1125/$G$1279*100)</f>
      </c>
      <c r="I1125" s="12" t="str">
        <f>IF(O1125-C1125&gt;0,O1125-C1125,"")</f>
        <v/>
      </c>
      <c r="J1125" s="14" t="str">
        <f>IF(I1125="","",F1125*I1125)</f>
        <v/>
      </c>
      <c r="K1125" s="15">
        <f>IF(OR(J1125="",$G$1279=0),"",J1125/$G$1279*100)</f>
      </c>
      <c r="L1125" s="12" t="str">
        <f>IF(C1125-O1125&gt;0,C1125-O1125,"")</f>
        <v/>
      </c>
      <c r="M1125" s="14" t="str">
        <f>IF(L1125="","",F1125*L1125)</f>
        <v/>
      </c>
      <c r="N1125" s="15">
        <f>IF(OR(M1125="",$G$1279=0),"",M1125/$G$1279*100)</f>
      </c>
      <c r="O1125" s="12">
        <v>94.5</v>
      </c>
      <c r="P1125" s="14">
        <f>F1125*O1125</f>
        <v>132259086.22500001</v>
      </c>
      <c r="Q1125" s="15">
        <f>IF($P$1279=0,0,P1125/$P$1279*100)</f>
      </c>
      <c r="R1125" s="10" t="str">
        <f>IF(O1125=C1125,"TETAP",IF(C1125=0,"BARU",IF(O1125=0,"HAPUS",IF(O1125&gt;C1125,"TAMBAH","KURANG"))))</f>
        <v>TETAP</v>
      </c>
    </row>
    <row r="1126" spans="1:18" x14ac:dyDescent="0.25">
      <c r="A1126" s="10" t="s">
        <v>218</v>
      </c>
      <c r="B1126" s="18" t="s">
        <v>210</v>
      </c>
      <c r="C1126" s="12">
        <v>94.5</v>
      </c>
      <c r="D1126" s="12">
        <v>0</v>
      </c>
      <c r="E1126" s="10" t="s">
        <v>159</v>
      </c>
      <c r="F1126" s="14">
        <v>45149.88</v>
      </c>
      <c r="G1126" s="14">
        <f>F1126*C1126</f>
        <v>4266663.66</v>
      </c>
      <c r="H1126" s="15">
        <f>IF($G$1279=0,0,G1126/$G$1279*100)</f>
      </c>
      <c r="I1126" s="12" t="str">
        <f>IF(O1126-C1126&gt;0,O1126-C1126,"")</f>
        <v/>
      </c>
      <c r="J1126" s="14" t="str">
        <f>IF(I1126="","",F1126*I1126)</f>
        <v/>
      </c>
      <c r="K1126" s="15">
        <f>IF(OR(J1126="",$G$1279=0),"",J1126/$G$1279*100)</f>
      </c>
      <c r="L1126" s="12" t="str">
        <f>IF(C1126-O1126&gt;0,C1126-O1126,"")</f>
        <v/>
      </c>
      <c r="M1126" s="14" t="str">
        <f>IF(L1126="","",F1126*L1126)</f>
        <v/>
      </c>
      <c r="N1126" s="15">
        <f>IF(OR(M1126="",$G$1279=0),"",M1126/$G$1279*100)</f>
      </c>
      <c r="O1126" s="12">
        <v>94.5</v>
      </c>
      <c r="P1126" s="14">
        <f>F1126*O1126</f>
        <v>4266663.66</v>
      </c>
      <c r="Q1126" s="15">
        <f>IF($P$1279=0,0,P1126/$P$1279*100)</f>
      </c>
      <c r="R1126" s="10" t="str">
        <f>IF(O1126=C1126,"TETAP",IF(C1126=0,"BARU",IF(O1126=0,"HAPUS",IF(O1126&gt;C1126,"TAMBAH","KURANG"))))</f>
        <v>TETAP</v>
      </c>
    </row>
    <row r="1127" spans="1:18" x14ac:dyDescent="0.25">
      <c r="A1127" s="5" t="s">
        <v>875</v>
      </c>
      <c r="B1127" s="16" t="s">
        <v>876</v>
      </c>
      <c r="C1127" s="7"/>
      <c r="D1127" s="7"/>
      <c r="E1127" s="5"/>
      <c r="F1127" s="8"/>
      <c r="G1127" s="8"/>
      <c r="H1127" s="9"/>
      <c r="I1127" s="7"/>
      <c r="J1127" s="8"/>
      <c r="K1127" s="9"/>
      <c r="L1127" s="7"/>
      <c r="M1127" s="8"/>
      <c r="N1127" s="9"/>
      <c r="O1127" s="7"/>
      <c r="P1127" s="8"/>
      <c r="Q1127" s="9"/>
      <c r="R1127" s="5"/>
    </row>
    <row r="1128" spans="1:18" x14ac:dyDescent="0.25">
      <c r="A1128" s="10" t="s">
        <v>24</v>
      </c>
      <c r="B1128" s="20" t="s">
        <v>877</v>
      </c>
      <c r="C1128" s="12">
        <v>3.15</v>
      </c>
      <c r="D1128" s="12">
        <v>0</v>
      </c>
      <c r="E1128" s="10" t="s">
        <v>159</v>
      </c>
      <c r="F1128" s="14">
        <v>48730.7</v>
      </c>
      <c r="G1128" s="14">
        <f>F1128*C1128</f>
        <v>153501.705</v>
      </c>
      <c r="H1128" s="15">
        <f>IF($G$1279=0,0,G1128/$G$1279*100)</f>
      </c>
      <c r="I1128" s="12" t="str">
        <f>IF(O1128-C1128&gt;0,O1128-C1128,"")</f>
        <v/>
      </c>
      <c r="J1128" s="14" t="str">
        <f>IF(I1128="","",F1128*I1128)</f>
        <v/>
      </c>
      <c r="K1128" s="15">
        <f>IF(OR(J1128="",$G$1279=0),"",J1128/$G$1279*100)</f>
      </c>
      <c r="L1128" s="12" t="str">
        <f>IF(C1128-O1128&gt;0,C1128-O1128,"")</f>
        <v/>
      </c>
      <c r="M1128" s="14" t="str">
        <f>IF(L1128="","",F1128*L1128)</f>
        <v/>
      </c>
      <c r="N1128" s="15">
        <f>IF(OR(M1128="",$G$1279=0),"",M1128/$G$1279*100)</f>
      </c>
      <c r="O1128" s="12">
        <v>3.15</v>
      </c>
      <c r="P1128" s="14">
        <f>F1128*O1128</f>
        <v>153501.705</v>
      </c>
      <c r="Q1128" s="15">
        <f>IF($P$1279=0,0,P1128/$P$1279*100)</f>
      </c>
      <c r="R1128" s="10" t="str">
        <f>IF(O1128=C1128,"TETAP",IF(C1128=0,"BARU",IF(O1128=0,"HAPUS",IF(O1128&gt;C1128,"TAMBAH","KURANG"))))</f>
        <v>TETAP</v>
      </c>
    </row>
    <row r="1129" spans="1:18" x14ac:dyDescent="0.25">
      <c r="A1129" s="10" t="s">
        <v>27</v>
      </c>
      <c r="B1129" s="20" t="s">
        <v>368</v>
      </c>
      <c r="C1129" s="12">
        <v>1.58</v>
      </c>
      <c r="D1129" s="12">
        <v>0</v>
      </c>
      <c r="E1129" s="10" t="s">
        <v>159</v>
      </c>
      <c r="F1129" s="14">
        <v>342654.98</v>
      </c>
      <c r="G1129" s="14">
        <f>F1129*C1129</f>
        <v>541394.8684</v>
      </c>
      <c r="H1129" s="15">
        <f>IF($G$1279=0,0,G1129/$G$1279*100)</f>
      </c>
      <c r="I1129" s="12" t="str">
        <f>IF(O1129-C1129&gt;0,O1129-C1129,"")</f>
        <v/>
      </c>
      <c r="J1129" s="14" t="str">
        <f>IF(I1129="","",F1129*I1129)</f>
        <v/>
      </c>
      <c r="K1129" s="15">
        <f>IF(OR(J1129="",$G$1279=0),"",J1129/$G$1279*100)</f>
      </c>
      <c r="L1129" s="12" t="str">
        <f>IF(C1129-O1129&gt;0,C1129-O1129,"")</f>
        <v/>
      </c>
      <c r="M1129" s="14" t="str">
        <f>IF(L1129="","",F1129*L1129)</f>
        <v/>
      </c>
      <c r="N1129" s="15">
        <f>IF(OR(M1129="",$G$1279=0),"",M1129/$G$1279*100)</f>
      </c>
      <c r="O1129" s="12">
        <v>1.58</v>
      </c>
      <c r="P1129" s="14">
        <f>F1129*O1129</f>
        <v>541394.8684</v>
      </c>
      <c r="Q1129" s="15">
        <f>IF($P$1279=0,0,P1129/$P$1279*100)</f>
      </c>
      <c r="R1129" s="10" t="str">
        <f>IF(O1129=C1129,"TETAP",IF(C1129=0,"BARU",IF(O1129=0,"HAPUS",IF(O1129&gt;C1129,"TAMBAH","KURANG"))))</f>
        <v>TETAP</v>
      </c>
    </row>
    <row r="1130" spans="1:18" x14ac:dyDescent="0.25">
      <c r="A1130" s="10" t="s">
        <v>30</v>
      </c>
      <c r="B1130" s="20" t="s">
        <v>878</v>
      </c>
      <c r="C1130" s="12">
        <v>107.4</v>
      </c>
      <c r="D1130" s="12">
        <v>0</v>
      </c>
      <c r="E1130" s="10" t="s">
        <v>37</v>
      </c>
      <c r="F1130" s="14">
        <v>149559.39</v>
      </c>
      <c r="G1130" s="14">
        <f>F1130*C1130</f>
        <v>16062678.486000001</v>
      </c>
      <c r="H1130" s="15">
        <f>IF($G$1279=0,0,G1130/$G$1279*100)</f>
      </c>
      <c r="I1130" s="12" t="str">
        <f>IF(O1130-C1130&gt;0,O1130-C1130,"")</f>
        <v/>
      </c>
      <c r="J1130" s="14" t="str">
        <f>IF(I1130="","",F1130*I1130)</f>
        <v/>
      </c>
      <c r="K1130" s="15">
        <f>IF(OR(J1130="",$G$1279=0),"",J1130/$G$1279*100)</f>
      </c>
      <c r="L1130" s="12" t="str">
        <f>IF(C1130-O1130&gt;0,C1130-O1130,"")</f>
        <v/>
      </c>
      <c r="M1130" s="14" t="str">
        <f>IF(L1130="","",F1130*L1130)</f>
        <v/>
      </c>
      <c r="N1130" s="15">
        <f>IF(OR(M1130="",$G$1279=0),"",M1130/$G$1279*100)</f>
      </c>
      <c r="O1130" s="12">
        <v>107.4</v>
      </c>
      <c r="P1130" s="14">
        <f>F1130*O1130</f>
        <v>16062678.486000001</v>
      </c>
      <c r="Q1130" s="15">
        <f>IF($P$1279=0,0,P1130/$P$1279*100)</f>
      </c>
      <c r="R1130" s="10" t="str">
        <f>IF(O1130=C1130,"TETAP",IF(C1130=0,"BARU",IF(O1130=0,"HAPUS",IF(O1130&gt;C1130,"TAMBAH","KURANG"))))</f>
        <v>TETAP</v>
      </c>
    </row>
    <row r="1131" spans="1:18" x14ac:dyDescent="0.25">
      <c r="A1131" s="10" t="s">
        <v>33</v>
      </c>
      <c r="B1131" s="20" t="s">
        <v>879</v>
      </c>
      <c r="C1131" s="12">
        <v>15.12</v>
      </c>
      <c r="D1131" s="12">
        <v>0</v>
      </c>
      <c r="E1131" s="10" t="s">
        <v>159</v>
      </c>
      <c r="F1131" s="14">
        <v>211003.3</v>
      </c>
      <c r="G1131" s="14">
        <f>F1131*C1131</f>
        <v>3190369.8959999997</v>
      </c>
      <c r="H1131" s="15">
        <f>IF($G$1279=0,0,G1131/$G$1279*100)</f>
      </c>
      <c r="I1131" s="12" t="str">
        <f>IF(O1131-C1131&gt;0,O1131-C1131,"")</f>
        <v/>
      </c>
      <c r="J1131" s="14" t="str">
        <f>IF(I1131="","",F1131*I1131)</f>
        <v/>
      </c>
      <c r="K1131" s="15">
        <f>IF(OR(J1131="",$G$1279=0),"",J1131/$G$1279*100)</f>
      </c>
      <c r="L1131" s="12" t="str">
        <f>IF(C1131-O1131&gt;0,C1131-O1131,"")</f>
        <v/>
      </c>
      <c r="M1131" s="14" t="str">
        <f>IF(L1131="","",F1131*L1131)</f>
        <v/>
      </c>
      <c r="N1131" s="15">
        <f>IF(OR(M1131="",$G$1279=0),"",M1131/$G$1279*100)</f>
      </c>
      <c r="O1131" s="12">
        <v>15.12</v>
      </c>
      <c r="P1131" s="14">
        <f>F1131*O1131</f>
        <v>3190369.8959999997</v>
      </c>
      <c r="Q1131" s="15">
        <f>IF($P$1279=0,0,P1131/$P$1279*100)</f>
      </c>
      <c r="R1131" s="10" t="str">
        <f>IF(O1131=C1131,"TETAP",IF(C1131=0,"BARU",IF(O1131=0,"HAPUS",IF(O1131&gt;C1131,"TAMBAH","KURANG"))))</f>
        <v>TETAP</v>
      </c>
    </row>
    <row r="1132" spans="1:18" x14ac:dyDescent="0.25">
      <c r="A1132" s="10" t="s">
        <v>35</v>
      </c>
      <c r="B1132" s="20" t="s">
        <v>350</v>
      </c>
      <c r="C1132" s="12">
        <v>8.82</v>
      </c>
      <c r="D1132" s="12">
        <v>0</v>
      </c>
      <c r="E1132" s="10" t="s">
        <v>159</v>
      </c>
      <c r="F1132" s="14">
        <v>342654.98</v>
      </c>
      <c r="G1132" s="14">
        <f>F1132*C1132</f>
        <v>3022216.9236</v>
      </c>
      <c r="H1132" s="15">
        <f>IF($G$1279=0,0,G1132/$G$1279*100)</f>
      </c>
      <c r="I1132" s="12" t="str">
        <f>IF(O1132-C1132&gt;0,O1132-C1132,"")</f>
        <v/>
      </c>
      <c r="J1132" s="14" t="str">
        <f>IF(I1132="","",F1132*I1132)</f>
        <v/>
      </c>
      <c r="K1132" s="15">
        <f>IF(OR(J1132="",$G$1279=0),"",J1132/$G$1279*100)</f>
      </c>
      <c r="L1132" s="12" t="str">
        <f>IF(C1132-O1132&gt;0,C1132-O1132,"")</f>
        <v/>
      </c>
      <c r="M1132" s="14" t="str">
        <f>IF(L1132="","",F1132*L1132)</f>
        <v/>
      </c>
      <c r="N1132" s="15">
        <f>IF(OR(M1132="",$G$1279=0),"",M1132/$G$1279*100)</f>
      </c>
      <c r="O1132" s="12">
        <v>8.82</v>
      </c>
      <c r="P1132" s="14">
        <f>F1132*O1132</f>
        <v>3022216.9236</v>
      </c>
      <c r="Q1132" s="15">
        <f>IF($P$1279=0,0,P1132/$P$1279*100)</f>
      </c>
      <c r="R1132" s="10" t="str">
        <f>IF(O1132=C1132,"TETAP",IF(C1132=0,"BARU",IF(O1132=0,"HAPUS",IF(O1132&gt;C1132,"TAMBAH","KURANG"))))</f>
        <v>TETAP</v>
      </c>
    </row>
    <row r="1133" spans="1:18" x14ac:dyDescent="0.25">
      <c r="A1133" s="10" t="s">
        <v>38</v>
      </c>
      <c r="B1133" s="20" t="s">
        <v>880</v>
      </c>
      <c r="C1133" s="12">
        <v>8.82</v>
      </c>
      <c r="D1133" s="12">
        <v>0</v>
      </c>
      <c r="E1133" s="10" t="s">
        <v>159</v>
      </c>
      <c r="F1133" s="14">
        <v>39994.39</v>
      </c>
      <c r="G1133" s="14">
        <f>F1133*C1133</f>
        <v>352750.5198</v>
      </c>
      <c r="H1133" s="15">
        <f>IF($G$1279=0,0,G1133/$G$1279*100)</f>
      </c>
      <c r="I1133" s="12" t="str">
        <f>IF(O1133-C1133&gt;0,O1133-C1133,"")</f>
        <v/>
      </c>
      <c r="J1133" s="14" t="str">
        <f>IF(I1133="","",F1133*I1133)</f>
        <v/>
      </c>
      <c r="K1133" s="15">
        <f>IF(OR(J1133="",$G$1279=0),"",J1133/$G$1279*100)</f>
      </c>
      <c r="L1133" s="12" t="str">
        <f>IF(C1133-O1133&gt;0,C1133-O1133,"")</f>
        <v/>
      </c>
      <c r="M1133" s="14" t="str">
        <f>IF(L1133="","",F1133*L1133)</f>
        <v/>
      </c>
      <c r="N1133" s="15">
        <f>IF(OR(M1133="",$G$1279=0),"",M1133/$G$1279*100)</f>
      </c>
      <c r="O1133" s="12">
        <v>8.82</v>
      </c>
      <c r="P1133" s="14">
        <f>F1133*O1133</f>
        <v>352750.5198</v>
      </c>
      <c r="Q1133" s="15">
        <f>IF($P$1279=0,0,P1133/$P$1279*100)</f>
      </c>
      <c r="R1133" s="10" t="str">
        <f>IF(O1133=C1133,"TETAP",IF(C1133=0,"BARU",IF(O1133=0,"HAPUS",IF(O1133&gt;C1133,"TAMBAH","KURANG"))))</f>
        <v>TETAP</v>
      </c>
    </row>
    <row r="1134" spans="1:18" x14ac:dyDescent="0.25">
      <c r="A1134" s="10" t="s">
        <v>108</v>
      </c>
      <c r="B1134" s="20" t="s">
        <v>881</v>
      </c>
      <c r="C1134" s="12">
        <v>126</v>
      </c>
      <c r="D1134" s="12">
        <v>0</v>
      </c>
      <c r="E1134" s="10" t="s">
        <v>26</v>
      </c>
      <c r="F1134" s="14">
        <v>182316.97</v>
      </c>
      <c r="G1134" s="14">
        <f>F1134*C1134</f>
        <v>22971938.22</v>
      </c>
      <c r="H1134" s="15">
        <f>IF($G$1279=0,0,G1134/$G$1279*100)</f>
      </c>
      <c r="I1134" s="12" t="str">
        <f>IF(O1134-C1134&gt;0,O1134-C1134,"")</f>
        <v/>
      </c>
      <c r="J1134" s="14" t="str">
        <f>IF(I1134="","",F1134*I1134)</f>
        <v/>
      </c>
      <c r="K1134" s="15">
        <f>IF(OR(J1134="",$G$1279=0),"",J1134/$G$1279*100)</f>
      </c>
      <c r="L1134" s="12" t="str">
        <f>IF(C1134-O1134&gt;0,C1134-O1134,"")</f>
        <v/>
      </c>
      <c r="M1134" s="14" t="str">
        <f>IF(L1134="","",F1134*L1134)</f>
        <v/>
      </c>
      <c r="N1134" s="15">
        <f>IF(OR(M1134="",$G$1279=0),"",M1134/$G$1279*100)</f>
      </c>
      <c r="O1134" s="12">
        <v>126</v>
      </c>
      <c r="P1134" s="14">
        <f>F1134*O1134</f>
        <v>22971938.22</v>
      </c>
      <c r="Q1134" s="15">
        <f>IF($P$1279=0,0,P1134/$P$1279*100)</f>
      </c>
      <c r="R1134" s="10" t="str">
        <f>IF(O1134=C1134,"TETAP",IF(C1134=0,"BARU",IF(O1134=0,"HAPUS",IF(O1134&gt;C1134,"TAMBAH","KURANG"))))</f>
        <v>TETAP</v>
      </c>
    </row>
    <row r="1135" spans="1:18" x14ac:dyDescent="0.25">
      <c r="A1135" s="5" t="s">
        <v>882</v>
      </c>
      <c r="B1135" s="6" t="s">
        <v>883</v>
      </c>
      <c r="C1135" s="7"/>
      <c r="D1135" s="7"/>
      <c r="E1135" s="5"/>
      <c r="F1135" s="8"/>
      <c r="G1135" s="8"/>
      <c r="H1135" s="9"/>
      <c r="I1135" s="7"/>
      <c r="J1135" s="8"/>
      <c r="K1135" s="9"/>
      <c r="L1135" s="7"/>
      <c r="M1135" s="8"/>
      <c r="N1135" s="9"/>
      <c r="O1135" s="7"/>
      <c r="P1135" s="8"/>
      <c r="Q1135" s="9"/>
      <c r="R1135" s="5"/>
    </row>
    <row r="1136" spans="1:18" x14ac:dyDescent="0.25">
      <c r="A1136" s="10" t="s">
        <v>24</v>
      </c>
      <c r="B1136" s="11" t="s">
        <v>884</v>
      </c>
      <c r="C1136" s="12">
        <v>164.09</v>
      </c>
      <c r="D1136" s="12">
        <v>0</v>
      </c>
      <c r="E1136" s="10" t="s">
        <v>26</v>
      </c>
      <c r="F1136" s="14">
        <v>65313.41</v>
      </c>
      <c r="G1136" s="14">
        <f>F1136*C1136</f>
        <v>10717277.4469</v>
      </c>
      <c r="H1136" s="15">
        <f>IF($G$1279=0,0,G1136/$G$1279*100)</f>
      </c>
      <c r="I1136" s="12" t="str">
        <f>IF(O1136-C1136&gt;0,O1136-C1136,"")</f>
        <v/>
      </c>
      <c r="J1136" s="14" t="str">
        <f>IF(I1136="","",F1136*I1136)</f>
        <v/>
      </c>
      <c r="K1136" s="15">
        <f>IF(OR(J1136="",$G$1279=0),"",J1136/$G$1279*100)</f>
      </c>
      <c r="L1136" s="12" t="str">
        <f>IF(C1136-O1136&gt;0,C1136-O1136,"")</f>
        <v/>
      </c>
      <c r="M1136" s="14" t="str">
        <f>IF(L1136="","",F1136*L1136)</f>
        <v/>
      </c>
      <c r="N1136" s="15">
        <f>IF(OR(M1136="",$G$1279=0),"",M1136/$G$1279*100)</f>
      </c>
      <c r="O1136" s="12">
        <v>164.09</v>
      </c>
      <c r="P1136" s="14">
        <f>F1136*O1136</f>
        <v>10717277.4469</v>
      </c>
      <c r="Q1136" s="15">
        <f>IF($P$1279=0,0,P1136/$P$1279*100)</f>
      </c>
      <c r="R1136" s="10" t="str">
        <f>IF(O1136=C1136,"TETAP",IF(C1136=0,"BARU",IF(O1136=0,"HAPUS",IF(O1136&gt;C1136,"TAMBAH","KURANG"))))</f>
        <v>TETAP</v>
      </c>
    </row>
    <row r="1137" spans="1:18" x14ac:dyDescent="0.25">
      <c r="A1137" s="10" t="s">
        <v>27</v>
      </c>
      <c r="B1137" s="11" t="s">
        <v>885</v>
      </c>
      <c r="C1137" s="12">
        <v>10</v>
      </c>
      <c r="D1137" s="12">
        <v>0</v>
      </c>
      <c r="E1137" s="10" t="s">
        <v>886</v>
      </c>
      <c r="F1137" s="14">
        <v>853124.73</v>
      </c>
      <c r="G1137" s="14">
        <f>F1137*C1137</f>
        <v>8531247.3</v>
      </c>
      <c r="H1137" s="15">
        <f>IF($G$1279=0,0,G1137/$G$1279*100)</f>
      </c>
      <c r="I1137" s="12" t="str">
        <f>IF(O1137-C1137&gt;0,O1137-C1137,"")</f>
        <v/>
      </c>
      <c r="J1137" s="14" t="str">
        <f>IF(I1137="","",F1137*I1137)</f>
        <v/>
      </c>
      <c r="K1137" s="15">
        <f>IF(OR(J1137="",$G$1279=0),"",J1137/$G$1279*100)</f>
      </c>
      <c r="L1137" s="12" t="str">
        <f>IF(C1137-O1137&gt;0,C1137-O1137,"")</f>
        <v/>
      </c>
      <c r="M1137" s="14" t="str">
        <f>IF(L1137="","",F1137*L1137)</f>
        <v/>
      </c>
      <c r="N1137" s="15">
        <f>IF(OR(M1137="",$G$1279=0),"",M1137/$G$1279*100)</f>
      </c>
      <c r="O1137" s="12">
        <v>10</v>
      </c>
      <c r="P1137" s="14">
        <f>F1137*O1137</f>
        <v>8531247.3</v>
      </c>
      <c r="Q1137" s="15">
        <f>IF($P$1279=0,0,P1137/$P$1279*100)</f>
      </c>
      <c r="R1137" s="10" t="str">
        <f>IF(O1137=C1137,"TETAP",IF(C1137=0,"BARU",IF(O1137=0,"HAPUS",IF(O1137&gt;C1137,"TAMBAH","KURANG"))))</f>
        <v>TETAP</v>
      </c>
    </row>
    <row r="1138" spans="1:18" x14ac:dyDescent="0.25">
      <c r="A1138" s="10" t="s">
        <v>30</v>
      </c>
      <c r="B1138" s="11" t="s">
        <v>887</v>
      </c>
      <c r="C1138" s="12">
        <v>10</v>
      </c>
      <c r="D1138" s="12">
        <v>0</v>
      </c>
      <c r="E1138" s="10" t="s">
        <v>886</v>
      </c>
      <c r="F1138" s="14">
        <v>713777.77</v>
      </c>
      <c r="G1138" s="14">
        <f>F1138*C1138</f>
        <v>7137777.7</v>
      </c>
      <c r="H1138" s="15">
        <f>IF($G$1279=0,0,G1138/$G$1279*100)</f>
      </c>
      <c r="I1138" s="12" t="str">
        <f>IF(O1138-C1138&gt;0,O1138-C1138,"")</f>
        <v/>
      </c>
      <c r="J1138" s="14" t="str">
        <f>IF(I1138="","",F1138*I1138)</f>
        <v/>
      </c>
      <c r="K1138" s="15">
        <f>IF(OR(J1138="",$G$1279=0),"",J1138/$G$1279*100)</f>
      </c>
      <c r="L1138" s="12" t="str">
        <f>IF(C1138-O1138&gt;0,C1138-O1138,"")</f>
        <v/>
      </c>
      <c r="M1138" s="14" t="str">
        <f>IF(L1138="","",F1138*L1138)</f>
        <v/>
      </c>
      <c r="N1138" s="15">
        <f>IF(OR(M1138="",$G$1279=0),"",M1138/$G$1279*100)</f>
      </c>
      <c r="O1138" s="12">
        <v>10</v>
      </c>
      <c r="P1138" s="14">
        <f>F1138*O1138</f>
        <v>7137777.7</v>
      </c>
      <c r="Q1138" s="15">
        <f>IF($P$1279=0,0,P1138/$P$1279*100)</f>
      </c>
      <c r="R1138" s="10" t="str">
        <f>IF(O1138=C1138,"TETAP",IF(C1138=0,"BARU",IF(O1138=0,"HAPUS",IF(O1138&gt;C1138,"TAMBAH","KURANG"))))</f>
        <v>TETAP</v>
      </c>
    </row>
    <row r="1139" spans="1:18" x14ac:dyDescent="0.25">
      <c r="A1139" s="10" t="s">
        <v>33</v>
      </c>
      <c r="B1139" s="11" t="s">
        <v>888</v>
      </c>
      <c r="C1139" s="12">
        <v>10</v>
      </c>
      <c r="D1139" s="12">
        <v>0</v>
      </c>
      <c r="E1139" s="10" t="s">
        <v>886</v>
      </c>
      <c r="F1139" s="14">
        <v>707751.91</v>
      </c>
      <c r="G1139" s="14">
        <f>F1139*C1139</f>
        <v>7077519.100000001</v>
      </c>
      <c r="H1139" s="15">
        <f>IF($G$1279=0,0,G1139/$G$1279*100)</f>
      </c>
      <c r="I1139" s="12" t="str">
        <f>IF(O1139-C1139&gt;0,O1139-C1139,"")</f>
        <v/>
      </c>
      <c r="J1139" s="14" t="str">
        <f>IF(I1139="","",F1139*I1139)</f>
        <v/>
      </c>
      <c r="K1139" s="15">
        <f>IF(OR(J1139="",$G$1279=0),"",J1139/$G$1279*100)</f>
      </c>
      <c r="L1139" s="12" t="str">
        <f>IF(C1139-O1139&gt;0,C1139-O1139,"")</f>
        <v/>
      </c>
      <c r="M1139" s="14" t="str">
        <f>IF(L1139="","",F1139*L1139)</f>
        <v/>
      </c>
      <c r="N1139" s="15">
        <f>IF(OR(M1139="",$G$1279=0),"",M1139/$G$1279*100)</f>
      </c>
      <c r="O1139" s="12">
        <v>10</v>
      </c>
      <c r="P1139" s="14">
        <f>F1139*O1139</f>
        <v>7077519.100000001</v>
      </c>
      <c r="Q1139" s="15">
        <f>IF($P$1279=0,0,P1139/$P$1279*100)</f>
      </c>
      <c r="R1139" s="10" t="str">
        <f>IF(O1139=C1139,"TETAP",IF(C1139=0,"BARU",IF(O1139=0,"HAPUS",IF(O1139&gt;C1139,"TAMBAH","KURANG"))))</f>
        <v>TETAP</v>
      </c>
    </row>
    <row r="1140" spans="1:18" x14ac:dyDescent="0.25">
      <c r="A1140" s="10" t="s">
        <v>35</v>
      </c>
      <c r="B1140" s="11" t="s">
        <v>889</v>
      </c>
      <c r="C1140" s="12">
        <v>10</v>
      </c>
      <c r="D1140" s="12">
        <v>0</v>
      </c>
      <c r="E1140" s="10" t="s">
        <v>886</v>
      </c>
      <c r="F1140" s="14">
        <v>810022.06</v>
      </c>
      <c r="G1140" s="14">
        <f>F1140*C1140</f>
        <v>8100220.600000001</v>
      </c>
      <c r="H1140" s="15">
        <f>IF($G$1279=0,0,G1140/$G$1279*100)</f>
      </c>
      <c r="I1140" s="12" t="str">
        <f>IF(O1140-C1140&gt;0,O1140-C1140,"")</f>
        <v/>
      </c>
      <c r="J1140" s="14" t="str">
        <f>IF(I1140="","",F1140*I1140)</f>
        <v/>
      </c>
      <c r="K1140" s="15">
        <f>IF(OR(J1140="",$G$1279=0),"",J1140/$G$1279*100)</f>
      </c>
      <c r="L1140" s="12" t="str">
        <f>IF(C1140-O1140&gt;0,C1140-O1140,"")</f>
        <v/>
      </c>
      <c r="M1140" s="14" t="str">
        <f>IF(L1140="","",F1140*L1140)</f>
        <v/>
      </c>
      <c r="N1140" s="15">
        <f>IF(OR(M1140="",$G$1279=0),"",M1140/$G$1279*100)</f>
      </c>
      <c r="O1140" s="12">
        <v>10</v>
      </c>
      <c r="P1140" s="14">
        <f>F1140*O1140</f>
        <v>8100220.600000001</v>
      </c>
      <c r="Q1140" s="15">
        <f>IF($P$1279=0,0,P1140/$P$1279*100)</f>
      </c>
      <c r="R1140" s="10" t="str">
        <f>IF(O1140=C1140,"TETAP",IF(C1140=0,"BARU",IF(O1140=0,"HAPUS",IF(O1140&gt;C1140,"TAMBAH","KURANG"))))</f>
        <v>TETAP</v>
      </c>
    </row>
    <row r="1141" spans="1:18" x14ac:dyDescent="0.25">
      <c r="A1141" s="5" t="s">
        <v>890</v>
      </c>
      <c r="B1141" s="6" t="s">
        <v>891</v>
      </c>
      <c r="C1141" s="7"/>
      <c r="D1141" s="7"/>
      <c r="E1141" s="5"/>
      <c r="F1141" s="8"/>
      <c r="G1141" s="8"/>
      <c r="H1141" s="9"/>
      <c r="I1141" s="7"/>
      <c r="J1141" s="8"/>
      <c r="K1141" s="9"/>
      <c r="L1141" s="7"/>
      <c r="M1141" s="8"/>
      <c r="N1141" s="9"/>
      <c r="O1141" s="7"/>
      <c r="P1141" s="8"/>
      <c r="Q1141" s="9"/>
      <c r="R1141" s="5"/>
    </row>
    <row r="1142" spans="1:18" x14ac:dyDescent="0.25">
      <c r="A1142" s="10" t="s">
        <v>24</v>
      </c>
      <c r="B1142" s="11" t="s">
        <v>892</v>
      </c>
      <c r="C1142" s="12">
        <v>1050.17</v>
      </c>
      <c r="D1142" s="13">
        <v>981</v>
      </c>
      <c r="E1142" s="10" t="s">
        <v>159</v>
      </c>
      <c r="F1142" s="14">
        <v>211003.3</v>
      </c>
      <c r="G1142" s="14">
        <f>F1142*C1142</f>
        <v>221589335.561</v>
      </c>
      <c r="H1142" s="15">
        <f>IF($G$1279=0,0,G1142/$G$1279*100)</f>
      </c>
      <c r="I1142" s="12" t="str">
        <f>IF(O1142-C1142&gt;0,O1142-C1142,"")</f>
        <v/>
      </c>
      <c r="J1142" s="14" t="str">
        <f>IF(I1142="","",F1142*I1142)</f>
        <v/>
      </c>
      <c r="K1142" s="15">
        <f>IF(OR(J1142="",$G$1279=0),"",J1142/$G$1279*100)</f>
      </c>
      <c r="L1142" s="12">
        <f>IF(C1142-O1142&gt;0,C1142-O1142,"")</f>
        <v>55.24000000000012</v>
      </c>
      <c r="M1142" s="14">
        <f>IF(L1142="","",F1142*L1142)</f>
        <v>11655822.292000026</v>
      </c>
      <c r="N1142" s="15">
        <f>IF(OR(M1142="",$G$1279=0),"",M1142/$G$1279*100)</f>
      </c>
      <c r="O1142" s="12">
        <v>994.93</v>
      </c>
      <c r="P1142" s="14">
        <f>F1142*O1142</f>
        <v>209933513.26899996</v>
      </c>
      <c r="Q1142" s="15">
        <f>IF($P$1279=0,0,P1142/$P$1279*100)</f>
      </c>
      <c r="R1142" s="10" t="str">
        <f>IF(O1142=C1142,"TETAP",IF(C1142=0,"BARU",IF(O1142=0,"HAPUS",IF(O1142&gt;C1142,"TAMBAH","KURANG"))))</f>
        <v>KURANG</v>
      </c>
    </row>
    <row r="1143" spans="1:18" x14ac:dyDescent="0.25">
      <c r="A1143" s="10" t="s">
        <v>27</v>
      </c>
      <c r="B1143" s="11" t="s">
        <v>893</v>
      </c>
      <c r="C1143" s="12">
        <v>1050.17</v>
      </c>
      <c r="D1143" s="13">
        <v>990</v>
      </c>
      <c r="E1143" s="10" t="s">
        <v>159</v>
      </c>
      <c r="F1143" s="14">
        <v>155621.9</v>
      </c>
      <c r="G1143" s="14">
        <f>F1143*C1143</f>
        <v>163429450.72300002</v>
      </c>
      <c r="H1143" s="15">
        <f>IF($G$1279=0,0,G1143/$G$1279*100)</f>
      </c>
      <c r="I1143" s="12" t="str">
        <f>IF(O1143-C1143&gt;0,O1143-C1143,"")</f>
        <v/>
      </c>
      <c r="J1143" s="14" t="str">
        <f>IF(I1143="","",F1143*I1143)</f>
        <v/>
      </c>
      <c r="K1143" s="15">
        <f>IF(OR(J1143="",$G$1279=0),"",J1143/$G$1279*100)</f>
      </c>
      <c r="L1143" s="12">
        <f>IF(C1143-O1143&gt;0,C1143-O1143,"")</f>
        <v>55.24000000000012</v>
      </c>
      <c r="M1143" s="14">
        <f>IF(L1143="","",F1143*L1143)</f>
        <v>8596553.75600002</v>
      </c>
      <c r="N1143" s="15">
        <f>IF(OR(M1143="",$G$1279=0),"",M1143/$G$1279*100)</f>
      </c>
      <c r="O1143" s="12">
        <v>994.93</v>
      </c>
      <c r="P1143" s="14">
        <f>F1143*O1143</f>
        <v>154832896.96699998</v>
      </c>
      <c r="Q1143" s="15">
        <f>IF($P$1279=0,0,P1143/$P$1279*100)</f>
      </c>
      <c r="R1143" s="10" t="str">
        <f>IF(O1143=C1143,"TETAP",IF(C1143=0,"BARU",IF(O1143=0,"HAPUS",IF(O1143&gt;C1143,"TAMBAH","KURANG"))))</f>
        <v>KURANG</v>
      </c>
    </row>
    <row r="1144" spans="1:18" x14ac:dyDescent="0.25">
      <c r="A1144" s="5" t="s">
        <v>894</v>
      </c>
      <c r="B1144" s="6" t="s">
        <v>895</v>
      </c>
      <c r="C1144" s="7"/>
      <c r="D1144" s="7"/>
      <c r="E1144" s="5"/>
      <c r="F1144" s="8"/>
      <c r="G1144" s="8"/>
      <c r="H1144" s="9"/>
      <c r="I1144" s="7"/>
      <c r="J1144" s="8"/>
      <c r="K1144" s="9"/>
      <c r="L1144" s="7"/>
      <c r="M1144" s="8"/>
      <c r="N1144" s="9"/>
      <c r="O1144" s="7"/>
      <c r="P1144" s="8"/>
      <c r="Q1144" s="9"/>
      <c r="R1144" s="5"/>
    </row>
    <row r="1145" spans="1:18" x14ac:dyDescent="0.25">
      <c r="A1145" s="5" t="s">
        <v>896</v>
      </c>
      <c r="B1145" s="16" t="s">
        <v>347</v>
      </c>
      <c r="C1145" s="7"/>
      <c r="D1145" s="7"/>
      <c r="E1145" s="5"/>
      <c r="F1145" s="8"/>
      <c r="G1145" s="8"/>
      <c r="H1145" s="9"/>
      <c r="I1145" s="7"/>
      <c r="J1145" s="8"/>
      <c r="K1145" s="9"/>
      <c r="L1145" s="7"/>
      <c r="M1145" s="8"/>
      <c r="N1145" s="9"/>
      <c r="O1145" s="7"/>
      <c r="P1145" s="8"/>
      <c r="Q1145" s="9"/>
      <c r="R1145" s="5"/>
    </row>
    <row r="1146" spans="1:18" x14ac:dyDescent="0.25">
      <c r="A1146" s="10" t="s">
        <v>24</v>
      </c>
      <c r="B1146" s="20" t="s">
        <v>348</v>
      </c>
      <c r="C1146" s="12">
        <v>48.2</v>
      </c>
      <c r="D1146" s="12">
        <v>0</v>
      </c>
      <c r="E1146" s="10" t="s">
        <v>37</v>
      </c>
      <c r="F1146" s="14">
        <v>161600.06</v>
      </c>
      <c r="G1146" s="14">
        <f>F1146*C1146</f>
        <v>7789122.892</v>
      </c>
      <c r="H1146" s="15">
        <f>IF($G$1279=0,0,G1146/$G$1279*100)</f>
      </c>
      <c r="I1146" s="12" t="str">
        <f>IF(O1146-C1146&gt;0,O1146-C1146,"")</f>
        <v/>
      </c>
      <c r="J1146" s="14" t="str">
        <f>IF(I1146="","",F1146*I1146)</f>
        <v/>
      </c>
      <c r="K1146" s="15">
        <f>IF(OR(J1146="",$G$1279=0),"",J1146/$G$1279*100)</f>
      </c>
      <c r="L1146" s="12" t="str">
        <f>IF(C1146-O1146&gt;0,C1146-O1146,"")</f>
        <v/>
      </c>
      <c r="M1146" s="14" t="str">
        <f>IF(L1146="","",F1146*L1146)</f>
        <v/>
      </c>
      <c r="N1146" s="15">
        <f>IF(OR(M1146="",$G$1279=0),"",M1146/$G$1279*100)</f>
      </c>
      <c r="O1146" s="12">
        <v>48.2</v>
      </c>
      <c r="P1146" s="14">
        <f>F1146*O1146</f>
        <v>7789122.892</v>
      </c>
      <c r="Q1146" s="15">
        <f>IF($P$1279=0,0,P1146/$P$1279*100)</f>
      </c>
      <c r="R1146" s="10" t="str">
        <f>IF(O1146=C1146,"TETAP",IF(C1146=0,"BARU",IF(O1146=0,"HAPUS",IF(O1146&gt;C1146,"TAMBAH","KURANG"))))</f>
        <v>TETAP</v>
      </c>
    </row>
    <row r="1147" spans="1:18" x14ac:dyDescent="0.25">
      <c r="A1147" s="5" t="s">
        <v>27</v>
      </c>
      <c r="B1147" s="17" t="s">
        <v>349</v>
      </c>
      <c r="C1147" s="7"/>
      <c r="D1147" s="7"/>
      <c r="E1147" s="5"/>
      <c r="F1147" s="8"/>
      <c r="G1147" s="8"/>
      <c r="H1147" s="9"/>
      <c r="I1147" s="7"/>
      <c r="J1147" s="8"/>
      <c r="K1147" s="9"/>
      <c r="L1147" s="7"/>
      <c r="M1147" s="8"/>
      <c r="N1147" s="9"/>
      <c r="O1147" s="7"/>
      <c r="P1147" s="8"/>
      <c r="Q1147" s="9"/>
      <c r="R1147" s="5"/>
    </row>
    <row r="1148" spans="1:18" x14ac:dyDescent="0.25">
      <c r="A1148" s="10" t="s">
        <v>165</v>
      </c>
      <c r="B1148" s="18" t="s">
        <v>158</v>
      </c>
      <c r="C1148" s="12">
        <v>9.6</v>
      </c>
      <c r="D1148" s="12">
        <v>0</v>
      </c>
      <c r="E1148" s="10" t="s">
        <v>159</v>
      </c>
      <c r="F1148" s="14">
        <v>48730.7</v>
      </c>
      <c r="G1148" s="14">
        <f>F1148*C1148</f>
        <v>467814.72</v>
      </c>
      <c r="H1148" s="15">
        <f>IF($G$1279=0,0,G1148/$G$1279*100)</f>
      </c>
      <c r="I1148" s="12" t="str">
        <f>IF(O1148-C1148&gt;0,O1148-C1148,"")</f>
        <v/>
      </c>
      <c r="J1148" s="14" t="str">
        <f>IF(I1148="","",F1148*I1148)</f>
        <v/>
      </c>
      <c r="K1148" s="15">
        <f>IF(OR(J1148="",$G$1279=0),"",J1148/$G$1279*100)</f>
      </c>
      <c r="L1148" s="12" t="str">
        <f>IF(C1148-O1148&gt;0,C1148-O1148,"")</f>
        <v/>
      </c>
      <c r="M1148" s="14" t="str">
        <f>IF(L1148="","",F1148*L1148)</f>
        <v/>
      </c>
      <c r="N1148" s="15">
        <f>IF(OR(M1148="",$G$1279=0),"",M1148/$G$1279*100)</f>
      </c>
      <c r="O1148" s="12">
        <v>9.6</v>
      </c>
      <c r="P1148" s="14">
        <f>F1148*O1148</f>
        <v>467814.72</v>
      </c>
      <c r="Q1148" s="15">
        <f>IF($P$1279=0,0,P1148/$P$1279*100)</f>
      </c>
      <c r="R1148" s="10" t="str">
        <f>IF(O1148=C1148,"TETAP",IF(C1148=0,"BARU",IF(O1148=0,"HAPUS",IF(O1148&gt;C1148,"TAMBAH","KURANG"))))</f>
        <v>TETAP</v>
      </c>
    </row>
    <row r="1149" spans="1:18" x14ac:dyDescent="0.25">
      <c r="A1149" s="10" t="s">
        <v>167</v>
      </c>
      <c r="B1149" s="18" t="s">
        <v>350</v>
      </c>
      <c r="C1149" s="12">
        <v>0.56</v>
      </c>
      <c r="D1149" s="12">
        <v>0</v>
      </c>
      <c r="E1149" s="10" t="s">
        <v>159</v>
      </c>
      <c r="F1149" s="14">
        <v>342654.98</v>
      </c>
      <c r="G1149" s="14">
        <f>F1149*C1149</f>
        <v>191886.7888</v>
      </c>
      <c r="H1149" s="15">
        <f>IF($G$1279=0,0,G1149/$G$1279*100)</f>
      </c>
      <c r="I1149" s="12" t="str">
        <f>IF(O1149-C1149&gt;0,O1149-C1149,"")</f>
        <v/>
      </c>
      <c r="J1149" s="14" t="str">
        <f>IF(I1149="","",F1149*I1149)</f>
        <v/>
      </c>
      <c r="K1149" s="15">
        <f>IF(OR(J1149="",$G$1279=0),"",J1149/$G$1279*100)</f>
      </c>
      <c r="L1149" s="12" t="str">
        <f>IF(C1149-O1149&gt;0,C1149-O1149,"")</f>
        <v/>
      </c>
      <c r="M1149" s="14" t="str">
        <f>IF(L1149="","",F1149*L1149)</f>
        <v/>
      </c>
      <c r="N1149" s="15">
        <f>IF(OR(M1149="",$G$1279=0),"",M1149/$G$1279*100)</f>
      </c>
      <c r="O1149" s="12">
        <v>0.56</v>
      </c>
      <c r="P1149" s="14">
        <f>F1149*O1149</f>
        <v>191886.7888</v>
      </c>
      <c r="Q1149" s="15">
        <f>IF($P$1279=0,0,P1149/$P$1279*100)</f>
      </c>
      <c r="R1149" s="10" t="str">
        <f>IF(O1149=C1149,"TETAP",IF(C1149=0,"BARU",IF(O1149=0,"HAPUS",IF(O1149&gt;C1149,"TAMBAH","KURANG"))))</f>
        <v>TETAP</v>
      </c>
    </row>
    <row r="1150" spans="1:18" x14ac:dyDescent="0.25">
      <c r="A1150" s="10" t="s">
        <v>170</v>
      </c>
      <c r="B1150" s="18" t="s">
        <v>351</v>
      </c>
      <c r="C1150" s="12">
        <v>0.24</v>
      </c>
      <c r="D1150" s="12">
        <v>0</v>
      </c>
      <c r="E1150" s="10" t="s">
        <v>159</v>
      </c>
      <c r="F1150" s="14">
        <v>1243301.43</v>
      </c>
      <c r="G1150" s="14">
        <f>F1150*C1150</f>
        <v>298392.34319999994</v>
      </c>
      <c r="H1150" s="15">
        <f>IF($G$1279=0,0,G1150/$G$1279*100)</f>
      </c>
      <c r="I1150" s="12" t="str">
        <f>IF(O1150-C1150&gt;0,O1150-C1150,"")</f>
        <v/>
      </c>
      <c r="J1150" s="14" t="str">
        <f>IF(I1150="","",F1150*I1150)</f>
        <v/>
      </c>
      <c r="K1150" s="15">
        <f>IF(OR(J1150="",$G$1279=0),"",J1150/$G$1279*100)</f>
      </c>
      <c r="L1150" s="12" t="str">
        <f>IF(C1150-O1150&gt;0,C1150-O1150,"")</f>
        <v/>
      </c>
      <c r="M1150" s="14" t="str">
        <f>IF(L1150="","",F1150*L1150)</f>
        <v/>
      </c>
      <c r="N1150" s="15">
        <f>IF(OR(M1150="",$G$1279=0),"",M1150/$G$1279*100)</f>
      </c>
      <c r="O1150" s="12">
        <v>0.24</v>
      </c>
      <c r="P1150" s="14">
        <f>F1150*O1150</f>
        <v>298392.34319999994</v>
      </c>
      <c r="Q1150" s="15">
        <f>IF($P$1279=0,0,P1150/$P$1279*100)</f>
      </c>
      <c r="R1150" s="10" t="str">
        <f>IF(O1150=C1150,"TETAP",IF(C1150=0,"BARU",IF(O1150=0,"HAPUS",IF(O1150&gt;C1150,"TAMBAH","KURANG"))))</f>
        <v>TETAP</v>
      </c>
    </row>
    <row r="1151" spans="1:18" x14ac:dyDescent="0.25">
      <c r="A1151" s="10" t="s">
        <v>172</v>
      </c>
      <c r="B1151" s="18" t="s">
        <v>352</v>
      </c>
      <c r="C1151" s="12">
        <v>9.6</v>
      </c>
      <c r="D1151" s="12">
        <v>0</v>
      </c>
      <c r="E1151" s="10" t="s">
        <v>26</v>
      </c>
      <c r="F1151" s="14">
        <v>184387.03</v>
      </c>
      <c r="G1151" s="14">
        <f>F1151*C1151</f>
        <v>1770115.488</v>
      </c>
      <c r="H1151" s="15">
        <f>IF($G$1279=0,0,G1151/$G$1279*100)</f>
      </c>
      <c r="I1151" s="12" t="str">
        <f>IF(O1151-C1151&gt;0,O1151-C1151,"")</f>
        <v/>
      </c>
      <c r="J1151" s="14" t="str">
        <f>IF(I1151="","",F1151*I1151)</f>
        <v/>
      </c>
      <c r="K1151" s="15">
        <f>IF(OR(J1151="",$G$1279=0),"",J1151/$G$1279*100)</f>
      </c>
      <c r="L1151" s="12" t="str">
        <f>IF(C1151-O1151&gt;0,C1151-O1151,"")</f>
        <v/>
      </c>
      <c r="M1151" s="14" t="str">
        <f>IF(L1151="","",F1151*L1151)</f>
        <v/>
      </c>
      <c r="N1151" s="15">
        <f>IF(OR(M1151="",$G$1279=0),"",M1151/$G$1279*100)</f>
      </c>
      <c r="O1151" s="12">
        <v>9.6</v>
      </c>
      <c r="P1151" s="14">
        <f>F1151*O1151</f>
        <v>1770115.488</v>
      </c>
      <c r="Q1151" s="15">
        <f>IF($P$1279=0,0,P1151/$P$1279*100)</f>
      </c>
      <c r="R1151" s="10" t="str">
        <f>IF(O1151=C1151,"TETAP",IF(C1151=0,"BARU",IF(O1151=0,"HAPUS",IF(O1151&gt;C1151,"TAMBAH","KURANG"))))</f>
        <v>TETAP</v>
      </c>
    </row>
    <row r="1152" spans="1:18" x14ac:dyDescent="0.25">
      <c r="A1152" s="10" t="s">
        <v>255</v>
      </c>
      <c r="B1152" s="18" t="s">
        <v>473</v>
      </c>
      <c r="C1152" s="12">
        <v>44.39</v>
      </c>
      <c r="D1152" s="12">
        <v>0</v>
      </c>
      <c r="E1152" s="10" t="s">
        <v>169</v>
      </c>
      <c r="F1152" s="14">
        <v>19252.39</v>
      </c>
      <c r="G1152" s="14">
        <f>F1152*C1152</f>
        <v>854613.5921</v>
      </c>
      <c r="H1152" s="15">
        <f>IF($G$1279=0,0,G1152/$G$1279*100)</f>
      </c>
      <c r="I1152" s="12" t="str">
        <f>IF(O1152-C1152&gt;0,O1152-C1152,"")</f>
        <v/>
      </c>
      <c r="J1152" s="14" t="str">
        <f>IF(I1152="","",F1152*I1152)</f>
        <v/>
      </c>
      <c r="K1152" s="15">
        <f>IF(OR(J1152="",$G$1279=0),"",J1152/$G$1279*100)</f>
      </c>
      <c r="L1152" s="12" t="str">
        <f>IF(C1152-O1152&gt;0,C1152-O1152,"")</f>
        <v/>
      </c>
      <c r="M1152" s="14" t="str">
        <f>IF(L1152="","",F1152*L1152)</f>
        <v/>
      </c>
      <c r="N1152" s="15">
        <f>IF(OR(M1152="",$G$1279=0),"",M1152/$G$1279*100)</f>
      </c>
      <c r="O1152" s="12">
        <v>44.39</v>
      </c>
      <c r="P1152" s="14">
        <f>F1152*O1152</f>
        <v>854613.5921</v>
      </c>
      <c r="Q1152" s="15">
        <f>IF($P$1279=0,0,P1152/$P$1279*100)</f>
      </c>
      <c r="R1152" s="10" t="str">
        <f>IF(O1152=C1152,"TETAP",IF(C1152=0,"BARU",IF(O1152=0,"HAPUS",IF(O1152&gt;C1152,"TAMBAH","KURANG"))))</f>
        <v>TETAP</v>
      </c>
    </row>
    <row r="1153" spans="1:18" x14ac:dyDescent="0.25">
      <c r="A1153" s="10" t="s">
        <v>256</v>
      </c>
      <c r="B1153" s="18" t="s">
        <v>392</v>
      </c>
      <c r="C1153" s="12">
        <v>1.54</v>
      </c>
      <c r="D1153" s="12">
        <v>0</v>
      </c>
      <c r="E1153" s="10" t="s">
        <v>159</v>
      </c>
      <c r="F1153" s="14">
        <v>1399567.05</v>
      </c>
      <c r="G1153" s="14">
        <f>F1153*C1153</f>
        <v>2155333.257</v>
      </c>
      <c r="H1153" s="15">
        <f>IF($G$1279=0,0,G1153/$G$1279*100)</f>
      </c>
      <c r="I1153" s="12" t="str">
        <f>IF(O1153-C1153&gt;0,O1153-C1153,"")</f>
        <v/>
      </c>
      <c r="J1153" s="14" t="str">
        <f>IF(I1153="","",F1153*I1153)</f>
        <v/>
      </c>
      <c r="K1153" s="15">
        <f>IF(OR(J1153="",$G$1279=0),"",J1153/$G$1279*100)</f>
      </c>
      <c r="L1153" s="12" t="str">
        <f>IF(C1153-O1153&gt;0,C1153-O1153,"")</f>
        <v/>
      </c>
      <c r="M1153" s="14" t="str">
        <f>IF(L1153="","",F1153*L1153)</f>
        <v/>
      </c>
      <c r="N1153" s="15">
        <f>IF(OR(M1153="",$G$1279=0),"",M1153/$G$1279*100)</f>
      </c>
      <c r="O1153" s="12">
        <v>1.54</v>
      </c>
      <c r="P1153" s="14">
        <f>F1153*O1153</f>
        <v>2155333.257</v>
      </c>
      <c r="Q1153" s="15">
        <f>IF($P$1279=0,0,P1153/$P$1279*100)</f>
      </c>
      <c r="R1153" s="10" t="str">
        <f>IF(O1153=C1153,"TETAP",IF(C1153=0,"BARU",IF(O1153=0,"HAPUS",IF(O1153&gt;C1153,"TAMBAH","KURANG"))))</f>
        <v>TETAP</v>
      </c>
    </row>
    <row r="1154" spans="1:18" x14ac:dyDescent="0.25">
      <c r="A1154" s="10" t="s">
        <v>355</v>
      </c>
      <c r="B1154" s="18" t="s">
        <v>194</v>
      </c>
      <c r="C1154" s="12">
        <v>160</v>
      </c>
      <c r="D1154" s="12">
        <v>0</v>
      </c>
      <c r="E1154" s="10" t="s">
        <v>37</v>
      </c>
      <c r="F1154" s="14">
        <v>28117.52</v>
      </c>
      <c r="G1154" s="14">
        <f>F1154*C1154</f>
        <v>4498803.2</v>
      </c>
      <c r="H1154" s="15">
        <f>IF($G$1279=0,0,G1154/$G$1279*100)</f>
      </c>
      <c r="I1154" s="12" t="str">
        <f>IF(O1154-C1154&gt;0,O1154-C1154,"")</f>
        <v/>
      </c>
      <c r="J1154" s="14" t="str">
        <f>IF(I1154="","",F1154*I1154)</f>
        <v/>
      </c>
      <c r="K1154" s="15">
        <f>IF(OR(J1154="",$G$1279=0),"",J1154/$G$1279*100)</f>
      </c>
      <c r="L1154" s="12" t="str">
        <f>IF(C1154-O1154&gt;0,C1154-O1154,"")</f>
        <v/>
      </c>
      <c r="M1154" s="14" t="str">
        <f>IF(L1154="","",F1154*L1154)</f>
        <v/>
      </c>
      <c r="N1154" s="15">
        <f>IF(OR(M1154="",$G$1279=0),"",M1154/$G$1279*100)</f>
      </c>
      <c r="O1154" s="12">
        <v>160</v>
      </c>
      <c r="P1154" s="14">
        <f>F1154*O1154</f>
        <v>4498803.2</v>
      </c>
      <c r="Q1154" s="15">
        <f>IF($P$1279=0,0,P1154/$P$1279*100)</f>
      </c>
      <c r="R1154" s="10" t="str">
        <f>IF(O1154=C1154,"TETAP",IF(C1154=0,"BARU",IF(O1154=0,"HAPUS",IF(O1154&gt;C1154,"TAMBAH","KURANG"))))</f>
        <v>TETAP</v>
      </c>
    </row>
    <row r="1155" spans="1:18" x14ac:dyDescent="0.25">
      <c r="A1155" s="5" t="s">
        <v>30</v>
      </c>
      <c r="B1155" s="17" t="s">
        <v>356</v>
      </c>
      <c r="C1155" s="7"/>
      <c r="D1155" s="7"/>
      <c r="E1155" s="5"/>
      <c r="F1155" s="8"/>
      <c r="G1155" s="8"/>
      <c r="H1155" s="9"/>
      <c r="I1155" s="7"/>
      <c r="J1155" s="8"/>
      <c r="K1155" s="9"/>
      <c r="L1155" s="7"/>
      <c r="M1155" s="8"/>
      <c r="N1155" s="9"/>
      <c r="O1155" s="7"/>
      <c r="P1155" s="8"/>
      <c r="Q1155" s="9"/>
      <c r="R1155" s="5"/>
    </row>
    <row r="1156" spans="1:18" x14ac:dyDescent="0.25">
      <c r="A1156" s="10" t="s">
        <v>175</v>
      </c>
      <c r="B1156" s="18" t="s">
        <v>897</v>
      </c>
      <c r="C1156" s="12">
        <v>37.58</v>
      </c>
      <c r="D1156" s="12">
        <v>0</v>
      </c>
      <c r="E1156" s="10" t="s">
        <v>159</v>
      </c>
      <c r="F1156" s="14">
        <v>48730.7</v>
      </c>
      <c r="G1156" s="14">
        <f>F1156*C1156</f>
        <v>1831299.7059999998</v>
      </c>
      <c r="H1156" s="15">
        <f>IF($G$1279=0,0,G1156/$G$1279*100)</f>
      </c>
      <c r="I1156" s="12" t="str">
        <f>IF(O1156-C1156&gt;0,O1156-C1156,"")</f>
        <v/>
      </c>
      <c r="J1156" s="14" t="str">
        <f>IF(I1156="","",F1156*I1156)</f>
        <v/>
      </c>
      <c r="K1156" s="15">
        <f>IF(OR(J1156="",$G$1279=0),"",J1156/$G$1279*100)</f>
      </c>
      <c r="L1156" s="12" t="str">
        <f>IF(C1156-O1156&gt;0,C1156-O1156,"")</f>
        <v/>
      </c>
      <c r="M1156" s="14" t="str">
        <f>IF(L1156="","",F1156*L1156)</f>
        <v/>
      </c>
      <c r="N1156" s="15">
        <f>IF(OR(M1156="",$G$1279=0),"",M1156/$G$1279*100)</f>
      </c>
      <c r="O1156" s="12">
        <v>37.58</v>
      </c>
      <c r="P1156" s="14">
        <f>F1156*O1156</f>
        <v>1831299.7059999998</v>
      </c>
      <c r="Q1156" s="15">
        <f>IF($P$1279=0,0,P1156/$P$1279*100)</f>
      </c>
      <c r="R1156" s="10" t="str">
        <f>IF(O1156=C1156,"TETAP",IF(C1156=0,"BARU",IF(O1156=0,"HAPUS",IF(O1156&gt;C1156,"TAMBAH","KURANG"))))</f>
        <v>TETAP</v>
      </c>
    </row>
    <row r="1157" spans="1:18" x14ac:dyDescent="0.25">
      <c r="A1157" s="10" t="s">
        <v>176</v>
      </c>
      <c r="B1157" s="18" t="s">
        <v>358</v>
      </c>
      <c r="C1157" s="12">
        <v>0</v>
      </c>
      <c r="D1157" s="12">
        <v>0</v>
      </c>
      <c r="E1157" s="10"/>
      <c r="F1157" s="14">
        <v>28117.52</v>
      </c>
      <c r="G1157" s="14">
        <f>F1157*C1157</f>
        <v>0</v>
      </c>
      <c r="H1157" s="15">
        <f>IF($G$1279=0,0,G1157/$G$1279*100)</f>
      </c>
      <c r="I1157" s="12" t="str">
        <f>IF(O1157-C1157&gt;0,O1157-C1157,"")</f>
        <v/>
      </c>
      <c r="J1157" s="14" t="str">
        <f>IF(I1157="","",F1157*I1157)</f>
        <v/>
      </c>
      <c r="K1157" s="15">
        <f>IF(OR(J1157="",$G$1279=0),"",J1157/$G$1279*100)</f>
      </c>
      <c r="L1157" s="12" t="str">
        <f>IF(C1157-O1157&gt;0,C1157-O1157,"")</f>
        <v/>
      </c>
      <c r="M1157" s="14" t="str">
        <f>IF(L1157="","",F1157*L1157)</f>
        <v/>
      </c>
      <c r="N1157" s="15">
        <f>IF(OR(M1157="",$G$1279=0),"",M1157/$G$1279*100)</f>
      </c>
      <c r="O1157" s="12">
        <v>0</v>
      </c>
      <c r="P1157" s="14">
        <f>F1157*O1157</f>
        <v>0</v>
      </c>
      <c r="Q1157" s="15">
        <f>IF($P$1279=0,0,P1157/$P$1279*100)</f>
      </c>
      <c r="R1157" s="10" t="str">
        <f>IF(O1157=C1157,"TETAP",IF(C1157=0,"BARU",IF(O1157=0,"HAPUS",IF(O1157&gt;C1157,"TAMBAH","KURANG"))))</f>
        <v>TETAP</v>
      </c>
    </row>
    <row r="1158" spans="1:18" x14ac:dyDescent="0.25">
      <c r="A1158" s="10" t="s">
        <v>178</v>
      </c>
      <c r="B1158" s="18" t="s">
        <v>359</v>
      </c>
      <c r="C1158" s="12">
        <v>3.02</v>
      </c>
      <c r="D1158" s="12">
        <v>0</v>
      </c>
      <c r="E1158" s="10" t="s">
        <v>159</v>
      </c>
      <c r="F1158" s="14">
        <v>342654.98</v>
      </c>
      <c r="G1158" s="14">
        <f>F1158*C1158</f>
        <v>1034818.0395999999</v>
      </c>
      <c r="H1158" s="15">
        <f>IF($G$1279=0,0,G1158/$G$1279*100)</f>
      </c>
      <c r="I1158" s="12" t="str">
        <f>IF(O1158-C1158&gt;0,O1158-C1158,"")</f>
        <v/>
      </c>
      <c r="J1158" s="14" t="str">
        <f>IF(I1158="","",F1158*I1158)</f>
        <v/>
      </c>
      <c r="K1158" s="15">
        <f>IF(OR(J1158="",$G$1279=0),"",J1158/$G$1279*100)</f>
      </c>
      <c r="L1158" s="12" t="str">
        <f>IF(C1158-O1158&gt;0,C1158-O1158,"")</f>
        <v/>
      </c>
      <c r="M1158" s="14" t="str">
        <f>IF(L1158="","",F1158*L1158)</f>
        <v/>
      </c>
      <c r="N1158" s="15">
        <f>IF(OR(M1158="",$G$1279=0),"",M1158/$G$1279*100)</f>
      </c>
      <c r="O1158" s="12">
        <v>3.02</v>
      </c>
      <c r="P1158" s="14">
        <f>F1158*O1158</f>
        <v>1034818.0395999999</v>
      </c>
      <c r="Q1158" s="15">
        <f>IF($P$1279=0,0,P1158/$P$1279*100)</f>
      </c>
      <c r="R1158" s="10" t="str">
        <f>IF(O1158=C1158,"TETAP",IF(C1158=0,"BARU",IF(O1158=0,"HAPUS",IF(O1158&gt;C1158,"TAMBAH","KURANG"))))</f>
        <v>TETAP</v>
      </c>
    </row>
    <row r="1159" spans="1:18" x14ac:dyDescent="0.25">
      <c r="A1159" s="10" t="s">
        <v>180</v>
      </c>
      <c r="B1159" s="18" t="s">
        <v>360</v>
      </c>
      <c r="C1159" s="12">
        <v>23.76</v>
      </c>
      <c r="D1159" s="12">
        <v>0</v>
      </c>
      <c r="E1159" s="10" t="s">
        <v>159</v>
      </c>
      <c r="F1159" s="14">
        <v>1204293.02</v>
      </c>
      <c r="G1159" s="14">
        <f>F1159*C1159</f>
        <v>28614002.1552</v>
      </c>
      <c r="H1159" s="15">
        <f>IF($G$1279=0,0,G1159/$G$1279*100)</f>
      </c>
      <c r="I1159" s="12" t="str">
        <f>IF(O1159-C1159&gt;0,O1159-C1159,"")</f>
        <v/>
      </c>
      <c r="J1159" s="14" t="str">
        <f>IF(I1159="","",F1159*I1159)</f>
        <v/>
      </c>
      <c r="K1159" s="15">
        <f>IF(OR(J1159="",$G$1279=0),"",J1159/$G$1279*100)</f>
      </c>
      <c r="L1159" s="12" t="str">
        <f>IF(C1159-O1159&gt;0,C1159-O1159,"")</f>
        <v/>
      </c>
      <c r="M1159" s="14" t="str">
        <f>IF(L1159="","",F1159*L1159)</f>
        <v/>
      </c>
      <c r="N1159" s="15">
        <f>IF(OR(M1159="",$G$1279=0),"",M1159/$G$1279*100)</f>
      </c>
      <c r="O1159" s="12">
        <v>23.76</v>
      </c>
      <c r="P1159" s="14">
        <f>F1159*O1159</f>
        <v>28614002.1552</v>
      </c>
      <c r="Q1159" s="15">
        <f>IF($P$1279=0,0,P1159/$P$1279*100)</f>
      </c>
      <c r="R1159" s="10" t="str">
        <f>IF(O1159=C1159,"TETAP",IF(C1159=0,"BARU",IF(O1159=0,"HAPUS",IF(O1159&gt;C1159,"TAMBAH","KURANG"))))</f>
        <v>TETAP</v>
      </c>
    </row>
    <row r="1160" spans="1:18" x14ac:dyDescent="0.25">
      <c r="A1160" s="10" t="s">
        <v>33</v>
      </c>
      <c r="B1160" s="20" t="s">
        <v>361</v>
      </c>
      <c r="C1160" s="12">
        <v>16.65</v>
      </c>
      <c r="D1160" s="12">
        <v>0</v>
      </c>
      <c r="E1160" s="10" t="s">
        <v>169</v>
      </c>
      <c r="F1160" s="14">
        <v>19252.39</v>
      </c>
      <c r="G1160" s="14">
        <f>F1160*C1160</f>
        <v>320552.29349999997</v>
      </c>
      <c r="H1160" s="15">
        <f>IF($G$1279=0,0,G1160/$G$1279*100)</f>
      </c>
      <c r="I1160" s="12" t="str">
        <f>IF(O1160-C1160&gt;0,O1160-C1160,"")</f>
        <v/>
      </c>
      <c r="J1160" s="14" t="str">
        <f>IF(I1160="","",F1160*I1160)</f>
        <v/>
      </c>
      <c r="K1160" s="15">
        <f>IF(OR(J1160="",$G$1279=0),"",J1160/$G$1279*100)</f>
      </c>
      <c r="L1160" s="12" t="str">
        <f>IF(C1160-O1160&gt;0,C1160-O1160,"")</f>
        <v/>
      </c>
      <c r="M1160" s="14" t="str">
        <f>IF(L1160="","",F1160*L1160)</f>
        <v/>
      </c>
      <c r="N1160" s="15">
        <f>IF(OR(M1160="",$G$1279=0),"",M1160/$G$1279*100)</f>
      </c>
      <c r="O1160" s="12">
        <v>16.65</v>
      </c>
      <c r="P1160" s="14">
        <f>F1160*O1160</f>
        <v>320552.29349999997</v>
      </c>
      <c r="Q1160" s="15">
        <f>IF($P$1279=0,0,P1160/$P$1279*100)</f>
      </c>
      <c r="R1160" s="10" t="str">
        <f>IF(O1160=C1160,"TETAP",IF(C1160=0,"BARU",IF(O1160=0,"HAPUS",IF(O1160&gt;C1160,"TAMBAH","KURANG"))))</f>
        <v>TETAP</v>
      </c>
    </row>
    <row r="1161" spans="1:18" x14ac:dyDescent="0.25">
      <c r="A1161" s="5" t="s">
        <v>35</v>
      </c>
      <c r="B1161" s="17" t="s">
        <v>362</v>
      </c>
      <c r="C1161" s="7"/>
      <c r="D1161" s="7"/>
      <c r="E1161" s="5"/>
      <c r="F1161" s="8"/>
      <c r="G1161" s="8"/>
      <c r="H1161" s="9"/>
      <c r="I1161" s="7"/>
      <c r="J1161" s="8"/>
      <c r="K1161" s="9"/>
      <c r="L1161" s="7"/>
      <c r="M1161" s="8"/>
      <c r="N1161" s="9"/>
      <c r="O1161" s="7"/>
      <c r="P1161" s="8"/>
      <c r="Q1161" s="9"/>
      <c r="R1161" s="5"/>
    </row>
    <row r="1162" spans="1:18" x14ac:dyDescent="0.25">
      <c r="A1162" s="10" t="s">
        <v>193</v>
      </c>
      <c r="B1162" s="18" t="s">
        <v>187</v>
      </c>
      <c r="C1162" s="12">
        <v>32.4</v>
      </c>
      <c r="D1162" s="12">
        <v>0</v>
      </c>
      <c r="E1162" s="10" t="s">
        <v>26</v>
      </c>
      <c r="F1162" s="14">
        <v>218225.13</v>
      </c>
      <c r="G1162" s="14">
        <f>F1162*C1162</f>
        <v>7070494.212</v>
      </c>
      <c r="H1162" s="15">
        <f>IF($G$1279=0,0,G1162/$G$1279*100)</f>
      </c>
      <c r="I1162" s="12" t="str">
        <f>IF(O1162-C1162&gt;0,O1162-C1162,"")</f>
        <v/>
      </c>
      <c r="J1162" s="14" t="str">
        <f>IF(I1162="","",F1162*I1162)</f>
        <v/>
      </c>
      <c r="K1162" s="15">
        <f>IF(OR(J1162="",$G$1279=0),"",J1162/$G$1279*100)</f>
      </c>
      <c r="L1162" s="12" t="str">
        <f>IF(C1162-O1162&gt;0,C1162-O1162,"")</f>
        <v/>
      </c>
      <c r="M1162" s="14" t="str">
        <f>IF(L1162="","",F1162*L1162)</f>
        <v/>
      </c>
      <c r="N1162" s="15">
        <f>IF(OR(M1162="",$G$1279=0),"",M1162/$G$1279*100)</f>
      </c>
      <c r="O1162" s="12">
        <v>32.4</v>
      </c>
      <c r="P1162" s="14">
        <f>F1162*O1162</f>
        <v>7070494.212</v>
      </c>
      <c r="Q1162" s="15">
        <f>IF($P$1279=0,0,P1162/$P$1279*100)</f>
      </c>
      <c r="R1162" s="10" t="str">
        <f>IF(O1162=C1162,"TETAP",IF(C1162=0,"BARU",IF(O1162=0,"HAPUS",IF(O1162&gt;C1162,"TAMBAH","KURANG"))))</f>
        <v>TETAP</v>
      </c>
    </row>
    <row r="1163" spans="1:18" x14ac:dyDescent="0.25">
      <c r="A1163" s="10" t="s">
        <v>195</v>
      </c>
      <c r="B1163" s="18" t="s">
        <v>363</v>
      </c>
      <c r="C1163" s="12">
        <v>166.46</v>
      </c>
      <c r="D1163" s="12">
        <v>0</v>
      </c>
      <c r="E1163" s="10" t="s">
        <v>169</v>
      </c>
      <c r="F1163" s="14">
        <v>19252.39</v>
      </c>
      <c r="G1163" s="14">
        <f>F1163*C1163</f>
        <v>3204752.8394</v>
      </c>
      <c r="H1163" s="15">
        <f>IF($G$1279=0,0,G1163/$G$1279*100)</f>
      </c>
      <c r="I1163" s="12" t="str">
        <f>IF(O1163-C1163&gt;0,O1163-C1163,"")</f>
        <v/>
      </c>
      <c r="J1163" s="14" t="str">
        <f>IF(I1163="","",F1163*I1163)</f>
        <v/>
      </c>
      <c r="K1163" s="15">
        <f>IF(OR(J1163="",$G$1279=0),"",J1163/$G$1279*100)</f>
      </c>
      <c r="L1163" s="12" t="str">
        <f>IF(C1163-O1163&gt;0,C1163-O1163,"")</f>
        <v/>
      </c>
      <c r="M1163" s="14" t="str">
        <f>IF(L1163="","",F1163*L1163)</f>
        <v/>
      </c>
      <c r="N1163" s="15">
        <f>IF(OR(M1163="",$G$1279=0),"",M1163/$G$1279*100)</f>
      </c>
      <c r="O1163" s="12">
        <v>166.46</v>
      </c>
      <c r="P1163" s="14">
        <f>F1163*O1163</f>
        <v>3204752.8394</v>
      </c>
      <c r="Q1163" s="15">
        <f>IF($P$1279=0,0,P1163/$P$1279*100)</f>
      </c>
      <c r="R1163" s="10" t="str">
        <f>IF(O1163=C1163,"TETAP",IF(C1163=0,"BARU",IF(O1163=0,"HAPUS",IF(O1163&gt;C1163,"TAMBAH","KURANG"))))</f>
        <v>TETAP</v>
      </c>
    </row>
    <row r="1164" spans="1:18" x14ac:dyDescent="0.25">
      <c r="A1164" s="10" t="s">
        <v>197</v>
      </c>
      <c r="B1164" s="18" t="s">
        <v>390</v>
      </c>
      <c r="C1164" s="12">
        <v>150</v>
      </c>
      <c r="D1164" s="12">
        <v>0</v>
      </c>
      <c r="E1164" s="10" t="s">
        <v>169</v>
      </c>
      <c r="F1164" s="14">
        <v>19252.39</v>
      </c>
      <c r="G1164" s="14">
        <f>F1164*C1164</f>
        <v>2887858.5</v>
      </c>
      <c r="H1164" s="15">
        <f>IF($G$1279=0,0,G1164/$G$1279*100)</f>
      </c>
      <c r="I1164" s="12" t="str">
        <f>IF(O1164-C1164&gt;0,O1164-C1164,"")</f>
        <v/>
      </c>
      <c r="J1164" s="14" t="str">
        <f>IF(I1164="","",F1164*I1164)</f>
        <v/>
      </c>
      <c r="K1164" s="15">
        <f>IF(OR(J1164="",$G$1279=0),"",J1164/$G$1279*100)</f>
      </c>
      <c r="L1164" s="12" t="str">
        <f>IF(C1164-O1164&gt;0,C1164-O1164,"")</f>
        <v/>
      </c>
      <c r="M1164" s="14" t="str">
        <f>IF(L1164="","",F1164*L1164)</f>
        <v/>
      </c>
      <c r="N1164" s="15">
        <f>IF(OR(M1164="",$G$1279=0),"",M1164/$G$1279*100)</f>
      </c>
      <c r="O1164" s="12">
        <v>150</v>
      </c>
      <c r="P1164" s="14">
        <f>F1164*O1164</f>
        <v>2887858.5</v>
      </c>
      <c r="Q1164" s="15">
        <f>IF($P$1279=0,0,P1164/$P$1279*100)</f>
      </c>
      <c r="R1164" s="10" t="str">
        <f>IF(O1164=C1164,"TETAP",IF(C1164=0,"BARU",IF(O1164=0,"HAPUS",IF(O1164&gt;C1164,"TAMBAH","KURANG"))))</f>
        <v>TETAP</v>
      </c>
    </row>
    <row r="1165" spans="1:18" x14ac:dyDescent="0.25">
      <c r="A1165" s="10" t="s">
        <v>198</v>
      </c>
      <c r="B1165" s="18" t="s">
        <v>392</v>
      </c>
      <c r="C1165" s="12">
        <v>4.05</v>
      </c>
      <c r="D1165" s="12">
        <v>0</v>
      </c>
      <c r="E1165" s="10" t="s">
        <v>159</v>
      </c>
      <c r="F1165" s="14">
        <v>1399567.05</v>
      </c>
      <c r="G1165" s="14">
        <f>F1165*C1165</f>
        <v>5668246.5525</v>
      </c>
      <c r="H1165" s="15">
        <f>IF($G$1279=0,0,G1165/$G$1279*100)</f>
      </c>
      <c r="I1165" s="12" t="str">
        <f>IF(O1165-C1165&gt;0,O1165-C1165,"")</f>
        <v/>
      </c>
      <c r="J1165" s="14" t="str">
        <f>IF(I1165="","",F1165*I1165)</f>
        <v/>
      </c>
      <c r="K1165" s="15">
        <f>IF(OR(J1165="",$G$1279=0),"",J1165/$G$1279*100)</f>
      </c>
      <c r="L1165" s="12" t="str">
        <f>IF(C1165-O1165&gt;0,C1165-O1165,"")</f>
        <v/>
      </c>
      <c r="M1165" s="14" t="str">
        <f>IF(L1165="","",F1165*L1165)</f>
        <v/>
      </c>
      <c r="N1165" s="15">
        <f>IF(OR(M1165="",$G$1279=0),"",M1165/$G$1279*100)</f>
      </c>
      <c r="O1165" s="12">
        <v>4.05</v>
      </c>
      <c r="P1165" s="14">
        <f>F1165*O1165</f>
        <v>5668246.5525</v>
      </c>
      <c r="Q1165" s="15">
        <f>IF($P$1279=0,0,P1165/$P$1279*100)</f>
      </c>
      <c r="R1165" s="10" t="str">
        <f>IF(O1165=C1165,"TETAP",IF(C1165=0,"BARU",IF(O1165=0,"HAPUS",IF(O1165&gt;C1165,"TAMBAH","KURANG"))))</f>
        <v>TETAP</v>
      </c>
    </row>
    <row r="1166" spans="1:18" x14ac:dyDescent="0.25">
      <c r="A1166" s="5" t="s">
        <v>38</v>
      </c>
      <c r="B1166" s="17" t="s">
        <v>793</v>
      </c>
      <c r="C1166" s="7"/>
      <c r="D1166" s="7"/>
      <c r="E1166" s="5"/>
      <c r="F1166" s="8"/>
      <c r="G1166" s="8"/>
      <c r="H1166" s="9"/>
      <c r="I1166" s="7"/>
      <c r="J1166" s="8"/>
      <c r="K1166" s="9"/>
      <c r="L1166" s="7"/>
      <c r="M1166" s="8"/>
      <c r="N1166" s="9"/>
      <c r="O1166" s="7"/>
      <c r="P1166" s="8"/>
      <c r="Q1166" s="9"/>
      <c r="R1166" s="5"/>
    </row>
    <row r="1167" spans="1:18" x14ac:dyDescent="0.25">
      <c r="A1167" s="10" t="s">
        <v>200</v>
      </c>
      <c r="B1167" s="18" t="s">
        <v>187</v>
      </c>
      <c r="C1167" s="12">
        <v>0.16</v>
      </c>
      <c r="D1167" s="12">
        <v>0</v>
      </c>
      <c r="E1167" s="10" t="s">
        <v>26</v>
      </c>
      <c r="F1167" s="14">
        <v>218225.13</v>
      </c>
      <c r="G1167" s="14">
        <f>F1167*C1167</f>
        <v>34916.0208</v>
      </c>
      <c r="H1167" s="15">
        <f>IF($G$1279=0,0,G1167/$G$1279*100)</f>
      </c>
      <c r="I1167" s="12" t="str">
        <f>IF(O1167-C1167&gt;0,O1167-C1167,"")</f>
        <v/>
      </c>
      <c r="J1167" s="14" t="str">
        <f>IF(I1167="","",F1167*I1167)</f>
        <v/>
      </c>
      <c r="K1167" s="15">
        <f>IF(OR(J1167="",$G$1279=0),"",J1167/$G$1279*100)</f>
      </c>
      <c r="L1167" s="12" t="str">
        <f>IF(C1167-O1167&gt;0,C1167-O1167,"")</f>
        <v/>
      </c>
      <c r="M1167" s="14" t="str">
        <f>IF(L1167="","",F1167*L1167)</f>
        <v/>
      </c>
      <c r="N1167" s="15">
        <f>IF(OR(M1167="",$G$1279=0),"",M1167/$G$1279*100)</f>
      </c>
      <c r="O1167" s="12">
        <v>0.16</v>
      </c>
      <c r="P1167" s="14">
        <f>F1167*O1167</f>
        <v>34916.0208</v>
      </c>
      <c r="Q1167" s="15">
        <f>IF($P$1279=0,0,P1167/$P$1279*100)</f>
      </c>
      <c r="R1167" s="10" t="str">
        <f>IF(O1167=C1167,"TETAP",IF(C1167=0,"BARU",IF(O1167=0,"HAPUS",IF(O1167&gt;C1167,"TAMBAH","KURANG"))))</f>
        <v>TETAP</v>
      </c>
    </row>
    <row r="1168" spans="1:18" x14ac:dyDescent="0.25">
      <c r="A1168" s="10" t="s">
        <v>202</v>
      </c>
      <c r="B1168" s="18" t="s">
        <v>380</v>
      </c>
      <c r="C1168" s="12">
        <v>2.14</v>
      </c>
      <c r="D1168" s="12">
        <v>0</v>
      </c>
      <c r="E1168" s="10" t="s">
        <v>169</v>
      </c>
      <c r="F1168" s="14">
        <v>19252.39</v>
      </c>
      <c r="G1168" s="14">
        <f>F1168*C1168</f>
        <v>41200.1146</v>
      </c>
      <c r="H1168" s="15">
        <f>IF($G$1279=0,0,G1168/$G$1279*100)</f>
      </c>
      <c r="I1168" s="12" t="str">
        <f>IF(O1168-C1168&gt;0,O1168-C1168,"")</f>
        <v/>
      </c>
      <c r="J1168" s="14" t="str">
        <f>IF(I1168="","",F1168*I1168)</f>
        <v/>
      </c>
      <c r="K1168" s="15">
        <f>IF(OR(J1168="",$G$1279=0),"",J1168/$G$1279*100)</f>
      </c>
      <c r="L1168" s="12" t="str">
        <f>IF(C1168-O1168&gt;0,C1168-O1168,"")</f>
        <v/>
      </c>
      <c r="M1168" s="14" t="str">
        <f>IF(L1168="","",F1168*L1168)</f>
        <v/>
      </c>
      <c r="N1168" s="15">
        <f>IF(OR(M1168="",$G$1279=0),"",M1168/$G$1279*100)</f>
      </c>
      <c r="O1168" s="12">
        <v>2.14</v>
      </c>
      <c r="P1168" s="14">
        <f>F1168*O1168</f>
        <v>41200.1146</v>
      </c>
      <c r="Q1168" s="15">
        <f>IF($P$1279=0,0,P1168/$P$1279*100)</f>
      </c>
      <c r="R1168" s="10" t="str">
        <f>IF(O1168=C1168,"TETAP",IF(C1168=0,"BARU",IF(O1168=0,"HAPUS",IF(O1168&gt;C1168,"TAMBAH","KURANG"))))</f>
        <v>TETAP</v>
      </c>
    </row>
    <row r="1169" spans="1:18" x14ac:dyDescent="0.25">
      <c r="A1169" s="10" t="s">
        <v>203</v>
      </c>
      <c r="B1169" s="18" t="s">
        <v>390</v>
      </c>
      <c r="C1169" s="12">
        <v>13.19</v>
      </c>
      <c r="D1169" s="12">
        <v>0</v>
      </c>
      <c r="E1169" s="10" t="s">
        <v>169</v>
      </c>
      <c r="F1169" s="14">
        <v>19252.39</v>
      </c>
      <c r="G1169" s="14">
        <f>F1169*C1169</f>
        <v>253939.02409999998</v>
      </c>
      <c r="H1169" s="15">
        <f>IF($G$1279=0,0,G1169/$G$1279*100)</f>
      </c>
      <c r="I1169" s="12" t="str">
        <f>IF(O1169-C1169&gt;0,O1169-C1169,"")</f>
        <v/>
      </c>
      <c r="J1169" s="14" t="str">
        <f>IF(I1169="","",F1169*I1169)</f>
        <v/>
      </c>
      <c r="K1169" s="15">
        <f>IF(OR(J1169="",$G$1279=0),"",J1169/$G$1279*100)</f>
      </c>
      <c r="L1169" s="12" t="str">
        <f>IF(C1169-O1169&gt;0,C1169-O1169,"")</f>
        <v/>
      </c>
      <c r="M1169" s="14" t="str">
        <f>IF(L1169="","",F1169*L1169)</f>
        <v/>
      </c>
      <c r="N1169" s="15">
        <f>IF(OR(M1169="",$G$1279=0),"",M1169/$G$1279*100)</f>
      </c>
      <c r="O1169" s="12">
        <v>13.19</v>
      </c>
      <c r="P1169" s="14">
        <f>F1169*O1169</f>
        <v>253939.02409999998</v>
      </c>
      <c r="Q1169" s="15">
        <f>IF($P$1279=0,0,P1169/$P$1279*100)</f>
      </c>
      <c r="R1169" s="10" t="str">
        <f>IF(O1169=C1169,"TETAP",IF(C1169=0,"BARU",IF(O1169=0,"HAPUS",IF(O1169&gt;C1169,"TAMBAH","KURANG"))))</f>
        <v>TETAP</v>
      </c>
    </row>
    <row r="1170" spans="1:18" x14ac:dyDescent="0.25">
      <c r="A1170" s="10" t="s">
        <v>204</v>
      </c>
      <c r="B1170" s="18" t="s">
        <v>392</v>
      </c>
      <c r="C1170" s="12">
        <v>10.18</v>
      </c>
      <c r="D1170" s="12">
        <v>0</v>
      </c>
      <c r="E1170" s="10" t="s">
        <v>159</v>
      </c>
      <c r="F1170" s="14">
        <v>1399567.05</v>
      </c>
      <c r="G1170" s="14">
        <f>F1170*C1170</f>
        <v>14247592.569</v>
      </c>
      <c r="H1170" s="15">
        <f>IF($G$1279=0,0,G1170/$G$1279*100)</f>
      </c>
      <c r="I1170" s="12" t="str">
        <f>IF(O1170-C1170&gt;0,O1170-C1170,"")</f>
        <v/>
      </c>
      <c r="J1170" s="14" t="str">
        <f>IF(I1170="","",F1170*I1170)</f>
        <v/>
      </c>
      <c r="K1170" s="15">
        <f>IF(OR(J1170="",$G$1279=0),"",J1170/$G$1279*100)</f>
      </c>
      <c r="L1170" s="12" t="str">
        <f>IF(C1170-O1170&gt;0,C1170-O1170,"")</f>
        <v/>
      </c>
      <c r="M1170" s="14" t="str">
        <f>IF(L1170="","",F1170*L1170)</f>
        <v/>
      </c>
      <c r="N1170" s="15">
        <f>IF(OR(M1170="",$G$1279=0),"",M1170/$G$1279*100)</f>
      </c>
      <c r="O1170" s="12">
        <v>10.18</v>
      </c>
      <c r="P1170" s="14">
        <f>F1170*O1170</f>
        <v>14247592.569</v>
      </c>
      <c r="Q1170" s="15">
        <f>IF($P$1279=0,0,P1170/$P$1279*100)</f>
      </c>
      <c r="R1170" s="10" t="str">
        <f>IF(O1170=C1170,"TETAP",IF(C1170=0,"BARU",IF(O1170=0,"HAPUS",IF(O1170&gt;C1170,"TAMBAH","KURANG"))))</f>
        <v>TETAP</v>
      </c>
    </row>
    <row r="1171" spans="1:18" x14ac:dyDescent="0.25">
      <c r="A1171" s="5" t="s">
        <v>108</v>
      </c>
      <c r="B1171" s="17" t="s">
        <v>448</v>
      </c>
      <c r="C1171" s="7"/>
      <c r="D1171" s="7"/>
      <c r="E1171" s="5"/>
      <c r="F1171" s="8"/>
      <c r="G1171" s="8"/>
      <c r="H1171" s="9"/>
      <c r="I1171" s="7"/>
      <c r="J1171" s="8"/>
      <c r="K1171" s="9"/>
      <c r="L1171" s="7"/>
      <c r="M1171" s="8"/>
      <c r="N1171" s="9"/>
      <c r="O1171" s="7"/>
      <c r="P1171" s="8"/>
      <c r="Q1171" s="9"/>
      <c r="R1171" s="5"/>
    </row>
    <row r="1172" spans="1:18" x14ac:dyDescent="0.25">
      <c r="A1172" s="10" t="s">
        <v>212</v>
      </c>
      <c r="B1172" s="18" t="s">
        <v>366</v>
      </c>
      <c r="C1172" s="12">
        <v>3.6</v>
      </c>
      <c r="D1172" s="12">
        <v>0</v>
      </c>
      <c r="E1172" s="10" t="s">
        <v>159</v>
      </c>
      <c r="F1172" s="14">
        <v>211003.3</v>
      </c>
      <c r="G1172" s="14">
        <f>F1172*C1172</f>
        <v>759611.88</v>
      </c>
      <c r="H1172" s="15">
        <f>IF($G$1279=0,0,G1172/$G$1279*100)</f>
      </c>
      <c r="I1172" s="12" t="str">
        <f>IF(O1172-C1172&gt;0,O1172-C1172,"")</f>
        <v/>
      </c>
      <c r="J1172" s="14" t="str">
        <f>IF(I1172="","",F1172*I1172)</f>
        <v/>
      </c>
      <c r="K1172" s="15">
        <f>IF(OR(J1172="",$G$1279=0),"",J1172/$G$1279*100)</f>
      </c>
      <c r="L1172" s="12" t="str">
        <f>IF(C1172-O1172&gt;0,C1172-O1172,"")</f>
        <v/>
      </c>
      <c r="M1172" s="14" t="str">
        <f>IF(L1172="","",F1172*L1172)</f>
        <v/>
      </c>
      <c r="N1172" s="15">
        <f>IF(OR(M1172="",$G$1279=0),"",M1172/$G$1279*100)</f>
      </c>
      <c r="O1172" s="12">
        <v>3.6</v>
      </c>
      <c r="P1172" s="14">
        <f>F1172*O1172</f>
        <v>759611.88</v>
      </c>
      <c r="Q1172" s="15">
        <f>IF($P$1279=0,0,P1172/$P$1279*100)</f>
      </c>
      <c r="R1172" s="10" t="str">
        <f>IF(O1172=C1172,"TETAP",IF(C1172=0,"BARU",IF(O1172=0,"HAPUS",IF(O1172&gt;C1172,"TAMBAH","KURANG"))))</f>
        <v>TETAP</v>
      </c>
    </row>
    <row r="1173" spans="1:18" x14ac:dyDescent="0.25">
      <c r="A1173" s="10" t="s">
        <v>214</v>
      </c>
      <c r="B1173" s="18" t="s">
        <v>367</v>
      </c>
      <c r="C1173" s="12">
        <v>3.6</v>
      </c>
      <c r="D1173" s="12">
        <v>0</v>
      </c>
      <c r="E1173" s="10" t="s">
        <v>159</v>
      </c>
      <c r="F1173" s="14">
        <v>39994.39</v>
      </c>
      <c r="G1173" s="14">
        <f>F1173*C1173</f>
        <v>143979.804</v>
      </c>
      <c r="H1173" s="15">
        <f>IF($G$1279=0,0,G1173/$G$1279*100)</f>
      </c>
      <c r="I1173" s="12" t="str">
        <f>IF(O1173-C1173&gt;0,O1173-C1173,"")</f>
        <v/>
      </c>
      <c r="J1173" s="14" t="str">
        <f>IF(I1173="","",F1173*I1173)</f>
        <v/>
      </c>
      <c r="K1173" s="15">
        <f>IF(OR(J1173="",$G$1279=0),"",J1173/$G$1279*100)</f>
      </c>
      <c r="L1173" s="12" t="str">
        <f>IF(C1173-O1173&gt;0,C1173-O1173,"")</f>
        <v/>
      </c>
      <c r="M1173" s="14" t="str">
        <f>IF(L1173="","",F1173*L1173)</f>
        <v/>
      </c>
      <c r="N1173" s="15">
        <f>IF(OR(M1173="",$G$1279=0),"",M1173/$G$1279*100)</f>
      </c>
      <c r="O1173" s="12">
        <v>3.6</v>
      </c>
      <c r="P1173" s="14">
        <f>F1173*O1173</f>
        <v>143979.804</v>
      </c>
      <c r="Q1173" s="15">
        <f>IF($P$1279=0,0,P1173/$P$1279*100)</f>
      </c>
      <c r="R1173" s="10" t="str">
        <f>IF(O1173=C1173,"TETAP",IF(C1173=0,"BARU",IF(O1173=0,"HAPUS",IF(O1173&gt;C1173,"TAMBAH","KURANG"))))</f>
        <v>TETAP</v>
      </c>
    </row>
    <row r="1174" spans="1:18" x14ac:dyDescent="0.25">
      <c r="A1174" s="10" t="s">
        <v>216</v>
      </c>
      <c r="B1174" s="18" t="s">
        <v>368</v>
      </c>
      <c r="C1174" s="12">
        <v>3.6</v>
      </c>
      <c r="D1174" s="12">
        <v>0</v>
      </c>
      <c r="E1174" s="10" t="s">
        <v>159</v>
      </c>
      <c r="F1174" s="14">
        <v>342654.98</v>
      </c>
      <c r="G1174" s="14">
        <f>F1174*C1174</f>
        <v>1233557.928</v>
      </c>
      <c r="H1174" s="15">
        <f>IF($G$1279=0,0,G1174/$G$1279*100)</f>
      </c>
      <c r="I1174" s="12" t="str">
        <f>IF(O1174-C1174&gt;0,O1174-C1174,"")</f>
        <v/>
      </c>
      <c r="J1174" s="14" t="str">
        <f>IF(I1174="","",F1174*I1174)</f>
        <v/>
      </c>
      <c r="K1174" s="15">
        <f>IF(OR(J1174="",$G$1279=0),"",J1174/$G$1279*100)</f>
      </c>
      <c r="L1174" s="12" t="str">
        <f>IF(C1174-O1174&gt;0,C1174-O1174,"")</f>
        <v/>
      </c>
      <c r="M1174" s="14" t="str">
        <f>IF(L1174="","",F1174*L1174)</f>
        <v/>
      </c>
      <c r="N1174" s="15">
        <f>IF(OR(M1174="",$G$1279=0),"",M1174/$G$1279*100)</f>
      </c>
      <c r="O1174" s="12">
        <v>3.6</v>
      </c>
      <c r="P1174" s="14">
        <f>F1174*O1174</f>
        <v>1233557.928</v>
      </c>
      <c r="Q1174" s="15">
        <f>IF($P$1279=0,0,P1174/$P$1279*100)</f>
      </c>
      <c r="R1174" s="10" t="str">
        <f>IF(O1174=C1174,"TETAP",IF(C1174=0,"BARU",IF(O1174=0,"HAPUS",IF(O1174&gt;C1174,"TAMBAH","KURANG"))))</f>
        <v>TETAP</v>
      </c>
    </row>
    <row r="1175" spans="1:18" x14ac:dyDescent="0.25">
      <c r="A1175" s="10" t="s">
        <v>218</v>
      </c>
      <c r="B1175" s="18" t="s">
        <v>465</v>
      </c>
      <c r="C1175" s="12">
        <v>3.6</v>
      </c>
      <c r="D1175" s="12">
        <v>0</v>
      </c>
      <c r="E1175" s="10" t="s">
        <v>159</v>
      </c>
      <c r="F1175" s="14">
        <v>1243301.43</v>
      </c>
      <c r="G1175" s="14">
        <f>F1175*C1175</f>
        <v>4475885.148</v>
      </c>
      <c r="H1175" s="15">
        <f>IF($G$1279=0,0,G1175/$G$1279*100)</f>
      </c>
      <c r="I1175" s="12" t="str">
        <f>IF(O1175-C1175&gt;0,O1175-C1175,"")</f>
        <v/>
      </c>
      <c r="J1175" s="14" t="str">
        <f>IF(I1175="","",F1175*I1175)</f>
        <v/>
      </c>
      <c r="K1175" s="15">
        <f>IF(OR(J1175="",$G$1279=0),"",J1175/$G$1279*100)</f>
      </c>
      <c r="L1175" s="12" t="str">
        <f>IF(C1175-O1175&gt;0,C1175-O1175,"")</f>
        <v/>
      </c>
      <c r="M1175" s="14" t="str">
        <f>IF(L1175="","",F1175*L1175)</f>
        <v/>
      </c>
      <c r="N1175" s="15">
        <f>IF(OR(M1175="",$G$1279=0),"",M1175/$G$1279*100)</f>
      </c>
      <c r="O1175" s="12">
        <v>3.6</v>
      </c>
      <c r="P1175" s="14">
        <f>F1175*O1175</f>
        <v>4475885.148</v>
      </c>
      <c r="Q1175" s="15">
        <f>IF($P$1279=0,0,P1175/$P$1279*100)</f>
      </c>
      <c r="R1175" s="10" t="str">
        <f>IF(O1175=C1175,"TETAP",IF(C1175=0,"BARU",IF(O1175=0,"HAPUS",IF(O1175&gt;C1175,"TAMBAH","KURANG"))))</f>
        <v>TETAP</v>
      </c>
    </row>
    <row r="1176" spans="1:18" x14ac:dyDescent="0.25">
      <c r="A1176" s="10" t="s">
        <v>219</v>
      </c>
      <c r="B1176" s="18" t="s">
        <v>814</v>
      </c>
      <c r="C1176" s="12">
        <v>144</v>
      </c>
      <c r="D1176" s="12">
        <v>0</v>
      </c>
      <c r="E1176" s="10" t="s">
        <v>26</v>
      </c>
      <c r="F1176" s="14">
        <v>70152.73</v>
      </c>
      <c r="G1176" s="14">
        <f>F1176*C1176</f>
        <v>10101993.12</v>
      </c>
      <c r="H1176" s="15">
        <f>IF($G$1279=0,0,G1176/$G$1279*100)</f>
      </c>
      <c r="I1176" s="12" t="str">
        <f>IF(O1176-C1176&gt;0,O1176-C1176,"")</f>
        <v/>
      </c>
      <c r="J1176" s="14" t="str">
        <f>IF(I1176="","",F1176*I1176)</f>
        <v/>
      </c>
      <c r="K1176" s="15">
        <f>IF(OR(J1176="",$G$1279=0),"",J1176/$G$1279*100)</f>
      </c>
      <c r="L1176" s="12" t="str">
        <f>IF(C1176-O1176&gt;0,C1176-O1176,"")</f>
        <v/>
      </c>
      <c r="M1176" s="14" t="str">
        <f>IF(L1176="","",F1176*L1176)</f>
        <v/>
      </c>
      <c r="N1176" s="15">
        <f>IF(OR(M1176="",$G$1279=0),"",M1176/$G$1279*100)</f>
      </c>
      <c r="O1176" s="12">
        <v>144</v>
      </c>
      <c r="P1176" s="14">
        <f>F1176*O1176</f>
        <v>10101993.12</v>
      </c>
      <c r="Q1176" s="15">
        <f>IF($P$1279=0,0,P1176/$P$1279*100)</f>
      </c>
      <c r="R1176" s="10" t="str">
        <f>IF(O1176=C1176,"TETAP",IF(C1176=0,"BARU",IF(O1176=0,"HAPUS",IF(O1176&gt;C1176,"TAMBAH","KURANG"))))</f>
        <v>TETAP</v>
      </c>
    </row>
    <row r="1177" spans="1:18" x14ac:dyDescent="0.25">
      <c r="A1177" s="10" t="s">
        <v>272</v>
      </c>
      <c r="B1177" s="18" t="s">
        <v>392</v>
      </c>
      <c r="C1177" s="12">
        <v>10.8</v>
      </c>
      <c r="D1177" s="12">
        <v>0</v>
      </c>
      <c r="E1177" s="10" t="s">
        <v>159</v>
      </c>
      <c r="F1177" s="14">
        <v>1399567.05</v>
      </c>
      <c r="G1177" s="14">
        <f>F1177*C1177</f>
        <v>15115324.14</v>
      </c>
      <c r="H1177" s="15">
        <f>IF($G$1279=0,0,G1177/$G$1279*100)</f>
      </c>
      <c r="I1177" s="12" t="str">
        <f>IF(O1177-C1177&gt;0,O1177-C1177,"")</f>
        <v/>
      </c>
      <c r="J1177" s="14" t="str">
        <f>IF(I1177="","",F1177*I1177)</f>
        <v/>
      </c>
      <c r="K1177" s="15">
        <f>IF(OR(J1177="",$G$1279=0),"",J1177/$G$1279*100)</f>
      </c>
      <c r="L1177" s="12" t="str">
        <f>IF(C1177-O1177&gt;0,C1177-O1177,"")</f>
        <v/>
      </c>
      <c r="M1177" s="14" t="str">
        <f>IF(L1177="","",F1177*L1177)</f>
        <v/>
      </c>
      <c r="N1177" s="15">
        <f>IF(OR(M1177="",$G$1279=0),"",M1177/$G$1279*100)</f>
      </c>
      <c r="O1177" s="12">
        <v>10.8</v>
      </c>
      <c r="P1177" s="14">
        <f>F1177*O1177</f>
        <v>15115324.14</v>
      </c>
      <c r="Q1177" s="15">
        <f>IF($P$1279=0,0,P1177/$P$1279*100)</f>
      </c>
      <c r="R1177" s="10" t="str">
        <f>IF(O1177=C1177,"TETAP",IF(C1177=0,"BARU",IF(O1177=0,"HAPUS",IF(O1177&gt;C1177,"TAMBAH","KURANG"))))</f>
        <v>TETAP</v>
      </c>
    </row>
    <row r="1178" spans="1:18" x14ac:dyDescent="0.25">
      <c r="A1178" s="5" t="s">
        <v>110</v>
      </c>
      <c r="B1178" s="17" t="s">
        <v>588</v>
      </c>
      <c r="C1178" s="7"/>
      <c r="D1178" s="7"/>
      <c r="E1178" s="5"/>
      <c r="F1178" s="8"/>
      <c r="G1178" s="8"/>
      <c r="H1178" s="9"/>
      <c r="I1178" s="7"/>
      <c r="J1178" s="8"/>
      <c r="K1178" s="9"/>
      <c r="L1178" s="7"/>
      <c r="M1178" s="8"/>
      <c r="N1178" s="9"/>
      <c r="O1178" s="7"/>
      <c r="P1178" s="8"/>
      <c r="Q1178" s="9"/>
      <c r="R1178" s="5"/>
    </row>
    <row r="1179" spans="1:18" x14ac:dyDescent="0.25">
      <c r="A1179" s="10" t="s">
        <v>275</v>
      </c>
      <c r="B1179" s="18" t="s">
        <v>406</v>
      </c>
      <c r="C1179" s="12">
        <v>0.9</v>
      </c>
      <c r="D1179" s="12">
        <v>0</v>
      </c>
      <c r="E1179" s="10" t="s">
        <v>159</v>
      </c>
      <c r="F1179" s="14">
        <v>48730.7</v>
      </c>
      <c r="G1179" s="14">
        <f>F1179*C1179</f>
        <v>43857.63</v>
      </c>
      <c r="H1179" s="15">
        <f>IF($G$1279=0,0,G1179/$G$1279*100)</f>
      </c>
      <c r="I1179" s="12" t="str">
        <f>IF(O1179-C1179&gt;0,O1179-C1179,"")</f>
        <v/>
      </c>
      <c r="J1179" s="14" t="str">
        <f>IF(I1179="","",F1179*I1179)</f>
        <v/>
      </c>
      <c r="K1179" s="15">
        <f>IF(OR(J1179="",$G$1279=0),"",J1179/$G$1279*100)</f>
      </c>
      <c r="L1179" s="12" t="str">
        <f>IF(C1179-O1179&gt;0,C1179-O1179,"")</f>
        <v/>
      </c>
      <c r="M1179" s="14" t="str">
        <f>IF(L1179="","",F1179*L1179)</f>
        <v/>
      </c>
      <c r="N1179" s="15">
        <f>IF(OR(M1179="",$G$1279=0),"",M1179/$G$1279*100)</f>
      </c>
      <c r="O1179" s="12">
        <v>0.9</v>
      </c>
      <c r="P1179" s="14">
        <f>F1179*O1179</f>
        <v>43857.63</v>
      </c>
      <c r="Q1179" s="15">
        <f>IF($P$1279=0,0,P1179/$P$1279*100)</f>
      </c>
      <c r="R1179" s="10" t="str">
        <f>IF(O1179=C1179,"TETAP",IF(C1179=0,"BARU",IF(O1179=0,"HAPUS",IF(O1179&gt;C1179,"TAMBAH","KURANG"))))</f>
        <v>TETAP</v>
      </c>
    </row>
    <row r="1180" spans="1:18" x14ac:dyDescent="0.25">
      <c r="A1180" s="10" t="s">
        <v>276</v>
      </c>
      <c r="B1180" s="18" t="s">
        <v>407</v>
      </c>
      <c r="C1180" s="12">
        <v>13.18</v>
      </c>
      <c r="D1180" s="12">
        <v>0</v>
      </c>
      <c r="E1180" s="10" t="s">
        <v>26</v>
      </c>
      <c r="F1180" s="14">
        <v>164501.03</v>
      </c>
      <c r="G1180" s="14">
        <f>F1180*C1180</f>
        <v>2168123.5754</v>
      </c>
      <c r="H1180" s="15">
        <f>IF($G$1279=0,0,G1180/$G$1279*100)</f>
      </c>
      <c r="I1180" s="12" t="str">
        <f>IF(O1180-C1180&gt;0,O1180-C1180,"")</f>
        <v/>
      </c>
      <c r="J1180" s="14" t="str">
        <f>IF(I1180="","",F1180*I1180)</f>
        <v/>
      </c>
      <c r="K1180" s="15">
        <f>IF(OR(J1180="",$G$1279=0),"",J1180/$G$1279*100)</f>
      </c>
      <c r="L1180" s="12" t="str">
        <f>IF(C1180-O1180&gt;0,C1180-O1180,"")</f>
        <v/>
      </c>
      <c r="M1180" s="14" t="str">
        <f>IF(L1180="","",F1180*L1180)</f>
        <v/>
      </c>
      <c r="N1180" s="15">
        <f>IF(OR(M1180="",$G$1279=0),"",M1180/$G$1279*100)</f>
      </c>
      <c r="O1180" s="12">
        <v>13.18</v>
      </c>
      <c r="P1180" s="14">
        <f>F1180*O1180</f>
        <v>2168123.5754</v>
      </c>
      <c r="Q1180" s="15">
        <f>IF($P$1279=0,0,P1180/$P$1279*100)</f>
      </c>
      <c r="R1180" s="10" t="str">
        <f>IF(O1180=C1180,"TETAP",IF(C1180=0,"BARU",IF(O1180=0,"HAPUS",IF(O1180&gt;C1180,"TAMBAH","KURANG"))))</f>
        <v>TETAP</v>
      </c>
    </row>
    <row r="1181" spans="1:18" x14ac:dyDescent="0.25">
      <c r="A1181" s="10" t="s">
        <v>278</v>
      </c>
      <c r="B1181" s="18" t="s">
        <v>366</v>
      </c>
      <c r="C1181" s="12">
        <v>1.44</v>
      </c>
      <c r="D1181" s="12">
        <v>0</v>
      </c>
      <c r="E1181" s="10" t="s">
        <v>159</v>
      </c>
      <c r="F1181" s="14">
        <v>211003.3</v>
      </c>
      <c r="G1181" s="14">
        <f>F1181*C1181</f>
        <v>303844.752</v>
      </c>
      <c r="H1181" s="15">
        <f>IF($G$1279=0,0,G1181/$G$1279*100)</f>
      </c>
      <c r="I1181" s="12" t="str">
        <f>IF(O1181-C1181&gt;0,O1181-C1181,"")</f>
        <v/>
      </c>
      <c r="J1181" s="14" t="str">
        <f>IF(I1181="","",F1181*I1181)</f>
        <v/>
      </c>
      <c r="K1181" s="15">
        <f>IF(OR(J1181="",$G$1279=0),"",J1181/$G$1279*100)</f>
      </c>
      <c r="L1181" s="12" t="str">
        <f>IF(C1181-O1181&gt;0,C1181-O1181,"")</f>
        <v/>
      </c>
      <c r="M1181" s="14" t="str">
        <f>IF(L1181="","",F1181*L1181)</f>
        <v/>
      </c>
      <c r="N1181" s="15">
        <f>IF(OR(M1181="",$G$1279=0),"",M1181/$G$1279*100)</f>
      </c>
      <c r="O1181" s="12">
        <v>1.44</v>
      </c>
      <c r="P1181" s="14">
        <f>F1181*O1181</f>
        <v>303844.752</v>
      </c>
      <c r="Q1181" s="15">
        <f>IF($P$1279=0,0,P1181/$P$1279*100)</f>
      </c>
      <c r="R1181" s="10" t="str">
        <f>IF(O1181=C1181,"TETAP",IF(C1181=0,"BARU",IF(O1181=0,"HAPUS",IF(O1181&gt;C1181,"TAMBAH","KURANG"))))</f>
        <v>TETAP</v>
      </c>
    </row>
    <row r="1182" spans="1:18" x14ac:dyDescent="0.25">
      <c r="A1182" s="10" t="s">
        <v>279</v>
      </c>
      <c r="B1182" s="18" t="s">
        <v>367</v>
      </c>
      <c r="C1182" s="12">
        <v>1.44</v>
      </c>
      <c r="D1182" s="12">
        <v>0</v>
      </c>
      <c r="E1182" s="10" t="s">
        <v>159</v>
      </c>
      <c r="F1182" s="14">
        <v>39994.39</v>
      </c>
      <c r="G1182" s="14">
        <f>F1182*C1182</f>
        <v>57591.921599999994</v>
      </c>
      <c r="H1182" s="15">
        <f>IF($G$1279=0,0,G1182/$G$1279*100)</f>
      </c>
      <c r="I1182" s="12" t="str">
        <f>IF(O1182-C1182&gt;0,O1182-C1182,"")</f>
        <v/>
      </c>
      <c r="J1182" s="14" t="str">
        <f>IF(I1182="","",F1182*I1182)</f>
        <v/>
      </c>
      <c r="K1182" s="15">
        <f>IF(OR(J1182="",$G$1279=0),"",J1182/$G$1279*100)</f>
      </c>
      <c r="L1182" s="12" t="str">
        <f>IF(C1182-O1182&gt;0,C1182-O1182,"")</f>
        <v/>
      </c>
      <c r="M1182" s="14" t="str">
        <f>IF(L1182="","",F1182*L1182)</f>
        <v/>
      </c>
      <c r="N1182" s="15">
        <f>IF(OR(M1182="",$G$1279=0),"",M1182/$G$1279*100)</f>
      </c>
      <c r="O1182" s="12">
        <v>1.44</v>
      </c>
      <c r="P1182" s="14">
        <f>F1182*O1182</f>
        <v>57591.921599999994</v>
      </c>
      <c r="Q1182" s="15">
        <f>IF($P$1279=0,0,P1182/$P$1279*100)</f>
      </c>
      <c r="R1182" s="10" t="str">
        <f>IF(O1182=C1182,"TETAP",IF(C1182=0,"BARU",IF(O1182=0,"HAPUS",IF(O1182&gt;C1182,"TAMBAH","KURANG"))))</f>
        <v>TETAP</v>
      </c>
    </row>
    <row r="1183" spans="1:18" x14ac:dyDescent="0.25">
      <c r="A1183" s="10" t="s">
        <v>281</v>
      </c>
      <c r="B1183" s="18" t="s">
        <v>409</v>
      </c>
      <c r="C1183" s="12">
        <v>0.86</v>
      </c>
      <c r="D1183" s="12">
        <v>0</v>
      </c>
      <c r="E1183" s="10" t="s">
        <v>159</v>
      </c>
      <c r="F1183" s="14">
        <v>342654.98</v>
      </c>
      <c r="G1183" s="14">
        <f>F1183*C1183</f>
        <v>294683.2828</v>
      </c>
      <c r="H1183" s="15">
        <f>IF($G$1279=0,0,G1183/$G$1279*100)</f>
      </c>
      <c r="I1183" s="12" t="str">
        <f>IF(O1183-C1183&gt;0,O1183-C1183,"")</f>
        <v/>
      </c>
      <c r="J1183" s="14" t="str">
        <f>IF(I1183="","",F1183*I1183)</f>
        <v/>
      </c>
      <c r="K1183" s="15">
        <f>IF(OR(J1183="",$G$1279=0),"",J1183/$G$1279*100)</f>
      </c>
      <c r="L1183" s="12" t="str">
        <f>IF(C1183-O1183&gt;0,C1183-O1183,"")</f>
        <v/>
      </c>
      <c r="M1183" s="14" t="str">
        <f>IF(L1183="","",F1183*L1183)</f>
        <v/>
      </c>
      <c r="N1183" s="15">
        <f>IF(OR(M1183="",$G$1279=0),"",M1183/$G$1279*100)</f>
      </c>
      <c r="O1183" s="12">
        <v>0.86</v>
      </c>
      <c r="P1183" s="14">
        <f>F1183*O1183</f>
        <v>294683.2828</v>
      </c>
      <c r="Q1183" s="15">
        <f>IF($P$1279=0,0,P1183/$P$1279*100)</f>
      </c>
      <c r="R1183" s="10" t="str">
        <f>IF(O1183=C1183,"TETAP",IF(C1183=0,"BARU",IF(O1183=0,"HAPUS",IF(O1183&gt;C1183,"TAMBAH","KURANG"))))</f>
        <v>TETAP</v>
      </c>
    </row>
    <row r="1184" spans="1:18" x14ac:dyDescent="0.25">
      <c r="A1184" s="10" t="s">
        <v>282</v>
      </c>
      <c r="B1184" s="18" t="s">
        <v>589</v>
      </c>
      <c r="C1184" s="12">
        <v>2.02</v>
      </c>
      <c r="D1184" s="12">
        <v>0</v>
      </c>
      <c r="E1184" s="10" t="s">
        <v>159</v>
      </c>
      <c r="F1184" s="14">
        <v>1243301.43</v>
      </c>
      <c r="G1184" s="14">
        <f>F1184*C1184</f>
        <v>2511468.8885999997</v>
      </c>
      <c r="H1184" s="15">
        <f>IF($G$1279=0,0,G1184/$G$1279*100)</f>
      </c>
      <c r="I1184" s="12" t="str">
        <f>IF(O1184-C1184&gt;0,O1184-C1184,"")</f>
        <v/>
      </c>
      <c r="J1184" s="14" t="str">
        <f>IF(I1184="","",F1184*I1184)</f>
        <v/>
      </c>
      <c r="K1184" s="15">
        <f>IF(OR(J1184="",$G$1279=0),"",J1184/$G$1279*100)</f>
      </c>
      <c r="L1184" s="12" t="str">
        <f>IF(C1184-O1184&gt;0,C1184-O1184,"")</f>
        <v/>
      </c>
      <c r="M1184" s="14" t="str">
        <f>IF(L1184="","",F1184*L1184)</f>
        <v/>
      </c>
      <c r="N1184" s="15">
        <f>IF(OR(M1184="",$G$1279=0),"",M1184/$G$1279*100)</f>
      </c>
      <c r="O1184" s="12">
        <v>2.02</v>
      </c>
      <c r="P1184" s="14">
        <f>F1184*O1184</f>
        <v>2511468.8885999997</v>
      </c>
      <c r="Q1184" s="15">
        <f>IF($P$1279=0,0,P1184/$P$1279*100)</f>
      </c>
      <c r="R1184" s="10" t="str">
        <f>IF(O1184=C1184,"TETAP",IF(C1184=0,"BARU",IF(O1184=0,"HAPUS",IF(O1184&gt;C1184,"TAMBAH","KURANG"))))</f>
        <v>TETAP</v>
      </c>
    </row>
    <row r="1185" spans="1:18" x14ac:dyDescent="0.25">
      <c r="A1185" s="5" t="s">
        <v>112</v>
      </c>
      <c r="B1185" s="17" t="s">
        <v>370</v>
      </c>
      <c r="C1185" s="7"/>
      <c r="D1185" s="7"/>
      <c r="E1185" s="5"/>
      <c r="F1185" s="8"/>
      <c r="G1185" s="8"/>
      <c r="H1185" s="9"/>
      <c r="I1185" s="7"/>
      <c r="J1185" s="8"/>
      <c r="K1185" s="9"/>
      <c r="L1185" s="7"/>
      <c r="M1185" s="8"/>
      <c r="N1185" s="9"/>
      <c r="O1185" s="7"/>
      <c r="P1185" s="8"/>
      <c r="Q1185" s="9"/>
      <c r="R1185" s="5"/>
    </row>
    <row r="1186" spans="1:18" x14ac:dyDescent="0.25">
      <c r="A1186" s="10" t="s">
        <v>287</v>
      </c>
      <c r="B1186" s="18" t="s">
        <v>242</v>
      </c>
      <c r="C1186" s="12">
        <v>6.4</v>
      </c>
      <c r="D1186" s="12">
        <v>0</v>
      </c>
      <c r="E1186" s="10" t="s">
        <v>26</v>
      </c>
      <c r="F1186" s="14">
        <v>229284.3</v>
      </c>
      <c r="G1186" s="14">
        <f>F1186*C1186</f>
        <v>1467419.52</v>
      </c>
      <c r="H1186" s="15">
        <f>IF($G$1279=0,0,G1186/$G$1279*100)</f>
      </c>
      <c r="I1186" s="12" t="str">
        <f>IF(O1186-C1186&gt;0,O1186-C1186,"")</f>
        <v/>
      </c>
      <c r="J1186" s="14" t="str">
        <f>IF(I1186="","",F1186*I1186)</f>
        <v/>
      </c>
      <c r="K1186" s="15">
        <f>IF(OR(J1186="",$G$1279=0),"",J1186/$G$1279*100)</f>
      </c>
      <c r="L1186" s="12" t="str">
        <f>IF(C1186-O1186&gt;0,C1186-O1186,"")</f>
        <v/>
      </c>
      <c r="M1186" s="14" t="str">
        <f>IF(L1186="","",F1186*L1186)</f>
        <v/>
      </c>
      <c r="N1186" s="15">
        <f>IF(OR(M1186="",$G$1279=0),"",M1186/$G$1279*100)</f>
      </c>
      <c r="O1186" s="12">
        <v>6.4</v>
      </c>
      <c r="P1186" s="14">
        <f>F1186*O1186</f>
        <v>1467419.52</v>
      </c>
      <c r="Q1186" s="15">
        <f>IF($P$1279=0,0,P1186/$P$1279*100)</f>
      </c>
      <c r="R1186" s="10" t="str">
        <f>IF(O1186=C1186,"TETAP",IF(C1186=0,"BARU",IF(O1186=0,"HAPUS",IF(O1186&gt;C1186,"TAMBAH","KURANG"))))</f>
        <v>TETAP</v>
      </c>
    </row>
    <row r="1187" spans="1:18" x14ac:dyDescent="0.25">
      <c r="A1187" s="10" t="s">
        <v>288</v>
      </c>
      <c r="B1187" s="18" t="s">
        <v>372</v>
      </c>
      <c r="C1187" s="12">
        <v>41.43</v>
      </c>
      <c r="D1187" s="12">
        <v>0</v>
      </c>
      <c r="E1187" s="10" t="s">
        <v>169</v>
      </c>
      <c r="F1187" s="14">
        <v>19252.39</v>
      </c>
      <c r="G1187" s="14">
        <f>F1187*C1187</f>
        <v>797626.5177</v>
      </c>
      <c r="H1187" s="15">
        <f>IF($G$1279=0,0,G1187/$G$1279*100)</f>
      </c>
      <c r="I1187" s="12" t="str">
        <f>IF(O1187-C1187&gt;0,O1187-C1187,"")</f>
        <v/>
      </c>
      <c r="J1187" s="14" t="str">
        <f>IF(I1187="","",F1187*I1187)</f>
        <v/>
      </c>
      <c r="K1187" s="15">
        <f>IF(OR(J1187="",$G$1279=0),"",J1187/$G$1279*100)</f>
      </c>
      <c r="L1187" s="12" t="str">
        <f>IF(C1187-O1187&gt;0,C1187-O1187,"")</f>
        <v/>
      </c>
      <c r="M1187" s="14" t="str">
        <f>IF(L1187="","",F1187*L1187)</f>
        <v/>
      </c>
      <c r="N1187" s="15">
        <f>IF(OR(M1187="",$G$1279=0),"",M1187/$G$1279*100)</f>
      </c>
      <c r="O1187" s="12">
        <v>41.43</v>
      </c>
      <c r="P1187" s="14">
        <f>F1187*O1187</f>
        <v>797626.5177</v>
      </c>
      <c r="Q1187" s="15">
        <f>IF($P$1279=0,0,P1187/$P$1279*100)</f>
      </c>
      <c r="R1187" s="10" t="str">
        <f>IF(O1187=C1187,"TETAP",IF(C1187=0,"BARU",IF(O1187=0,"HAPUS",IF(O1187&gt;C1187,"TAMBAH","KURANG"))))</f>
        <v>TETAP</v>
      </c>
    </row>
    <row r="1188" spans="1:18" x14ac:dyDescent="0.25">
      <c r="A1188" s="10" t="s">
        <v>289</v>
      </c>
      <c r="B1188" s="18" t="s">
        <v>373</v>
      </c>
      <c r="C1188" s="12">
        <v>12.31</v>
      </c>
      <c r="D1188" s="12">
        <v>0</v>
      </c>
      <c r="E1188" s="10" t="s">
        <v>169</v>
      </c>
      <c r="F1188" s="14">
        <v>19252.39</v>
      </c>
      <c r="G1188" s="14">
        <f>F1188*C1188</f>
        <v>236996.9209</v>
      </c>
      <c r="H1188" s="15">
        <f>IF($G$1279=0,0,G1188/$G$1279*100)</f>
      </c>
      <c r="I1188" s="12" t="str">
        <f>IF(O1188-C1188&gt;0,O1188-C1188,"")</f>
        <v/>
      </c>
      <c r="J1188" s="14" t="str">
        <f>IF(I1188="","",F1188*I1188)</f>
        <v/>
      </c>
      <c r="K1188" s="15">
        <f>IF(OR(J1188="",$G$1279=0),"",J1188/$G$1279*100)</f>
      </c>
      <c r="L1188" s="12" t="str">
        <f>IF(C1188-O1188&gt;0,C1188-O1188,"")</f>
        <v/>
      </c>
      <c r="M1188" s="14" t="str">
        <f>IF(L1188="","",F1188*L1188)</f>
        <v/>
      </c>
      <c r="N1188" s="15">
        <f>IF(OR(M1188="",$G$1279=0),"",M1188/$G$1279*100)</f>
      </c>
      <c r="O1188" s="12">
        <v>12.31</v>
      </c>
      <c r="P1188" s="14">
        <f>F1188*O1188</f>
        <v>236996.9209</v>
      </c>
      <c r="Q1188" s="15">
        <f>IF($P$1279=0,0,P1188/$P$1279*100)</f>
      </c>
      <c r="R1188" s="10" t="str">
        <f>IF(O1188=C1188,"TETAP",IF(C1188=0,"BARU",IF(O1188=0,"HAPUS",IF(O1188&gt;C1188,"TAMBAH","KURANG"))))</f>
        <v>TETAP</v>
      </c>
    </row>
    <row r="1189" spans="1:18" x14ac:dyDescent="0.25">
      <c r="A1189" s="10" t="s">
        <v>290</v>
      </c>
      <c r="B1189" s="18" t="s">
        <v>392</v>
      </c>
      <c r="C1189" s="12">
        <v>0.4</v>
      </c>
      <c r="D1189" s="12">
        <v>0</v>
      </c>
      <c r="E1189" s="10" t="s">
        <v>159</v>
      </c>
      <c r="F1189" s="14">
        <v>1399567.05</v>
      </c>
      <c r="G1189" s="14">
        <f>F1189*C1189</f>
        <v>559826.8200000001</v>
      </c>
      <c r="H1189" s="15">
        <f>IF($G$1279=0,0,G1189/$G$1279*100)</f>
      </c>
      <c r="I1189" s="12" t="str">
        <f>IF(O1189-C1189&gt;0,O1189-C1189,"")</f>
        <v/>
      </c>
      <c r="J1189" s="14" t="str">
        <f>IF(I1189="","",F1189*I1189)</f>
        <v/>
      </c>
      <c r="K1189" s="15">
        <f>IF(OR(J1189="",$G$1279=0),"",J1189/$G$1279*100)</f>
      </c>
      <c r="L1189" s="12" t="str">
        <f>IF(C1189-O1189&gt;0,C1189-O1189,"")</f>
        <v/>
      </c>
      <c r="M1189" s="14" t="str">
        <f>IF(L1189="","",F1189*L1189)</f>
        <v/>
      </c>
      <c r="N1189" s="15">
        <f>IF(OR(M1189="",$G$1279=0),"",M1189/$G$1279*100)</f>
      </c>
      <c r="O1189" s="12">
        <v>0.4</v>
      </c>
      <c r="P1189" s="14">
        <f>F1189*O1189</f>
        <v>559826.8200000001</v>
      </c>
      <c r="Q1189" s="15">
        <f>IF($P$1279=0,0,P1189/$P$1279*100)</f>
      </c>
      <c r="R1189" s="10" t="str">
        <f>IF(O1189=C1189,"TETAP",IF(C1189=0,"BARU",IF(O1189=0,"HAPUS",IF(O1189&gt;C1189,"TAMBAH","KURANG"))))</f>
        <v>TETAP</v>
      </c>
    </row>
    <row r="1190" spans="1:18" x14ac:dyDescent="0.25">
      <c r="A1190" s="5" t="s">
        <v>115</v>
      </c>
      <c r="B1190" s="17" t="s">
        <v>375</v>
      </c>
      <c r="C1190" s="7"/>
      <c r="D1190" s="7"/>
      <c r="E1190" s="5"/>
      <c r="F1190" s="8"/>
      <c r="G1190" s="8"/>
      <c r="H1190" s="9"/>
      <c r="I1190" s="7"/>
      <c r="J1190" s="8"/>
      <c r="K1190" s="9"/>
      <c r="L1190" s="7"/>
      <c r="M1190" s="8"/>
      <c r="N1190" s="9"/>
      <c r="O1190" s="7"/>
      <c r="P1190" s="8"/>
      <c r="Q1190" s="9"/>
      <c r="R1190" s="5"/>
    </row>
    <row r="1191" spans="1:18" x14ac:dyDescent="0.25">
      <c r="A1191" s="10" t="s">
        <v>117</v>
      </c>
      <c r="B1191" s="18" t="s">
        <v>242</v>
      </c>
      <c r="C1191" s="12">
        <v>31.04</v>
      </c>
      <c r="D1191" s="12">
        <v>0</v>
      </c>
      <c r="E1191" s="10" t="s">
        <v>26</v>
      </c>
      <c r="F1191" s="14">
        <v>229284.3</v>
      </c>
      <c r="G1191" s="14">
        <f>F1191*C1191</f>
        <v>7116984.671999999</v>
      </c>
      <c r="H1191" s="15">
        <f>IF($G$1279=0,0,G1191/$G$1279*100)</f>
      </c>
      <c r="I1191" s="12" t="str">
        <f>IF(O1191-C1191&gt;0,O1191-C1191,"")</f>
        <v/>
      </c>
      <c r="J1191" s="14" t="str">
        <f>IF(I1191="","",F1191*I1191)</f>
        <v/>
      </c>
      <c r="K1191" s="15">
        <f>IF(OR(J1191="",$G$1279=0),"",J1191/$G$1279*100)</f>
      </c>
      <c r="L1191" s="12" t="str">
        <f>IF(C1191-O1191&gt;0,C1191-O1191,"")</f>
        <v/>
      </c>
      <c r="M1191" s="14" t="str">
        <f>IF(L1191="","",F1191*L1191)</f>
        <v/>
      </c>
      <c r="N1191" s="15">
        <f>IF(OR(M1191="",$G$1279=0),"",M1191/$G$1279*100)</f>
      </c>
      <c r="O1191" s="12">
        <v>31.04</v>
      </c>
      <c r="P1191" s="14">
        <f>F1191*O1191</f>
        <v>7116984.671999999</v>
      </c>
      <c r="Q1191" s="15">
        <f>IF($P$1279=0,0,P1191/$P$1279*100)</f>
      </c>
      <c r="R1191" s="10" t="str">
        <f>IF(O1191=C1191,"TETAP",IF(C1191=0,"BARU",IF(O1191=0,"HAPUS",IF(O1191&gt;C1191,"TAMBAH","KURANG"))))</f>
        <v>TETAP</v>
      </c>
    </row>
    <row r="1192" spans="1:18" x14ac:dyDescent="0.25">
      <c r="A1192" s="10" t="s">
        <v>120</v>
      </c>
      <c r="B1192" s="18" t="s">
        <v>372</v>
      </c>
      <c r="C1192" s="12">
        <v>162.95</v>
      </c>
      <c r="D1192" s="12">
        <v>0</v>
      </c>
      <c r="E1192" s="10" t="s">
        <v>169</v>
      </c>
      <c r="F1192" s="14">
        <v>19252.39</v>
      </c>
      <c r="G1192" s="14">
        <f>F1192*C1192</f>
        <v>3137176.9505</v>
      </c>
      <c r="H1192" s="15">
        <f>IF($G$1279=0,0,G1192/$G$1279*100)</f>
      </c>
      <c r="I1192" s="12" t="str">
        <f>IF(O1192-C1192&gt;0,O1192-C1192,"")</f>
        <v/>
      </c>
      <c r="J1192" s="14" t="str">
        <f>IF(I1192="","",F1192*I1192)</f>
        <v/>
      </c>
      <c r="K1192" s="15">
        <f>IF(OR(J1192="",$G$1279=0),"",J1192/$G$1279*100)</f>
      </c>
      <c r="L1192" s="12" t="str">
        <f>IF(C1192-O1192&gt;0,C1192-O1192,"")</f>
        <v/>
      </c>
      <c r="M1192" s="14" t="str">
        <f>IF(L1192="","",F1192*L1192)</f>
        <v/>
      </c>
      <c r="N1192" s="15">
        <f>IF(OR(M1192="",$G$1279=0),"",M1192/$G$1279*100)</f>
      </c>
      <c r="O1192" s="12">
        <v>162.95</v>
      </c>
      <c r="P1192" s="14">
        <f>F1192*O1192</f>
        <v>3137176.9505</v>
      </c>
      <c r="Q1192" s="15">
        <f>IF($P$1279=0,0,P1192/$P$1279*100)</f>
      </c>
      <c r="R1192" s="10" t="str">
        <f>IF(O1192=C1192,"TETAP",IF(C1192=0,"BARU",IF(O1192=0,"HAPUS",IF(O1192&gt;C1192,"TAMBAH","KURANG"))))</f>
        <v>TETAP</v>
      </c>
    </row>
    <row r="1193" spans="1:18" x14ac:dyDescent="0.25">
      <c r="A1193" s="10" t="s">
        <v>122</v>
      </c>
      <c r="B1193" s="18" t="s">
        <v>373</v>
      </c>
      <c r="C1193" s="12">
        <v>61.55</v>
      </c>
      <c r="D1193" s="12">
        <v>0</v>
      </c>
      <c r="E1193" s="10" t="s">
        <v>169</v>
      </c>
      <c r="F1193" s="14">
        <v>19252.39</v>
      </c>
      <c r="G1193" s="14">
        <f>F1193*C1193</f>
        <v>1184984.6045</v>
      </c>
      <c r="H1193" s="15">
        <f>IF($G$1279=0,0,G1193/$G$1279*100)</f>
      </c>
      <c r="I1193" s="12" t="str">
        <f>IF(O1193-C1193&gt;0,O1193-C1193,"")</f>
        <v/>
      </c>
      <c r="J1193" s="14" t="str">
        <f>IF(I1193="","",F1193*I1193)</f>
        <v/>
      </c>
      <c r="K1193" s="15">
        <f>IF(OR(J1193="",$G$1279=0),"",J1193/$G$1279*100)</f>
      </c>
      <c r="L1193" s="12" t="str">
        <f>IF(C1193-O1193&gt;0,C1193-O1193,"")</f>
        <v/>
      </c>
      <c r="M1193" s="14" t="str">
        <f>IF(L1193="","",F1193*L1193)</f>
        <v/>
      </c>
      <c r="N1193" s="15">
        <f>IF(OR(M1193="",$G$1279=0),"",M1193/$G$1279*100)</f>
      </c>
      <c r="O1193" s="12">
        <v>61.55</v>
      </c>
      <c r="P1193" s="14">
        <f>F1193*O1193</f>
        <v>1184984.6045</v>
      </c>
      <c r="Q1193" s="15">
        <f>IF($P$1279=0,0,P1193/$P$1279*100)</f>
      </c>
      <c r="R1193" s="10" t="str">
        <f>IF(O1193=C1193,"TETAP",IF(C1193=0,"BARU",IF(O1193=0,"HAPUS",IF(O1193&gt;C1193,"TAMBAH","KURANG"))))</f>
        <v>TETAP</v>
      </c>
    </row>
    <row r="1194" spans="1:18" x14ac:dyDescent="0.25">
      <c r="A1194" s="10" t="s">
        <v>124</v>
      </c>
      <c r="B1194" s="18" t="s">
        <v>392</v>
      </c>
      <c r="C1194" s="12">
        <v>1.94</v>
      </c>
      <c r="D1194" s="12">
        <v>0</v>
      </c>
      <c r="E1194" s="10" t="s">
        <v>159</v>
      </c>
      <c r="F1194" s="14">
        <v>1399567.05</v>
      </c>
      <c r="G1194" s="14">
        <f>F1194*C1194</f>
        <v>2715160.077</v>
      </c>
      <c r="H1194" s="15">
        <f>IF($G$1279=0,0,G1194/$G$1279*100)</f>
      </c>
      <c r="I1194" s="12" t="str">
        <f>IF(O1194-C1194&gt;0,O1194-C1194,"")</f>
        <v/>
      </c>
      <c r="J1194" s="14" t="str">
        <f>IF(I1194="","",F1194*I1194)</f>
        <v/>
      </c>
      <c r="K1194" s="15">
        <f>IF(OR(J1194="",$G$1279=0),"",J1194/$G$1279*100)</f>
      </c>
      <c r="L1194" s="12" t="str">
        <f>IF(C1194-O1194&gt;0,C1194-O1194,"")</f>
        <v/>
      </c>
      <c r="M1194" s="14" t="str">
        <f>IF(L1194="","",F1194*L1194)</f>
        <v/>
      </c>
      <c r="N1194" s="15">
        <f>IF(OR(M1194="",$G$1279=0),"",M1194/$G$1279*100)</f>
      </c>
      <c r="O1194" s="12">
        <v>1.94</v>
      </c>
      <c r="P1194" s="14">
        <f>F1194*O1194</f>
        <v>2715160.077</v>
      </c>
      <c r="Q1194" s="15">
        <f>IF($P$1279=0,0,P1194/$P$1279*100)</f>
      </c>
      <c r="R1194" s="10" t="str">
        <f>IF(O1194=C1194,"TETAP",IF(C1194=0,"BARU",IF(O1194=0,"HAPUS",IF(O1194&gt;C1194,"TAMBAH","KURANG"))))</f>
        <v>TETAP</v>
      </c>
    </row>
    <row r="1195" spans="1:18" x14ac:dyDescent="0.25">
      <c r="A1195" s="5" t="s">
        <v>132</v>
      </c>
      <c r="B1195" s="17" t="s">
        <v>493</v>
      </c>
      <c r="C1195" s="7"/>
      <c r="D1195" s="7"/>
      <c r="E1195" s="5"/>
      <c r="F1195" s="8"/>
      <c r="G1195" s="8"/>
      <c r="H1195" s="9"/>
      <c r="I1195" s="7"/>
      <c r="J1195" s="8"/>
      <c r="K1195" s="9"/>
      <c r="L1195" s="7"/>
      <c r="M1195" s="8"/>
      <c r="N1195" s="9"/>
      <c r="O1195" s="7"/>
      <c r="P1195" s="8"/>
      <c r="Q1195" s="9"/>
      <c r="R1195" s="5"/>
    </row>
    <row r="1196" spans="1:18" x14ac:dyDescent="0.25">
      <c r="A1196" s="10" t="s">
        <v>134</v>
      </c>
      <c r="B1196" s="18" t="s">
        <v>242</v>
      </c>
      <c r="C1196" s="12">
        <v>11.64</v>
      </c>
      <c r="D1196" s="12">
        <v>0</v>
      </c>
      <c r="E1196" s="10" t="s">
        <v>26</v>
      </c>
      <c r="F1196" s="14">
        <v>229284.3</v>
      </c>
      <c r="G1196" s="14">
        <f>F1196*C1196</f>
        <v>2668869.252</v>
      </c>
      <c r="H1196" s="15">
        <f>IF($G$1279=0,0,G1196/$G$1279*100)</f>
      </c>
      <c r="I1196" s="12" t="str">
        <f>IF(O1196-C1196&gt;0,O1196-C1196,"")</f>
        <v/>
      </c>
      <c r="J1196" s="14" t="str">
        <f>IF(I1196="","",F1196*I1196)</f>
        <v/>
      </c>
      <c r="K1196" s="15">
        <f>IF(OR(J1196="",$G$1279=0),"",J1196/$G$1279*100)</f>
      </c>
      <c r="L1196" s="12" t="str">
        <f>IF(C1196-O1196&gt;0,C1196-O1196,"")</f>
        <v/>
      </c>
      <c r="M1196" s="14" t="str">
        <f>IF(L1196="","",F1196*L1196)</f>
        <v/>
      </c>
      <c r="N1196" s="15">
        <f>IF(OR(M1196="",$G$1279=0),"",M1196/$G$1279*100)</f>
      </c>
      <c r="O1196" s="12">
        <v>11.64</v>
      </c>
      <c r="P1196" s="14">
        <f>F1196*O1196</f>
        <v>2668869.252</v>
      </c>
      <c r="Q1196" s="15">
        <f>IF($P$1279=0,0,P1196/$P$1279*100)</f>
      </c>
      <c r="R1196" s="10" t="str">
        <f>IF(O1196=C1196,"TETAP",IF(C1196=0,"BARU",IF(O1196=0,"HAPUS",IF(O1196&gt;C1196,"TAMBAH","KURANG"))))</f>
        <v>TETAP</v>
      </c>
    </row>
    <row r="1197" spans="1:18" x14ac:dyDescent="0.25">
      <c r="A1197" s="10" t="s">
        <v>136</v>
      </c>
      <c r="B1197" s="18" t="s">
        <v>380</v>
      </c>
      <c r="C1197" s="12">
        <v>50.92</v>
      </c>
      <c r="D1197" s="12">
        <v>0</v>
      </c>
      <c r="E1197" s="10" t="s">
        <v>169</v>
      </c>
      <c r="F1197" s="14">
        <v>19252.39</v>
      </c>
      <c r="G1197" s="14">
        <f>F1197*C1197</f>
        <v>980331.6988</v>
      </c>
      <c r="H1197" s="15">
        <f>IF($G$1279=0,0,G1197/$G$1279*100)</f>
      </c>
      <c r="I1197" s="12" t="str">
        <f>IF(O1197-C1197&gt;0,O1197-C1197,"")</f>
        <v/>
      </c>
      <c r="J1197" s="14" t="str">
        <f>IF(I1197="","",F1197*I1197)</f>
        <v/>
      </c>
      <c r="K1197" s="15">
        <f>IF(OR(J1197="",$G$1279=0),"",J1197/$G$1279*100)</f>
      </c>
      <c r="L1197" s="12" t="str">
        <f>IF(C1197-O1197&gt;0,C1197-O1197,"")</f>
        <v/>
      </c>
      <c r="M1197" s="14" t="str">
        <f>IF(L1197="","",F1197*L1197)</f>
        <v/>
      </c>
      <c r="N1197" s="15">
        <f>IF(OR(M1197="",$G$1279=0),"",M1197/$G$1279*100)</f>
      </c>
      <c r="O1197" s="12">
        <v>50.92</v>
      </c>
      <c r="P1197" s="14">
        <f>F1197*O1197</f>
        <v>980331.6988</v>
      </c>
      <c r="Q1197" s="15">
        <f>IF($P$1279=0,0,P1197/$P$1279*100)</f>
      </c>
      <c r="R1197" s="10" t="str">
        <f>IF(O1197=C1197,"TETAP",IF(C1197=0,"BARU",IF(O1197=0,"HAPUS",IF(O1197&gt;C1197,"TAMBAH","KURANG"))))</f>
        <v>TETAP</v>
      </c>
    </row>
    <row r="1198" spans="1:18" x14ac:dyDescent="0.25">
      <c r="A1198" s="10" t="s">
        <v>381</v>
      </c>
      <c r="B1198" s="18" t="s">
        <v>373</v>
      </c>
      <c r="C1198" s="12">
        <v>47.7</v>
      </c>
      <c r="D1198" s="12">
        <v>0</v>
      </c>
      <c r="E1198" s="10" t="s">
        <v>169</v>
      </c>
      <c r="F1198" s="14">
        <v>19252.39</v>
      </c>
      <c r="G1198" s="14">
        <f>F1198*C1198</f>
        <v>918339.003</v>
      </c>
      <c r="H1198" s="15">
        <f>IF($G$1279=0,0,G1198/$G$1279*100)</f>
      </c>
      <c r="I1198" s="12" t="str">
        <f>IF(O1198-C1198&gt;0,O1198-C1198,"")</f>
        <v/>
      </c>
      <c r="J1198" s="14" t="str">
        <f>IF(I1198="","",F1198*I1198)</f>
        <v/>
      </c>
      <c r="K1198" s="15">
        <f>IF(OR(J1198="",$G$1279=0),"",J1198/$G$1279*100)</f>
      </c>
      <c r="L1198" s="12" t="str">
        <f>IF(C1198-O1198&gt;0,C1198-O1198,"")</f>
        <v/>
      </c>
      <c r="M1198" s="14" t="str">
        <f>IF(L1198="","",F1198*L1198)</f>
        <v/>
      </c>
      <c r="N1198" s="15">
        <f>IF(OR(M1198="",$G$1279=0),"",M1198/$G$1279*100)</f>
      </c>
      <c r="O1198" s="12">
        <v>47.7</v>
      </c>
      <c r="P1198" s="14">
        <f>F1198*O1198</f>
        <v>918339.003</v>
      </c>
      <c r="Q1198" s="15">
        <f>IF($P$1279=0,0,P1198/$P$1279*100)</f>
      </c>
      <c r="R1198" s="10" t="str">
        <f>IF(O1198=C1198,"TETAP",IF(C1198=0,"BARU",IF(O1198=0,"HAPUS",IF(O1198&gt;C1198,"TAMBAH","KURANG"))))</f>
        <v>TETAP</v>
      </c>
    </row>
    <row r="1199" spans="1:18" x14ac:dyDescent="0.25">
      <c r="A1199" s="10" t="s">
        <v>382</v>
      </c>
      <c r="B1199" s="18" t="s">
        <v>392</v>
      </c>
      <c r="C1199" s="12">
        <v>0.44</v>
      </c>
      <c r="D1199" s="12">
        <v>0</v>
      </c>
      <c r="E1199" s="10" t="s">
        <v>159</v>
      </c>
      <c r="F1199" s="14">
        <v>1399567.05</v>
      </c>
      <c r="G1199" s="14">
        <f>F1199*C1199</f>
        <v>615809.502</v>
      </c>
      <c r="H1199" s="15">
        <f>IF($G$1279=0,0,G1199/$G$1279*100)</f>
      </c>
      <c r="I1199" s="12" t="str">
        <f>IF(O1199-C1199&gt;0,O1199-C1199,"")</f>
        <v/>
      </c>
      <c r="J1199" s="14" t="str">
        <f>IF(I1199="","",F1199*I1199)</f>
        <v/>
      </c>
      <c r="K1199" s="15">
        <f>IF(OR(J1199="",$G$1279=0),"",J1199/$G$1279*100)</f>
      </c>
      <c r="L1199" s="12" t="str">
        <f>IF(C1199-O1199&gt;0,C1199-O1199,"")</f>
        <v/>
      </c>
      <c r="M1199" s="14" t="str">
        <f>IF(L1199="","",F1199*L1199)</f>
        <v/>
      </c>
      <c r="N1199" s="15">
        <f>IF(OR(M1199="",$G$1279=0),"",M1199/$G$1279*100)</f>
      </c>
      <c r="O1199" s="12">
        <v>0.44</v>
      </c>
      <c r="P1199" s="14">
        <f>F1199*O1199</f>
        <v>615809.502</v>
      </c>
      <c r="Q1199" s="15">
        <f>IF($P$1279=0,0,P1199/$P$1279*100)</f>
      </c>
      <c r="R1199" s="10" t="str">
        <f>IF(O1199=C1199,"TETAP",IF(C1199=0,"BARU",IF(O1199=0,"HAPUS",IF(O1199&gt;C1199,"TAMBAH","KURANG"))))</f>
        <v>TETAP</v>
      </c>
    </row>
    <row r="1200" spans="1:18" x14ac:dyDescent="0.25">
      <c r="A1200" s="5" t="s">
        <v>138</v>
      </c>
      <c r="B1200" s="17" t="s">
        <v>376</v>
      </c>
      <c r="C1200" s="7"/>
      <c r="D1200" s="7"/>
      <c r="E1200" s="5"/>
      <c r="F1200" s="8"/>
      <c r="G1200" s="8"/>
      <c r="H1200" s="9"/>
      <c r="I1200" s="7"/>
      <c r="J1200" s="8"/>
      <c r="K1200" s="9"/>
      <c r="L1200" s="7"/>
      <c r="M1200" s="8"/>
      <c r="N1200" s="9"/>
      <c r="O1200" s="7"/>
      <c r="P1200" s="8"/>
      <c r="Q1200" s="9"/>
      <c r="R1200" s="5"/>
    </row>
    <row r="1201" spans="1:18" x14ac:dyDescent="0.25">
      <c r="A1201" s="10" t="s">
        <v>140</v>
      </c>
      <c r="B1201" s="18" t="s">
        <v>252</v>
      </c>
      <c r="C1201" s="12">
        <v>32.4</v>
      </c>
      <c r="D1201" s="12">
        <v>0</v>
      </c>
      <c r="E1201" s="10" t="s">
        <v>26</v>
      </c>
      <c r="F1201" s="14">
        <v>236600.08</v>
      </c>
      <c r="G1201" s="14">
        <f>F1201*C1201</f>
        <v>7665842.591999999</v>
      </c>
      <c r="H1201" s="15">
        <f>IF($G$1279=0,0,G1201/$G$1279*100)</f>
      </c>
      <c r="I1201" s="12" t="str">
        <f>IF(O1201-C1201&gt;0,O1201-C1201,"")</f>
        <v/>
      </c>
      <c r="J1201" s="14" t="str">
        <f>IF(I1201="","",F1201*I1201)</f>
        <v/>
      </c>
      <c r="K1201" s="15">
        <f>IF(OR(J1201="",$G$1279=0),"",J1201/$G$1279*100)</f>
      </c>
      <c r="L1201" s="12" t="str">
        <f>IF(C1201-O1201&gt;0,C1201-O1201,"")</f>
        <v/>
      </c>
      <c r="M1201" s="14" t="str">
        <f>IF(L1201="","",F1201*L1201)</f>
        <v/>
      </c>
      <c r="N1201" s="15">
        <f>IF(OR(M1201="",$G$1279=0),"",M1201/$G$1279*100)</f>
      </c>
      <c r="O1201" s="12">
        <v>32.4</v>
      </c>
      <c r="P1201" s="14">
        <f>F1201*O1201</f>
        <v>7665842.591999999</v>
      </c>
      <c r="Q1201" s="15">
        <f>IF($P$1279=0,0,P1201/$P$1279*100)</f>
      </c>
      <c r="R1201" s="10" t="str">
        <f>IF(O1201=C1201,"TETAP",IF(C1201=0,"BARU",IF(O1201=0,"HAPUS",IF(O1201&gt;C1201,"TAMBAH","KURANG"))))</f>
        <v>TETAP</v>
      </c>
    </row>
    <row r="1202" spans="1:18" x14ac:dyDescent="0.25">
      <c r="A1202" s="10" t="s">
        <v>142</v>
      </c>
      <c r="B1202" s="18" t="s">
        <v>363</v>
      </c>
      <c r="C1202" s="12">
        <v>110.97</v>
      </c>
      <c r="D1202" s="12">
        <v>0</v>
      </c>
      <c r="E1202" s="10" t="s">
        <v>169</v>
      </c>
      <c r="F1202" s="14">
        <v>19252.39</v>
      </c>
      <c r="G1202" s="14">
        <f>F1202*C1202</f>
        <v>2136437.7183</v>
      </c>
      <c r="H1202" s="15">
        <f>IF($G$1279=0,0,G1202/$G$1279*100)</f>
      </c>
      <c r="I1202" s="12" t="str">
        <f>IF(O1202-C1202&gt;0,O1202-C1202,"")</f>
        <v/>
      </c>
      <c r="J1202" s="14" t="str">
        <f>IF(I1202="","",F1202*I1202)</f>
        <v/>
      </c>
      <c r="K1202" s="15">
        <f>IF(OR(J1202="",$G$1279=0),"",J1202/$G$1279*100)</f>
      </c>
      <c r="L1202" s="12" t="str">
        <f>IF(C1202-O1202&gt;0,C1202-O1202,"")</f>
        <v/>
      </c>
      <c r="M1202" s="14" t="str">
        <f>IF(L1202="","",F1202*L1202)</f>
        <v/>
      </c>
      <c r="N1202" s="15">
        <f>IF(OR(M1202="",$G$1279=0),"",M1202/$G$1279*100)</f>
      </c>
      <c r="O1202" s="12">
        <v>110.97</v>
      </c>
      <c r="P1202" s="14">
        <f>F1202*O1202</f>
        <v>2136437.7183</v>
      </c>
      <c r="Q1202" s="15">
        <f>IF($P$1279=0,0,P1202/$P$1279*100)</f>
      </c>
      <c r="R1202" s="10" t="str">
        <f>IF(O1202=C1202,"TETAP",IF(C1202=0,"BARU",IF(O1202=0,"HAPUS",IF(O1202&gt;C1202,"TAMBAH","KURANG"))))</f>
        <v>TETAP</v>
      </c>
    </row>
    <row r="1203" spans="1:18" x14ac:dyDescent="0.25">
      <c r="A1203" s="10" t="s">
        <v>512</v>
      </c>
      <c r="B1203" s="18" t="s">
        <v>364</v>
      </c>
      <c r="C1203" s="12">
        <v>100</v>
      </c>
      <c r="D1203" s="12">
        <v>0</v>
      </c>
      <c r="E1203" s="10" t="s">
        <v>169</v>
      </c>
      <c r="F1203" s="14">
        <v>19252.39</v>
      </c>
      <c r="G1203" s="14">
        <f>F1203*C1203</f>
        <v>1925239</v>
      </c>
      <c r="H1203" s="15">
        <f>IF($G$1279=0,0,G1203/$G$1279*100)</f>
      </c>
      <c r="I1203" s="12" t="str">
        <f>IF(O1203-C1203&gt;0,O1203-C1203,"")</f>
        <v/>
      </c>
      <c r="J1203" s="14" t="str">
        <f>IF(I1203="","",F1203*I1203)</f>
        <v/>
      </c>
      <c r="K1203" s="15">
        <f>IF(OR(J1203="",$G$1279=0),"",J1203/$G$1279*100)</f>
      </c>
      <c r="L1203" s="12" t="str">
        <f>IF(C1203-O1203&gt;0,C1203-O1203,"")</f>
        <v/>
      </c>
      <c r="M1203" s="14" t="str">
        <f>IF(L1203="","",F1203*L1203)</f>
        <v/>
      </c>
      <c r="N1203" s="15">
        <f>IF(OR(M1203="",$G$1279=0),"",M1203/$G$1279*100)</f>
      </c>
      <c r="O1203" s="12">
        <v>100</v>
      </c>
      <c r="P1203" s="14">
        <f>F1203*O1203</f>
        <v>1925239</v>
      </c>
      <c r="Q1203" s="15">
        <f>IF($P$1279=0,0,P1203/$P$1279*100)</f>
      </c>
      <c r="R1203" s="10" t="str">
        <f>IF(O1203=C1203,"TETAP",IF(C1203=0,"BARU",IF(O1203=0,"HAPUS",IF(O1203&gt;C1203,"TAMBAH","KURANG"))))</f>
        <v>TETAP</v>
      </c>
    </row>
    <row r="1204" spans="1:18" x14ac:dyDescent="0.25">
      <c r="A1204" s="10" t="s">
        <v>514</v>
      </c>
      <c r="B1204" s="18" t="s">
        <v>392</v>
      </c>
      <c r="C1204" s="12">
        <v>2.52</v>
      </c>
      <c r="D1204" s="12">
        <v>0</v>
      </c>
      <c r="E1204" s="10" t="s">
        <v>159</v>
      </c>
      <c r="F1204" s="14">
        <v>1399567.05</v>
      </c>
      <c r="G1204" s="14">
        <f>F1204*C1204</f>
        <v>3526908.966</v>
      </c>
      <c r="H1204" s="15">
        <f>IF($G$1279=0,0,G1204/$G$1279*100)</f>
      </c>
      <c r="I1204" s="12" t="str">
        <f>IF(O1204-C1204&gt;0,O1204-C1204,"")</f>
        <v/>
      </c>
      <c r="J1204" s="14" t="str">
        <f>IF(I1204="","",F1204*I1204)</f>
        <v/>
      </c>
      <c r="K1204" s="15">
        <f>IF(OR(J1204="",$G$1279=0),"",J1204/$G$1279*100)</f>
      </c>
      <c r="L1204" s="12" t="str">
        <f>IF(C1204-O1204&gt;0,C1204-O1204,"")</f>
        <v/>
      </c>
      <c r="M1204" s="14" t="str">
        <f>IF(L1204="","",F1204*L1204)</f>
        <v/>
      </c>
      <c r="N1204" s="15">
        <f>IF(OR(M1204="",$G$1279=0),"",M1204/$G$1279*100)</f>
      </c>
      <c r="O1204" s="12">
        <v>2.52</v>
      </c>
      <c r="P1204" s="14">
        <f>F1204*O1204</f>
        <v>3526908.966</v>
      </c>
      <c r="Q1204" s="15">
        <f>IF($P$1279=0,0,P1204/$P$1279*100)</f>
      </c>
      <c r="R1204" s="10" t="str">
        <f>IF(O1204=C1204,"TETAP",IF(C1204=0,"BARU",IF(O1204=0,"HAPUS",IF(O1204&gt;C1204,"TAMBAH","KURANG"))))</f>
        <v>TETAP</v>
      </c>
    </row>
    <row r="1205" spans="1:18" x14ac:dyDescent="0.25">
      <c r="A1205" s="5" t="s">
        <v>144</v>
      </c>
      <c r="B1205" s="17" t="s">
        <v>378</v>
      </c>
      <c r="C1205" s="7"/>
      <c r="D1205" s="7"/>
      <c r="E1205" s="5"/>
      <c r="F1205" s="8"/>
      <c r="G1205" s="8"/>
      <c r="H1205" s="9"/>
      <c r="I1205" s="7"/>
      <c r="J1205" s="8"/>
      <c r="K1205" s="9"/>
      <c r="L1205" s="7"/>
      <c r="M1205" s="8"/>
      <c r="N1205" s="9"/>
      <c r="O1205" s="7"/>
      <c r="P1205" s="8"/>
      <c r="Q1205" s="9"/>
      <c r="R1205" s="5"/>
    </row>
    <row r="1206" spans="1:18" x14ac:dyDescent="0.25">
      <c r="A1206" s="10" t="s">
        <v>146</v>
      </c>
      <c r="B1206" s="18" t="s">
        <v>252</v>
      </c>
      <c r="C1206" s="12">
        <v>21.6</v>
      </c>
      <c r="D1206" s="12">
        <v>0</v>
      </c>
      <c r="E1206" s="10" t="s">
        <v>26</v>
      </c>
      <c r="F1206" s="14">
        <v>236600.08</v>
      </c>
      <c r="G1206" s="14">
        <f>F1206*C1206</f>
        <v>5110561.728</v>
      </c>
      <c r="H1206" s="15">
        <f>IF($G$1279=0,0,G1206/$G$1279*100)</f>
      </c>
      <c r="I1206" s="12" t="str">
        <f>IF(O1206-C1206&gt;0,O1206-C1206,"")</f>
        <v/>
      </c>
      <c r="J1206" s="14" t="str">
        <f>IF(I1206="","",F1206*I1206)</f>
        <v/>
      </c>
      <c r="K1206" s="15">
        <f>IF(OR(J1206="",$G$1279=0),"",J1206/$G$1279*100)</f>
      </c>
      <c r="L1206" s="12" t="str">
        <f>IF(C1206-O1206&gt;0,C1206-O1206,"")</f>
        <v/>
      </c>
      <c r="M1206" s="14" t="str">
        <f>IF(L1206="","",F1206*L1206)</f>
        <v/>
      </c>
      <c r="N1206" s="15">
        <f>IF(OR(M1206="",$G$1279=0),"",M1206/$G$1279*100)</f>
      </c>
      <c r="O1206" s="12">
        <v>21.6</v>
      </c>
      <c r="P1206" s="14">
        <f>F1206*O1206</f>
        <v>5110561.728</v>
      </c>
      <c r="Q1206" s="15">
        <f>IF($P$1279=0,0,P1206/$P$1279*100)</f>
      </c>
      <c r="R1206" s="10" t="str">
        <f>IF(O1206=C1206,"TETAP",IF(C1206=0,"BARU",IF(O1206=0,"HAPUS",IF(O1206&gt;C1206,"TAMBAH","KURANG"))))</f>
        <v>TETAP</v>
      </c>
    </row>
    <row r="1207" spans="1:18" x14ac:dyDescent="0.25">
      <c r="A1207" s="10" t="s">
        <v>148</v>
      </c>
      <c r="B1207" s="18" t="s">
        <v>363</v>
      </c>
      <c r="C1207" s="12">
        <v>73.98</v>
      </c>
      <c r="D1207" s="12">
        <v>0</v>
      </c>
      <c r="E1207" s="10" t="s">
        <v>169</v>
      </c>
      <c r="F1207" s="14">
        <v>19252.39</v>
      </c>
      <c r="G1207" s="14">
        <f>F1207*C1207</f>
        <v>1424291.8122</v>
      </c>
      <c r="H1207" s="15">
        <f>IF($G$1279=0,0,G1207/$G$1279*100)</f>
      </c>
      <c r="I1207" s="12" t="str">
        <f>IF(O1207-C1207&gt;0,O1207-C1207,"")</f>
        <v/>
      </c>
      <c r="J1207" s="14" t="str">
        <f>IF(I1207="","",F1207*I1207)</f>
        <v/>
      </c>
      <c r="K1207" s="15">
        <f>IF(OR(J1207="",$G$1279=0),"",J1207/$G$1279*100)</f>
      </c>
      <c r="L1207" s="12" t="str">
        <f>IF(C1207-O1207&gt;0,C1207-O1207,"")</f>
        <v/>
      </c>
      <c r="M1207" s="14" t="str">
        <f>IF(L1207="","",F1207*L1207)</f>
        <v/>
      </c>
      <c r="N1207" s="15">
        <f>IF(OR(M1207="",$G$1279=0),"",M1207/$G$1279*100)</f>
      </c>
      <c r="O1207" s="12">
        <v>73.98</v>
      </c>
      <c r="P1207" s="14">
        <f>F1207*O1207</f>
        <v>1424291.8122</v>
      </c>
      <c r="Q1207" s="15">
        <f>IF($P$1279=0,0,P1207/$P$1279*100)</f>
      </c>
      <c r="R1207" s="10" t="str">
        <f>IF(O1207=C1207,"TETAP",IF(C1207=0,"BARU",IF(O1207=0,"HAPUS",IF(O1207&gt;C1207,"TAMBAH","KURANG"))))</f>
        <v>TETAP</v>
      </c>
    </row>
    <row r="1208" spans="1:18" x14ac:dyDescent="0.25">
      <c r="A1208" s="10" t="s">
        <v>496</v>
      </c>
      <c r="B1208" s="18" t="s">
        <v>364</v>
      </c>
      <c r="C1208" s="12">
        <v>66.66</v>
      </c>
      <c r="D1208" s="12">
        <v>0</v>
      </c>
      <c r="E1208" s="10" t="s">
        <v>169</v>
      </c>
      <c r="F1208" s="14">
        <v>19252.39</v>
      </c>
      <c r="G1208" s="14">
        <f>F1208*C1208</f>
        <v>1283364.3173999998</v>
      </c>
      <c r="H1208" s="15">
        <f>IF($G$1279=0,0,G1208/$G$1279*100)</f>
      </c>
      <c r="I1208" s="12" t="str">
        <f>IF(O1208-C1208&gt;0,O1208-C1208,"")</f>
        <v/>
      </c>
      <c r="J1208" s="14" t="str">
        <f>IF(I1208="","",F1208*I1208)</f>
        <v/>
      </c>
      <c r="K1208" s="15">
        <f>IF(OR(J1208="",$G$1279=0),"",J1208/$G$1279*100)</f>
      </c>
      <c r="L1208" s="12" t="str">
        <f>IF(C1208-O1208&gt;0,C1208-O1208,"")</f>
        <v/>
      </c>
      <c r="M1208" s="14" t="str">
        <f>IF(L1208="","",F1208*L1208)</f>
        <v/>
      </c>
      <c r="N1208" s="15">
        <f>IF(OR(M1208="",$G$1279=0),"",M1208/$G$1279*100)</f>
      </c>
      <c r="O1208" s="12">
        <v>66.66</v>
      </c>
      <c r="P1208" s="14">
        <f>F1208*O1208</f>
        <v>1283364.3173999998</v>
      </c>
      <c r="Q1208" s="15">
        <f>IF($P$1279=0,0,P1208/$P$1279*100)</f>
      </c>
      <c r="R1208" s="10" t="str">
        <f>IF(O1208=C1208,"TETAP",IF(C1208=0,"BARU",IF(O1208=0,"HAPUS",IF(O1208&gt;C1208,"TAMBAH","KURANG"))))</f>
        <v>TETAP</v>
      </c>
    </row>
    <row r="1209" spans="1:18" x14ac:dyDescent="0.25">
      <c r="A1209" s="10" t="s">
        <v>497</v>
      </c>
      <c r="B1209" s="18" t="s">
        <v>392</v>
      </c>
      <c r="C1209" s="12">
        <v>1.68</v>
      </c>
      <c r="D1209" s="12">
        <v>0</v>
      </c>
      <c r="E1209" s="10" t="s">
        <v>159</v>
      </c>
      <c r="F1209" s="14">
        <v>1399567.05</v>
      </c>
      <c r="G1209" s="14">
        <f>F1209*C1209</f>
        <v>2351272.644</v>
      </c>
      <c r="H1209" s="15">
        <f>IF($G$1279=0,0,G1209/$G$1279*100)</f>
      </c>
      <c r="I1209" s="12" t="str">
        <f>IF(O1209-C1209&gt;0,O1209-C1209,"")</f>
        <v/>
      </c>
      <c r="J1209" s="14" t="str">
        <f>IF(I1209="","",F1209*I1209)</f>
        <v/>
      </c>
      <c r="K1209" s="15">
        <f>IF(OR(J1209="",$G$1279=0),"",J1209/$G$1279*100)</f>
      </c>
      <c r="L1209" s="12" t="str">
        <f>IF(C1209-O1209&gt;0,C1209-O1209,"")</f>
        <v/>
      </c>
      <c r="M1209" s="14" t="str">
        <f>IF(L1209="","",F1209*L1209)</f>
        <v/>
      </c>
      <c r="N1209" s="15">
        <f>IF(OR(M1209="",$G$1279=0),"",M1209/$G$1279*100)</f>
      </c>
      <c r="O1209" s="12">
        <v>1.68</v>
      </c>
      <c r="P1209" s="14">
        <f>F1209*O1209</f>
        <v>2351272.644</v>
      </c>
      <c r="Q1209" s="15">
        <f>IF($P$1279=0,0,P1209/$P$1279*100)</f>
      </c>
      <c r="R1209" s="10" t="str">
        <f>IF(O1209=C1209,"TETAP",IF(C1209=0,"BARU",IF(O1209=0,"HAPUS",IF(O1209&gt;C1209,"TAMBAH","KURANG"))))</f>
        <v>TETAP</v>
      </c>
    </row>
    <row r="1210" spans="1:18" x14ac:dyDescent="0.25">
      <c r="A1210" s="5" t="s">
        <v>150</v>
      </c>
      <c r="B1210" s="17" t="s">
        <v>796</v>
      </c>
      <c r="C1210" s="7"/>
      <c r="D1210" s="7"/>
      <c r="E1210" s="5"/>
      <c r="F1210" s="8"/>
      <c r="G1210" s="8"/>
      <c r="H1210" s="9"/>
      <c r="I1210" s="7"/>
      <c r="J1210" s="8"/>
      <c r="K1210" s="9"/>
      <c r="L1210" s="7"/>
      <c r="M1210" s="8"/>
      <c r="N1210" s="9"/>
      <c r="O1210" s="7"/>
      <c r="P1210" s="8"/>
      <c r="Q1210" s="9"/>
      <c r="R1210" s="5"/>
    </row>
    <row r="1211" spans="1:18" x14ac:dyDescent="0.25">
      <c r="A1211" s="10" t="s">
        <v>516</v>
      </c>
      <c r="B1211" s="18" t="s">
        <v>252</v>
      </c>
      <c r="C1211" s="12">
        <v>3.3</v>
      </c>
      <c r="D1211" s="12">
        <v>0</v>
      </c>
      <c r="E1211" s="10" t="s">
        <v>26</v>
      </c>
      <c r="F1211" s="14">
        <v>236600.08</v>
      </c>
      <c r="G1211" s="14">
        <f>F1211*C1211</f>
        <v>780780.264</v>
      </c>
      <c r="H1211" s="15">
        <f>IF($G$1279=0,0,G1211/$G$1279*100)</f>
      </c>
      <c r="I1211" s="12" t="str">
        <f>IF(O1211-C1211&gt;0,O1211-C1211,"")</f>
        <v/>
      </c>
      <c r="J1211" s="14" t="str">
        <f>IF(I1211="","",F1211*I1211)</f>
        <v/>
      </c>
      <c r="K1211" s="15">
        <f>IF(OR(J1211="",$G$1279=0),"",J1211/$G$1279*100)</f>
      </c>
      <c r="L1211" s="12" t="str">
        <f>IF(C1211-O1211&gt;0,C1211-O1211,"")</f>
        <v/>
      </c>
      <c r="M1211" s="14" t="str">
        <f>IF(L1211="","",F1211*L1211)</f>
        <v/>
      </c>
      <c r="N1211" s="15">
        <f>IF(OR(M1211="",$G$1279=0),"",M1211/$G$1279*100)</f>
      </c>
      <c r="O1211" s="12">
        <v>3.3</v>
      </c>
      <c r="P1211" s="14">
        <f>F1211*O1211</f>
        <v>780780.264</v>
      </c>
      <c r="Q1211" s="15">
        <f>IF($P$1279=0,0,P1211/$P$1279*100)</f>
      </c>
      <c r="R1211" s="10" t="str">
        <f>IF(O1211=C1211,"TETAP",IF(C1211=0,"BARU",IF(O1211=0,"HAPUS",IF(O1211&gt;C1211,"TAMBAH","KURANG"))))</f>
        <v>TETAP</v>
      </c>
    </row>
    <row r="1212" spans="1:18" x14ac:dyDescent="0.25">
      <c r="A1212" s="10" t="s">
        <v>526</v>
      </c>
      <c r="B1212" s="18" t="s">
        <v>380</v>
      </c>
      <c r="C1212" s="12">
        <v>14.8</v>
      </c>
      <c r="D1212" s="12">
        <v>0</v>
      </c>
      <c r="E1212" s="10" t="s">
        <v>169</v>
      </c>
      <c r="F1212" s="14">
        <v>19252.39</v>
      </c>
      <c r="G1212" s="14">
        <f>F1212*C1212</f>
        <v>284935.37200000003</v>
      </c>
      <c r="H1212" s="15">
        <f>IF($G$1279=0,0,G1212/$G$1279*100)</f>
      </c>
      <c r="I1212" s="12" t="str">
        <f>IF(O1212-C1212&gt;0,O1212-C1212,"")</f>
        <v/>
      </c>
      <c r="J1212" s="14" t="str">
        <f>IF(I1212="","",F1212*I1212)</f>
        <v/>
      </c>
      <c r="K1212" s="15">
        <f>IF(OR(J1212="",$G$1279=0),"",J1212/$G$1279*100)</f>
      </c>
      <c r="L1212" s="12" t="str">
        <f>IF(C1212-O1212&gt;0,C1212-O1212,"")</f>
        <v/>
      </c>
      <c r="M1212" s="14" t="str">
        <f>IF(L1212="","",F1212*L1212)</f>
        <v/>
      </c>
      <c r="N1212" s="15">
        <f>IF(OR(M1212="",$G$1279=0),"",M1212/$G$1279*100)</f>
      </c>
      <c r="O1212" s="12">
        <v>14.8</v>
      </c>
      <c r="P1212" s="14">
        <f>F1212*O1212</f>
        <v>284935.37200000003</v>
      </c>
      <c r="Q1212" s="15">
        <f>IF($P$1279=0,0,P1212/$P$1279*100)</f>
      </c>
      <c r="R1212" s="10" t="str">
        <f>IF(O1212=C1212,"TETAP",IF(C1212=0,"BARU",IF(O1212=0,"HAPUS",IF(O1212&gt;C1212,"TAMBAH","KURANG"))))</f>
        <v>TETAP</v>
      </c>
    </row>
    <row r="1213" spans="1:18" x14ac:dyDescent="0.25">
      <c r="A1213" s="10" t="s">
        <v>528</v>
      </c>
      <c r="B1213" s="18" t="s">
        <v>364</v>
      </c>
      <c r="C1213" s="12">
        <v>9.47</v>
      </c>
      <c r="D1213" s="12">
        <v>0</v>
      </c>
      <c r="E1213" s="10" t="s">
        <v>169</v>
      </c>
      <c r="F1213" s="14">
        <v>19252.39</v>
      </c>
      <c r="G1213" s="14">
        <f>F1213*C1213</f>
        <v>182320.13330000002</v>
      </c>
      <c r="H1213" s="15">
        <f>IF($G$1279=0,0,G1213/$G$1279*100)</f>
      </c>
      <c r="I1213" s="12" t="str">
        <f>IF(O1213-C1213&gt;0,O1213-C1213,"")</f>
        <v/>
      </c>
      <c r="J1213" s="14" t="str">
        <f>IF(I1213="","",F1213*I1213)</f>
        <v/>
      </c>
      <c r="K1213" s="15">
        <f>IF(OR(J1213="",$G$1279=0),"",J1213/$G$1279*100)</f>
      </c>
      <c r="L1213" s="12" t="str">
        <f>IF(C1213-O1213&gt;0,C1213-O1213,"")</f>
        <v/>
      </c>
      <c r="M1213" s="14" t="str">
        <f>IF(L1213="","",F1213*L1213)</f>
        <v/>
      </c>
      <c r="N1213" s="15">
        <f>IF(OR(M1213="",$G$1279=0),"",M1213/$G$1279*100)</f>
      </c>
      <c r="O1213" s="12">
        <v>9.47</v>
      </c>
      <c r="P1213" s="14">
        <f>F1213*O1213</f>
        <v>182320.13330000002</v>
      </c>
      <c r="Q1213" s="15">
        <f>IF($P$1279=0,0,P1213/$P$1279*100)</f>
      </c>
      <c r="R1213" s="10" t="str">
        <f>IF(O1213=C1213,"TETAP",IF(C1213=0,"BARU",IF(O1213=0,"HAPUS",IF(O1213&gt;C1213,"TAMBAH","KURANG"))))</f>
        <v>TETAP</v>
      </c>
    </row>
    <row r="1214" spans="1:18" x14ac:dyDescent="0.25">
      <c r="A1214" s="10" t="s">
        <v>807</v>
      </c>
      <c r="B1214" s="18" t="s">
        <v>392</v>
      </c>
      <c r="C1214" s="12">
        <v>0.18</v>
      </c>
      <c r="D1214" s="12">
        <v>0</v>
      </c>
      <c r="E1214" s="10" t="s">
        <v>159</v>
      </c>
      <c r="F1214" s="14">
        <v>1399567.05</v>
      </c>
      <c r="G1214" s="14">
        <f>F1214*C1214</f>
        <v>251922.069</v>
      </c>
      <c r="H1214" s="15">
        <f>IF($G$1279=0,0,G1214/$G$1279*100)</f>
      </c>
      <c r="I1214" s="12" t="str">
        <f>IF(O1214-C1214&gt;0,O1214-C1214,"")</f>
        <v/>
      </c>
      <c r="J1214" s="14" t="str">
        <f>IF(I1214="","",F1214*I1214)</f>
        <v/>
      </c>
      <c r="K1214" s="15">
        <f>IF(OR(J1214="",$G$1279=0),"",J1214/$G$1279*100)</f>
      </c>
      <c r="L1214" s="12" t="str">
        <f>IF(C1214-O1214&gt;0,C1214-O1214,"")</f>
        <v/>
      </c>
      <c r="M1214" s="14" t="str">
        <f>IF(L1214="","",F1214*L1214)</f>
        <v/>
      </c>
      <c r="N1214" s="15">
        <f>IF(OR(M1214="",$G$1279=0),"",M1214/$G$1279*100)</f>
      </c>
      <c r="O1214" s="12">
        <v>0.18</v>
      </c>
      <c r="P1214" s="14">
        <f>F1214*O1214</f>
        <v>251922.069</v>
      </c>
      <c r="Q1214" s="15">
        <f>IF($P$1279=0,0,P1214/$P$1279*100)</f>
      </c>
      <c r="R1214" s="10" t="str">
        <f>IF(O1214=C1214,"TETAP",IF(C1214=0,"BARU",IF(O1214=0,"HAPUS",IF(O1214&gt;C1214,"TAMBAH","KURANG"))))</f>
        <v>TETAP</v>
      </c>
    </row>
    <row r="1215" spans="1:18" x14ac:dyDescent="0.25">
      <c r="A1215" s="5" t="s">
        <v>152</v>
      </c>
      <c r="B1215" s="17" t="s">
        <v>383</v>
      </c>
      <c r="C1215" s="7"/>
      <c r="D1215" s="7"/>
      <c r="E1215" s="5"/>
      <c r="F1215" s="8"/>
      <c r="G1215" s="8"/>
      <c r="H1215" s="9"/>
      <c r="I1215" s="7"/>
      <c r="J1215" s="8"/>
      <c r="K1215" s="9"/>
      <c r="L1215" s="7"/>
      <c r="M1215" s="8"/>
      <c r="N1215" s="9"/>
      <c r="O1215" s="7"/>
      <c r="P1215" s="8"/>
      <c r="Q1215" s="9"/>
      <c r="R1215" s="5"/>
    </row>
    <row r="1216" spans="1:18" x14ac:dyDescent="0.25">
      <c r="A1216" s="5" t="s">
        <v>898</v>
      </c>
      <c r="B1216" s="19" t="s">
        <v>899</v>
      </c>
      <c r="C1216" s="7"/>
      <c r="D1216" s="7"/>
      <c r="E1216" s="5"/>
      <c r="F1216" s="8"/>
      <c r="G1216" s="8"/>
      <c r="H1216" s="9"/>
      <c r="I1216" s="7"/>
      <c r="J1216" s="8"/>
      <c r="K1216" s="9"/>
      <c r="L1216" s="7"/>
      <c r="M1216" s="8"/>
      <c r="N1216" s="9"/>
      <c r="O1216" s="7"/>
      <c r="P1216" s="8"/>
      <c r="Q1216" s="9"/>
      <c r="R1216" s="5"/>
    </row>
    <row r="1217" spans="1:18" x14ac:dyDescent="0.25">
      <c r="A1217" s="10" t="s">
        <v>900</v>
      </c>
      <c r="B1217" s="21" t="s">
        <v>377</v>
      </c>
      <c r="C1217" s="12">
        <v>6.18</v>
      </c>
      <c r="D1217" s="12">
        <v>0</v>
      </c>
      <c r="E1217" s="10" t="s">
        <v>26</v>
      </c>
      <c r="F1217" s="14">
        <v>236600.08</v>
      </c>
      <c r="G1217" s="14">
        <f>F1217*C1217</f>
        <v>1462188.4944</v>
      </c>
      <c r="H1217" s="15">
        <f>IF($G$1279=0,0,G1217/$G$1279*100)</f>
      </c>
      <c r="I1217" s="12" t="str">
        <f>IF(O1217-C1217&gt;0,O1217-C1217,"")</f>
        <v/>
      </c>
      <c r="J1217" s="14" t="str">
        <f>IF(I1217="","",F1217*I1217)</f>
        <v/>
      </c>
      <c r="K1217" s="15">
        <f>IF(OR(J1217="",$G$1279=0),"",J1217/$G$1279*100)</f>
      </c>
      <c r="L1217" s="12" t="str">
        <f>IF(C1217-O1217&gt;0,C1217-O1217,"")</f>
        <v/>
      </c>
      <c r="M1217" s="14" t="str">
        <f>IF(L1217="","",F1217*L1217)</f>
        <v/>
      </c>
      <c r="N1217" s="15">
        <f>IF(OR(M1217="",$G$1279=0),"",M1217/$G$1279*100)</f>
      </c>
      <c r="O1217" s="12">
        <v>6.18</v>
      </c>
      <c r="P1217" s="14">
        <f>F1217*O1217</f>
        <v>1462188.4944</v>
      </c>
      <c r="Q1217" s="15">
        <f>IF($P$1279=0,0,P1217/$P$1279*100)</f>
      </c>
      <c r="R1217" s="10" t="str">
        <f>IF(O1217=C1217,"TETAP",IF(C1217=0,"BARU",IF(O1217=0,"HAPUS",IF(O1217&gt;C1217,"TAMBAH","KURANG"))))</f>
        <v>TETAP</v>
      </c>
    </row>
    <row r="1218" spans="1:18" x14ac:dyDescent="0.25">
      <c r="A1218" s="10" t="s">
        <v>901</v>
      </c>
      <c r="B1218" s="21" t="s">
        <v>388</v>
      </c>
      <c r="C1218" s="12">
        <v>64.28</v>
      </c>
      <c r="D1218" s="12">
        <v>0</v>
      </c>
      <c r="E1218" s="10" t="s">
        <v>169</v>
      </c>
      <c r="F1218" s="14">
        <v>19252.39</v>
      </c>
      <c r="G1218" s="14">
        <f>F1218*C1218</f>
        <v>1237543.6292</v>
      </c>
      <c r="H1218" s="15">
        <f>IF($G$1279=0,0,G1218/$G$1279*100)</f>
      </c>
      <c r="I1218" s="12" t="str">
        <f>IF(O1218-C1218&gt;0,O1218-C1218,"")</f>
        <v/>
      </c>
      <c r="J1218" s="14" t="str">
        <f>IF(I1218="","",F1218*I1218)</f>
        <v/>
      </c>
      <c r="K1218" s="15">
        <f>IF(OR(J1218="",$G$1279=0),"",J1218/$G$1279*100)</f>
      </c>
      <c r="L1218" s="12" t="str">
        <f>IF(C1218-O1218&gt;0,C1218-O1218,"")</f>
        <v/>
      </c>
      <c r="M1218" s="14" t="str">
        <f>IF(L1218="","",F1218*L1218)</f>
        <v/>
      </c>
      <c r="N1218" s="15">
        <f>IF(OR(M1218="",$G$1279=0),"",M1218/$G$1279*100)</f>
      </c>
      <c r="O1218" s="12">
        <v>64.28</v>
      </c>
      <c r="P1218" s="14">
        <f>F1218*O1218</f>
        <v>1237543.6292</v>
      </c>
      <c r="Q1218" s="15">
        <f>IF($P$1279=0,0,P1218/$P$1279*100)</f>
      </c>
      <c r="R1218" s="10" t="str">
        <f>IF(O1218=C1218,"TETAP",IF(C1218=0,"BARU",IF(O1218=0,"HAPUS",IF(O1218&gt;C1218,"TAMBAH","KURANG"))))</f>
        <v>TETAP</v>
      </c>
    </row>
    <row r="1219" spans="1:18" x14ac:dyDescent="0.25">
      <c r="A1219" s="10" t="s">
        <v>902</v>
      </c>
      <c r="B1219" s="21" t="s">
        <v>390</v>
      </c>
      <c r="C1219" s="12">
        <v>47.82</v>
      </c>
      <c r="D1219" s="12">
        <v>0</v>
      </c>
      <c r="E1219" s="10" t="s">
        <v>169</v>
      </c>
      <c r="F1219" s="14">
        <v>19252.39</v>
      </c>
      <c r="G1219" s="14">
        <f>F1219*C1219</f>
        <v>920649.2898</v>
      </c>
      <c r="H1219" s="15">
        <f>IF($G$1279=0,0,G1219/$G$1279*100)</f>
      </c>
      <c r="I1219" s="12" t="str">
        <f>IF(O1219-C1219&gt;0,O1219-C1219,"")</f>
        <v/>
      </c>
      <c r="J1219" s="14" t="str">
        <f>IF(I1219="","",F1219*I1219)</f>
        <v/>
      </c>
      <c r="K1219" s="15">
        <f>IF(OR(J1219="",$G$1279=0),"",J1219/$G$1279*100)</f>
      </c>
      <c r="L1219" s="12" t="str">
        <f>IF(C1219-O1219&gt;0,C1219-O1219,"")</f>
        <v/>
      </c>
      <c r="M1219" s="14" t="str">
        <f>IF(L1219="","",F1219*L1219)</f>
        <v/>
      </c>
      <c r="N1219" s="15">
        <f>IF(OR(M1219="",$G$1279=0),"",M1219/$G$1279*100)</f>
      </c>
      <c r="O1219" s="12">
        <v>47.82</v>
      </c>
      <c r="P1219" s="14">
        <f>F1219*O1219</f>
        <v>920649.2898</v>
      </c>
      <c r="Q1219" s="15">
        <f>IF($P$1279=0,0,P1219/$P$1279*100)</f>
      </c>
      <c r="R1219" s="10" t="str">
        <f>IF(O1219=C1219,"TETAP",IF(C1219=0,"BARU",IF(O1219=0,"HAPUS",IF(O1219&gt;C1219,"TAMBAH","KURANG"))))</f>
        <v>TETAP</v>
      </c>
    </row>
    <row r="1220" spans="1:18" x14ac:dyDescent="0.25">
      <c r="A1220" s="10" t="s">
        <v>903</v>
      </c>
      <c r="B1220" s="21" t="s">
        <v>392</v>
      </c>
      <c r="C1220" s="12">
        <v>0.76</v>
      </c>
      <c r="D1220" s="12">
        <v>0</v>
      </c>
      <c r="E1220" s="10" t="s">
        <v>159</v>
      </c>
      <c r="F1220" s="14">
        <v>1399567.05</v>
      </c>
      <c r="G1220" s="14">
        <f>F1220*C1220</f>
        <v>1063670.958</v>
      </c>
      <c r="H1220" s="15">
        <f>IF($G$1279=0,0,G1220/$G$1279*100)</f>
      </c>
      <c r="I1220" s="12" t="str">
        <f>IF(O1220-C1220&gt;0,O1220-C1220,"")</f>
        <v/>
      </c>
      <c r="J1220" s="14" t="str">
        <f>IF(I1220="","",F1220*I1220)</f>
        <v/>
      </c>
      <c r="K1220" s="15">
        <f>IF(OR(J1220="",$G$1279=0),"",J1220/$G$1279*100)</f>
      </c>
      <c r="L1220" s="12" t="str">
        <f>IF(C1220-O1220&gt;0,C1220-O1220,"")</f>
        <v/>
      </c>
      <c r="M1220" s="14" t="str">
        <f>IF(L1220="","",F1220*L1220)</f>
        <v/>
      </c>
      <c r="N1220" s="15">
        <f>IF(OR(M1220="",$G$1279=0),"",M1220/$G$1279*100)</f>
      </c>
      <c r="O1220" s="12">
        <v>0.76</v>
      </c>
      <c r="P1220" s="14">
        <f>F1220*O1220</f>
        <v>1063670.958</v>
      </c>
      <c r="Q1220" s="15">
        <f>IF($P$1279=0,0,P1220/$P$1279*100)</f>
      </c>
      <c r="R1220" s="10" t="str">
        <f>IF(O1220=C1220,"TETAP",IF(C1220=0,"BARU",IF(O1220=0,"HAPUS",IF(O1220&gt;C1220,"TAMBAH","KURANG"))))</f>
        <v>TETAP</v>
      </c>
    </row>
    <row r="1221" spans="1:18" x14ac:dyDescent="0.25">
      <c r="A1221" s="5" t="s">
        <v>904</v>
      </c>
      <c r="B1221" s="19" t="s">
        <v>905</v>
      </c>
      <c r="C1221" s="7"/>
      <c r="D1221" s="7"/>
      <c r="E1221" s="5"/>
      <c r="F1221" s="8"/>
      <c r="G1221" s="8"/>
      <c r="H1221" s="9"/>
      <c r="I1221" s="7"/>
      <c r="J1221" s="8"/>
      <c r="K1221" s="9"/>
      <c r="L1221" s="7"/>
      <c r="M1221" s="8"/>
      <c r="N1221" s="9"/>
      <c r="O1221" s="7"/>
      <c r="P1221" s="8"/>
      <c r="Q1221" s="9"/>
      <c r="R1221" s="5"/>
    </row>
    <row r="1222" spans="1:18" x14ac:dyDescent="0.25">
      <c r="A1222" s="10" t="s">
        <v>906</v>
      </c>
      <c r="B1222" s="21" t="s">
        <v>242</v>
      </c>
      <c r="C1222" s="12">
        <v>2.8</v>
      </c>
      <c r="D1222" s="12">
        <v>0</v>
      </c>
      <c r="E1222" s="10" t="s">
        <v>26</v>
      </c>
      <c r="F1222" s="14">
        <v>229284.3</v>
      </c>
      <c r="G1222" s="14">
        <f>F1222*C1222</f>
        <v>641996.0399999999</v>
      </c>
      <c r="H1222" s="15">
        <f>IF($G$1279=0,0,G1222/$G$1279*100)</f>
      </c>
      <c r="I1222" s="12" t="str">
        <f>IF(O1222-C1222&gt;0,O1222-C1222,"")</f>
        <v/>
      </c>
      <c r="J1222" s="14" t="str">
        <f>IF(I1222="","",F1222*I1222)</f>
        <v/>
      </c>
      <c r="K1222" s="15">
        <f>IF(OR(J1222="",$G$1279=0),"",J1222/$G$1279*100)</f>
      </c>
      <c r="L1222" s="12" t="str">
        <f>IF(C1222-O1222&gt;0,C1222-O1222,"")</f>
        <v/>
      </c>
      <c r="M1222" s="14" t="str">
        <f>IF(L1222="","",F1222*L1222)</f>
        <v/>
      </c>
      <c r="N1222" s="15">
        <f>IF(OR(M1222="",$G$1279=0),"",M1222/$G$1279*100)</f>
      </c>
      <c r="O1222" s="12">
        <v>2.8</v>
      </c>
      <c r="P1222" s="14">
        <f>F1222*O1222</f>
        <v>641996.0399999999</v>
      </c>
      <c r="Q1222" s="15">
        <f>IF($P$1279=0,0,P1222/$P$1279*100)</f>
      </c>
      <c r="R1222" s="10" t="str">
        <f>IF(O1222=C1222,"TETAP",IF(C1222=0,"BARU",IF(O1222=0,"HAPUS",IF(O1222&gt;C1222,"TAMBAH","KURANG"))))</f>
        <v>TETAP</v>
      </c>
    </row>
    <row r="1223" spans="1:18" x14ac:dyDescent="0.25">
      <c r="A1223" s="10" t="s">
        <v>907</v>
      </c>
      <c r="B1223" s="21" t="s">
        <v>388</v>
      </c>
      <c r="C1223" s="12">
        <v>21.7</v>
      </c>
      <c r="D1223" s="12">
        <v>0</v>
      </c>
      <c r="E1223" s="10" t="s">
        <v>169</v>
      </c>
      <c r="F1223" s="14">
        <v>19252.39</v>
      </c>
      <c r="G1223" s="14">
        <f>F1223*C1223</f>
        <v>417776.86299999995</v>
      </c>
      <c r="H1223" s="15">
        <f>IF($G$1279=0,0,G1223/$G$1279*100)</f>
      </c>
      <c r="I1223" s="12" t="str">
        <f>IF(O1223-C1223&gt;0,O1223-C1223,"")</f>
        <v/>
      </c>
      <c r="J1223" s="14" t="str">
        <f>IF(I1223="","",F1223*I1223)</f>
        <v/>
      </c>
      <c r="K1223" s="15">
        <f>IF(OR(J1223="",$G$1279=0),"",J1223/$G$1279*100)</f>
      </c>
      <c r="L1223" s="12" t="str">
        <f>IF(C1223-O1223&gt;0,C1223-O1223,"")</f>
        <v/>
      </c>
      <c r="M1223" s="14" t="str">
        <f>IF(L1223="","",F1223*L1223)</f>
        <v/>
      </c>
      <c r="N1223" s="15">
        <f>IF(OR(M1223="",$G$1279=0),"",M1223/$G$1279*100)</f>
      </c>
      <c r="O1223" s="12">
        <v>21.7</v>
      </c>
      <c r="P1223" s="14">
        <f>F1223*O1223</f>
        <v>417776.86299999995</v>
      </c>
      <c r="Q1223" s="15">
        <f>IF($P$1279=0,0,P1223/$P$1279*100)</f>
      </c>
      <c r="R1223" s="10" t="str">
        <f>IF(O1223=C1223,"TETAP",IF(C1223=0,"BARU",IF(O1223=0,"HAPUS",IF(O1223&gt;C1223,"TAMBAH","KURANG"))))</f>
        <v>TETAP</v>
      </c>
    </row>
    <row r="1224" spans="1:18" x14ac:dyDescent="0.25">
      <c r="A1224" s="10" t="s">
        <v>908</v>
      </c>
      <c r="B1224" s="21" t="s">
        <v>390</v>
      </c>
      <c r="C1224" s="12">
        <v>14.14</v>
      </c>
      <c r="D1224" s="12">
        <v>0</v>
      </c>
      <c r="E1224" s="10" t="s">
        <v>169</v>
      </c>
      <c r="F1224" s="14">
        <v>19252.39</v>
      </c>
      <c r="G1224" s="14">
        <f>F1224*C1224</f>
        <v>272228.7946</v>
      </c>
      <c r="H1224" s="15">
        <f>IF($G$1279=0,0,G1224/$G$1279*100)</f>
      </c>
      <c r="I1224" s="12" t="str">
        <f>IF(O1224-C1224&gt;0,O1224-C1224,"")</f>
        <v/>
      </c>
      <c r="J1224" s="14" t="str">
        <f>IF(I1224="","",F1224*I1224)</f>
        <v/>
      </c>
      <c r="K1224" s="15">
        <f>IF(OR(J1224="",$G$1279=0),"",J1224/$G$1279*100)</f>
      </c>
      <c r="L1224" s="12" t="str">
        <f>IF(C1224-O1224&gt;0,C1224-O1224,"")</f>
        <v/>
      </c>
      <c r="M1224" s="14" t="str">
        <f>IF(L1224="","",F1224*L1224)</f>
        <v/>
      </c>
      <c r="N1224" s="15">
        <f>IF(OR(M1224="",$G$1279=0),"",M1224/$G$1279*100)</f>
      </c>
      <c r="O1224" s="12">
        <v>14.14</v>
      </c>
      <c r="P1224" s="14">
        <f>F1224*O1224</f>
        <v>272228.7946</v>
      </c>
      <c r="Q1224" s="15">
        <f>IF($P$1279=0,0,P1224/$P$1279*100)</f>
      </c>
      <c r="R1224" s="10" t="str">
        <f>IF(O1224=C1224,"TETAP",IF(C1224=0,"BARU",IF(O1224=0,"HAPUS",IF(O1224&gt;C1224,"TAMBAH","KURANG"))))</f>
        <v>TETAP</v>
      </c>
    </row>
    <row r="1225" spans="1:18" x14ac:dyDescent="0.25">
      <c r="A1225" s="10" t="s">
        <v>909</v>
      </c>
      <c r="B1225" s="21" t="s">
        <v>392</v>
      </c>
      <c r="C1225" s="12">
        <v>0.24</v>
      </c>
      <c r="D1225" s="12">
        <v>0</v>
      </c>
      <c r="E1225" s="10" t="s">
        <v>159</v>
      </c>
      <c r="F1225" s="14">
        <v>1399567.05</v>
      </c>
      <c r="G1225" s="14">
        <f>F1225*C1225</f>
        <v>335896.092</v>
      </c>
      <c r="H1225" s="15">
        <f>IF($G$1279=0,0,G1225/$G$1279*100)</f>
      </c>
      <c r="I1225" s="12" t="str">
        <f>IF(O1225-C1225&gt;0,O1225-C1225,"")</f>
        <v/>
      </c>
      <c r="J1225" s="14" t="str">
        <f>IF(I1225="","",F1225*I1225)</f>
        <v/>
      </c>
      <c r="K1225" s="15">
        <f>IF(OR(J1225="",$G$1279=0),"",J1225/$G$1279*100)</f>
      </c>
      <c r="L1225" s="12" t="str">
        <f>IF(C1225-O1225&gt;0,C1225-O1225,"")</f>
        <v/>
      </c>
      <c r="M1225" s="14" t="str">
        <f>IF(L1225="","",F1225*L1225)</f>
        <v/>
      </c>
      <c r="N1225" s="15">
        <f>IF(OR(M1225="",$G$1279=0),"",M1225/$G$1279*100)</f>
      </c>
      <c r="O1225" s="12">
        <v>0.24</v>
      </c>
      <c r="P1225" s="14">
        <f>F1225*O1225</f>
        <v>335896.092</v>
      </c>
      <c r="Q1225" s="15">
        <f>IF($P$1279=0,0,P1225/$P$1279*100)</f>
      </c>
      <c r="R1225" s="10" t="str">
        <f>IF(O1225=C1225,"TETAP",IF(C1225=0,"BARU",IF(O1225=0,"HAPUS",IF(O1225&gt;C1225,"TAMBAH","KURANG"))))</f>
        <v>TETAP</v>
      </c>
    </row>
    <row r="1226" spans="1:18" x14ac:dyDescent="0.25">
      <c r="A1226" s="5" t="s">
        <v>531</v>
      </c>
      <c r="B1226" s="17" t="s">
        <v>816</v>
      </c>
      <c r="C1226" s="7"/>
      <c r="D1226" s="7"/>
      <c r="E1226" s="5"/>
      <c r="F1226" s="8"/>
      <c r="G1226" s="8"/>
      <c r="H1226" s="9"/>
      <c r="I1226" s="7"/>
      <c r="J1226" s="8"/>
      <c r="K1226" s="9"/>
      <c r="L1226" s="7"/>
      <c r="M1226" s="8"/>
      <c r="N1226" s="9"/>
      <c r="O1226" s="7"/>
      <c r="P1226" s="8"/>
      <c r="Q1226" s="9"/>
      <c r="R1226" s="5"/>
    </row>
    <row r="1227" spans="1:18" x14ac:dyDescent="0.25">
      <c r="A1227" s="10" t="s">
        <v>817</v>
      </c>
      <c r="B1227" s="18" t="s">
        <v>910</v>
      </c>
      <c r="C1227" s="12">
        <v>4.012</v>
      </c>
      <c r="D1227" s="12">
        <v>0</v>
      </c>
      <c r="E1227" s="10" t="s">
        <v>159</v>
      </c>
      <c r="F1227" s="14">
        <v>417480.9</v>
      </c>
      <c r="G1227" s="14">
        <f>F1227*C1227</f>
        <v>1674933.3708</v>
      </c>
      <c r="H1227" s="15">
        <f>IF($G$1279=0,0,G1227/$G$1279*100)</f>
      </c>
      <c r="I1227" s="12" t="str">
        <f>IF(O1227-C1227&gt;0,O1227-C1227,"")</f>
        <v/>
      </c>
      <c r="J1227" s="14" t="str">
        <f>IF(I1227="","",F1227*I1227)</f>
        <v/>
      </c>
      <c r="K1227" s="15">
        <f>IF(OR(J1227="",$G$1279=0),"",J1227/$G$1279*100)</f>
      </c>
      <c r="L1227" s="12" t="str">
        <f>IF(C1227-O1227&gt;0,C1227-O1227,"")</f>
        <v/>
      </c>
      <c r="M1227" s="14" t="str">
        <f>IF(L1227="","",F1227*L1227)</f>
        <v/>
      </c>
      <c r="N1227" s="15">
        <f>IF(OR(M1227="",$G$1279=0),"",M1227/$G$1279*100)</f>
      </c>
      <c r="O1227" s="12">
        <v>4.012</v>
      </c>
      <c r="P1227" s="14">
        <f>F1227*O1227</f>
        <v>1674933.3708</v>
      </c>
      <c r="Q1227" s="15">
        <f>IF($P$1279=0,0,P1227/$P$1279*100)</f>
      </c>
      <c r="R1227" s="10" t="str">
        <f>IF(O1227=C1227,"TETAP",IF(C1227=0,"BARU",IF(O1227=0,"HAPUS",IF(O1227&gt;C1227,"TAMBAH","KURANG"))))</f>
        <v>TETAP</v>
      </c>
    </row>
    <row r="1228" spans="1:18" x14ac:dyDescent="0.25">
      <c r="A1228" s="10" t="s">
        <v>818</v>
      </c>
      <c r="B1228" s="18" t="s">
        <v>911</v>
      </c>
      <c r="C1228" s="12">
        <v>4.012</v>
      </c>
      <c r="D1228" s="12">
        <v>0</v>
      </c>
      <c r="E1228" s="10" t="s">
        <v>159</v>
      </c>
      <c r="F1228" s="14">
        <v>39994.39</v>
      </c>
      <c r="G1228" s="14">
        <f>F1228*C1228</f>
        <v>160457.49267999997</v>
      </c>
      <c r="H1228" s="15">
        <f>IF($G$1279=0,0,G1228/$G$1279*100)</f>
      </c>
      <c r="I1228" s="12" t="str">
        <f>IF(O1228-C1228&gt;0,O1228-C1228,"")</f>
        <v/>
      </c>
      <c r="J1228" s="14" t="str">
        <f>IF(I1228="","",F1228*I1228)</f>
        <v/>
      </c>
      <c r="K1228" s="15">
        <f>IF(OR(J1228="",$G$1279=0),"",J1228/$G$1279*100)</f>
      </c>
      <c r="L1228" s="12" t="str">
        <f>IF(C1228-O1228&gt;0,C1228-O1228,"")</f>
        <v/>
      </c>
      <c r="M1228" s="14" t="str">
        <f>IF(L1228="","",F1228*L1228)</f>
        <v/>
      </c>
      <c r="N1228" s="15">
        <f>IF(OR(M1228="",$G$1279=0),"",M1228/$G$1279*100)</f>
      </c>
      <c r="O1228" s="12">
        <v>4.012</v>
      </c>
      <c r="P1228" s="14">
        <f>F1228*O1228</f>
        <v>160457.49267999997</v>
      </c>
      <c r="Q1228" s="15">
        <f>IF($P$1279=0,0,P1228/$P$1279*100)</f>
      </c>
      <c r="R1228" s="10" t="str">
        <f>IF(O1228=C1228,"TETAP",IF(C1228=0,"BARU",IF(O1228=0,"HAPUS",IF(O1228&gt;C1228,"TAMBAH","KURANG"))))</f>
        <v>TETAP</v>
      </c>
    </row>
    <row r="1229" spans="1:18" x14ac:dyDescent="0.25">
      <c r="A1229" s="10" t="s">
        <v>819</v>
      </c>
      <c r="B1229" s="18" t="s">
        <v>912</v>
      </c>
      <c r="C1229" s="12">
        <v>2.407</v>
      </c>
      <c r="D1229" s="12">
        <v>0</v>
      </c>
      <c r="E1229" s="10" t="s">
        <v>159</v>
      </c>
      <c r="F1229" s="14">
        <v>456969.16</v>
      </c>
      <c r="G1229" s="14">
        <f>F1229*C1229</f>
        <v>1099924.76812</v>
      </c>
      <c r="H1229" s="15">
        <f>IF($G$1279=0,0,G1229/$G$1279*100)</f>
      </c>
      <c r="I1229" s="12" t="str">
        <f>IF(O1229-C1229&gt;0,O1229-C1229,"")</f>
        <v/>
      </c>
      <c r="J1229" s="14" t="str">
        <f>IF(I1229="","",F1229*I1229)</f>
        <v/>
      </c>
      <c r="K1229" s="15">
        <f>IF(OR(J1229="",$G$1279=0),"",J1229/$G$1279*100)</f>
      </c>
      <c r="L1229" s="12" t="str">
        <f>IF(C1229-O1229&gt;0,C1229-O1229,"")</f>
        <v/>
      </c>
      <c r="M1229" s="14" t="str">
        <f>IF(L1229="","",F1229*L1229)</f>
        <v/>
      </c>
      <c r="N1229" s="15">
        <f>IF(OR(M1229="",$G$1279=0),"",M1229/$G$1279*100)</f>
      </c>
      <c r="O1229" s="12">
        <v>2.407</v>
      </c>
      <c r="P1229" s="14">
        <f>F1229*O1229</f>
        <v>1099924.76812</v>
      </c>
      <c r="Q1229" s="15">
        <f>IF($P$1279=0,0,P1229/$P$1279*100)</f>
      </c>
      <c r="R1229" s="10" t="str">
        <f>IF(O1229=C1229,"TETAP",IF(C1229=0,"BARU",IF(O1229=0,"HAPUS",IF(O1229&gt;C1229,"TAMBAH","KURANG"))))</f>
        <v>TETAP</v>
      </c>
    </row>
    <row r="1230" spans="1:18" x14ac:dyDescent="0.25">
      <c r="A1230" s="10" t="s">
        <v>820</v>
      </c>
      <c r="B1230" s="18" t="s">
        <v>465</v>
      </c>
      <c r="C1230" s="12">
        <v>0.802</v>
      </c>
      <c r="D1230" s="12">
        <v>0</v>
      </c>
      <c r="E1230" s="10" t="s">
        <v>159</v>
      </c>
      <c r="F1230" s="14">
        <v>1243301.43</v>
      </c>
      <c r="G1230" s="14">
        <f>F1230*C1230</f>
        <v>997127.74686</v>
      </c>
      <c r="H1230" s="15">
        <f>IF($G$1279=0,0,G1230/$G$1279*100)</f>
      </c>
      <c r="I1230" s="12" t="str">
        <f>IF(O1230-C1230&gt;0,O1230-C1230,"")</f>
        <v/>
      </c>
      <c r="J1230" s="14" t="str">
        <f>IF(I1230="","",F1230*I1230)</f>
        <v/>
      </c>
      <c r="K1230" s="15">
        <f>IF(OR(J1230="",$G$1279=0),"",J1230/$G$1279*100)</f>
      </c>
      <c r="L1230" s="12" t="str">
        <f>IF(C1230-O1230&gt;0,C1230-O1230,"")</f>
        <v/>
      </c>
      <c r="M1230" s="14" t="str">
        <f>IF(L1230="","",F1230*L1230)</f>
        <v/>
      </c>
      <c r="N1230" s="15">
        <f>IF(OR(M1230="",$G$1279=0),"",M1230/$G$1279*100)</f>
      </c>
      <c r="O1230" s="12">
        <v>0.802</v>
      </c>
      <c r="P1230" s="14">
        <f>F1230*O1230</f>
        <v>997127.74686</v>
      </c>
      <c r="Q1230" s="15">
        <f>IF($P$1279=0,0,P1230/$P$1279*100)</f>
      </c>
      <c r="R1230" s="10" t="str">
        <f>IF(O1230=C1230,"TETAP",IF(C1230=0,"BARU",IF(O1230=0,"HAPUS",IF(O1230&gt;C1230,"TAMBAH","KURANG"))))</f>
        <v>TETAP</v>
      </c>
    </row>
    <row r="1231" spans="1:18" x14ac:dyDescent="0.25">
      <c r="A1231" s="10" t="s">
        <v>821</v>
      </c>
      <c r="B1231" s="18" t="s">
        <v>822</v>
      </c>
      <c r="C1231" s="12">
        <v>0.9</v>
      </c>
      <c r="D1231" s="12">
        <v>0</v>
      </c>
      <c r="E1231" s="10" t="s">
        <v>26</v>
      </c>
      <c r="F1231" s="14">
        <v>164501.03</v>
      </c>
      <c r="G1231" s="14">
        <f>F1231*C1231</f>
        <v>148050.927</v>
      </c>
      <c r="H1231" s="15">
        <f>IF($G$1279=0,0,G1231/$G$1279*100)</f>
      </c>
      <c r="I1231" s="12" t="str">
        <f>IF(O1231-C1231&gt;0,O1231-C1231,"")</f>
        <v/>
      </c>
      <c r="J1231" s="14" t="str">
        <f>IF(I1231="","",F1231*I1231)</f>
        <v/>
      </c>
      <c r="K1231" s="15">
        <f>IF(OR(J1231="",$G$1279=0),"",J1231/$G$1279*100)</f>
      </c>
      <c r="L1231" s="12" t="str">
        <f>IF(C1231-O1231&gt;0,C1231-O1231,"")</f>
        <v/>
      </c>
      <c r="M1231" s="14" t="str">
        <f>IF(L1231="","",F1231*L1231)</f>
        <v/>
      </c>
      <c r="N1231" s="15">
        <f>IF(OR(M1231="",$G$1279=0),"",M1231/$G$1279*100)</f>
      </c>
      <c r="O1231" s="12">
        <v>0.9</v>
      </c>
      <c r="P1231" s="14">
        <f>F1231*O1231</f>
        <v>148050.927</v>
      </c>
      <c r="Q1231" s="15">
        <f>IF($P$1279=0,0,P1231/$P$1279*100)</f>
      </c>
      <c r="R1231" s="10" t="str">
        <f>IF(O1231=C1231,"TETAP",IF(C1231=0,"BARU",IF(O1231=0,"HAPUS",IF(O1231&gt;C1231,"TAMBAH","KURANG"))))</f>
        <v>TETAP</v>
      </c>
    </row>
    <row r="1232" spans="1:18" x14ac:dyDescent="0.25">
      <c r="A1232" s="10" t="s">
        <v>823</v>
      </c>
      <c r="B1232" s="18" t="s">
        <v>814</v>
      </c>
      <c r="C1232" s="12">
        <v>16.05</v>
      </c>
      <c r="D1232" s="12">
        <v>0</v>
      </c>
      <c r="E1232" s="10" t="s">
        <v>26</v>
      </c>
      <c r="F1232" s="14">
        <v>70152.73</v>
      </c>
      <c r="G1232" s="14">
        <f>F1232*C1232</f>
        <v>1125951.3165</v>
      </c>
      <c r="H1232" s="15">
        <f>IF($G$1279=0,0,G1232/$G$1279*100)</f>
      </c>
      <c r="I1232" s="12" t="str">
        <f>IF(O1232-C1232&gt;0,O1232-C1232,"")</f>
        <v/>
      </c>
      <c r="J1232" s="14" t="str">
        <f>IF(I1232="","",F1232*I1232)</f>
        <v/>
      </c>
      <c r="K1232" s="15">
        <f>IF(OR(J1232="",$G$1279=0),"",J1232/$G$1279*100)</f>
      </c>
      <c r="L1232" s="12" t="str">
        <f>IF(C1232-O1232&gt;0,C1232-O1232,"")</f>
        <v/>
      </c>
      <c r="M1232" s="14" t="str">
        <f>IF(L1232="","",F1232*L1232)</f>
        <v/>
      </c>
      <c r="N1232" s="15">
        <f>IF(OR(M1232="",$G$1279=0),"",M1232/$G$1279*100)</f>
      </c>
      <c r="O1232" s="12">
        <v>16.05</v>
      </c>
      <c r="P1232" s="14">
        <f>F1232*O1232</f>
        <v>1125951.3165</v>
      </c>
      <c r="Q1232" s="15">
        <f>IF($P$1279=0,0,P1232/$P$1279*100)</f>
      </c>
      <c r="R1232" s="10" t="str">
        <f>IF(O1232=C1232,"TETAP",IF(C1232=0,"BARU",IF(O1232=0,"HAPUS",IF(O1232&gt;C1232,"TAMBAH","KURANG"))))</f>
        <v>TETAP</v>
      </c>
    </row>
    <row r="1233" spans="1:18" x14ac:dyDescent="0.25">
      <c r="A1233" s="10" t="s">
        <v>825</v>
      </c>
      <c r="B1233" s="18" t="s">
        <v>374</v>
      </c>
      <c r="C1233" s="12">
        <v>1.605</v>
      </c>
      <c r="D1233" s="12">
        <v>0</v>
      </c>
      <c r="E1233" s="10" t="s">
        <v>159</v>
      </c>
      <c r="F1233" s="14">
        <v>1399567.05</v>
      </c>
      <c r="G1233" s="14">
        <f>F1233*C1233</f>
        <v>2246305.1152500003</v>
      </c>
      <c r="H1233" s="15">
        <f>IF($G$1279=0,0,G1233/$G$1279*100)</f>
      </c>
      <c r="I1233" s="12" t="str">
        <f>IF(O1233-C1233&gt;0,O1233-C1233,"")</f>
        <v/>
      </c>
      <c r="J1233" s="14" t="str">
        <f>IF(I1233="","",F1233*I1233)</f>
        <v/>
      </c>
      <c r="K1233" s="15">
        <f>IF(OR(J1233="",$G$1279=0),"",J1233/$G$1279*100)</f>
      </c>
      <c r="L1233" s="12" t="str">
        <f>IF(C1233-O1233&gt;0,C1233-O1233,"")</f>
        <v/>
      </c>
      <c r="M1233" s="14" t="str">
        <f>IF(L1233="","",F1233*L1233)</f>
        <v/>
      </c>
      <c r="N1233" s="15">
        <f>IF(OR(M1233="",$G$1279=0),"",M1233/$G$1279*100)</f>
      </c>
      <c r="O1233" s="12">
        <v>1.605</v>
      </c>
      <c r="P1233" s="14">
        <f>F1233*O1233</f>
        <v>2246305.1152500003</v>
      </c>
      <c r="Q1233" s="15">
        <f>IF($P$1279=0,0,P1233/$P$1279*100)</f>
      </c>
      <c r="R1233" s="10" t="str">
        <f>IF(O1233=C1233,"TETAP",IF(C1233=0,"BARU",IF(O1233=0,"HAPUS",IF(O1233&gt;C1233,"TAMBAH","KURANG"))))</f>
        <v>TETAP</v>
      </c>
    </row>
    <row r="1234" spans="1:18" x14ac:dyDescent="0.25">
      <c r="A1234" s="10" t="s">
        <v>826</v>
      </c>
      <c r="B1234" s="18" t="s">
        <v>182</v>
      </c>
      <c r="C1234" s="12">
        <v>16.95</v>
      </c>
      <c r="D1234" s="12">
        <v>0</v>
      </c>
      <c r="E1234" s="10" t="s">
        <v>26</v>
      </c>
      <c r="F1234" s="14">
        <v>44344.2</v>
      </c>
      <c r="G1234" s="14">
        <f>F1234*C1234</f>
        <v>751634.19</v>
      </c>
      <c r="H1234" s="15">
        <f>IF($G$1279=0,0,G1234/$G$1279*100)</f>
      </c>
      <c r="I1234" s="12" t="str">
        <f>IF(O1234-C1234&gt;0,O1234-C1234,"")</f>
        <v/>
      </c>
      <c r="J1234" s="14" t="str">
        <f>IF(I1234="","",F1234*I1234)</f>
        <v/>
      </c>
      <c r="K1234" s="15">
        <f>IF(OR(J1234="",$G$1279=0),"",J1234/$G$1279*100)</f>
      </c>
      <c r="L1234" s="12" t="str">
        <f>IF(C1234-O1234&gt;0,C1234-O1234,"")</f>
        <v/>
      </c>
      <c r="M1234" s="14" t="str">
        <f>IF(L1234="","",F1234*L1234)</f>
        <v/>
      </c>
      <c r="N1234" s="15">
        <f>IF(OR(M1234="",$G$1279=0),"",M1234/$G$1279*100)</f>
      </c>
      <c r="O1234" s="12">
        <v>16.95</v>
      </c>
      <c r="P1234" s="14">
        <f>F1234*O1234</f>
        <v>751634.19</v>
      </c>
      <c r="Q1234" s="15">
        <f>IF($P$1279=0,0,P1234/$P$1279*100)</f>
      </c>
      <c r="R1234" s="10" t="str">
        <f>IF(O1234=C1234,"TETAP",IF(C1234=0,"BARU",IF(O1234=0,"HAPUS",IF(O1234&gt;C1234,"TAMBAH","KURANG"))))</f>
        <v>TETAP</v>
      </c>
    </row>
    <row r="1235" spans="1:18" x14ac:dyDescent="0.25">
      <c r="A1235" s="5" t="s">
        <v>913</v>
      </c>
      <c r="B1235" s="16" t="s">
        <v>400</v>
      </c>
      <c r="C1235" s="7"/>
      <c r="D1235" s="7"/>
      <c r="E1235" s="5"/>
      <c r="F1235" s="8"/>
      <c r="G1235" s="8"/>
      <c r="H1235" s="9"/>
      <c r="I1235" s="7"/>
      <c r="J1235" s="8"/>
      <c r="K1235" s="9"/>
      <c r="L1235" s="7"/>
      <c r="M1235" s="8"/>
      <c r="N1235" s="9"/>
      <c r="O1235" s="7"/>
      <c r="P1235" s="8"/>
      <c r="Q1235" s="9"/>
      <c r="R1235" s="5"/>
    </row>
    <row r="1236" spans="1:18" x14ac:dyDescent="0.25">
      <c r="A1236" s="10" t="s">
        <v>24</v>
      </c>
      <c r="B1236" s="20" t="s">
        <v>401</v>
      </c>
      <c r="C1236" s="12">
        <v>67.96</v>
      </c>
      <c r="D1236" s="12">
        <v>0</v>
      </c>
      <c r="E1236" s="10" t="s">
        <v>26</v>
      </c>
      <c r="F1236" s="14">
        <v>164501.03</v>
      </c>
      <c r="G1236" s="14">
        <f>F1236*C1236</f>
        <v>11179489.998799998</v>
      </c>
      <c r="H1236" s="15">
        <f>IF($G$1279=0,0,G1236/$G$1279*100)</f>
      </c>
      <c r="I1236" s="12" t="str">
        <f>IF(O1236-C1236&gt;0,O1236-C1236,"")</f>
        <v/>
      </c>
      <c r="J1236" s="14" t="str">
        <f>IF(I1236="","",F1236*I1236)</f>
        <v/>
      </c>
      <c r="K1236" s="15">
        <f>IF(OR(J1236="",$G$1279=0),"",J1236/$G$1279*100)</f>
      </c>
      <c r="L1236" s="12" t="str">
        <f>IF(C1236-O1236&gt;0,C1236-O1236,"")</f>
        <v/>
      </c>
      <c r="M1236" s="14" t="str">
        <f>IF(L1236="","",F1236*L1236)</f>
        <v/>
      </c>
      <c r="N1236" s="15">
        <f>IF(OR(M1236="",$G$1279=0),"",M1236/$G$1279*100)</f>
      </c>
      <c r="O1236" s="12">
        <v>67.96</v>
      </c>
      <c r="P1236" s="14">
        <f>F1236*O1236</f>
        <v>11179489.998799998</v>
      </c>
      <c r="Q1236" s="15">
        <f>IF($P$1279=0,0,P1236/$P$1279*100)</f>
      </c>
      <c r="R1236" s="10" t="str">
        <f>IF(O1236=C1236,"TETAP",IF(C1236=0,"BARU",IF(O1236=0,"HAPUS",IF(O1236&gt;C1236,"TAMBAH","KURANG"))))</f>
        <v>TETAP</v>
      </c>
    </row>
    <row r="1237" spans="1:18" x14ac:dyDescent="0.25">
      <c r="A1237" s="10" t="s">
        <v>27</v>
      </c>
      <c r="B1237" s="20" t="s">
        <v>402</v>
      </c>
      <c r="C1237" s="12">
        <v>135.92</v>
      </c>
      <c r="D1237" s="12">
        <v>0</v>
      </c>
      <c r="E1237" s="10" t="s">
        <v>26</v>
      </c>
      <c r="F1237" s="14">
        <v>60093.87</v>
      </c>
      <c r="G1237" s="14">
        <f>F1237*C1237</f>
        <v>8167958.8104</v>
      </c>
      <c r="H1237" s="15">
        <f>IF($G$1279=0,0,G1237/$G$1279*100)</f>
      </c>
      <c r="I1237" s="12" t="str">
        <f>IF(O1237-C1237&gt;0,O1237-C1237,"")</f>
        <v/>
      </c>
      <c r="J1237" s="14" t="str">
        <f>IF(I1237="","",F1237*I1237)</f>
        <v/>
      </c>
      <c r="K1237" s="15">
        <f>IF(OR(J1237="",$G$1279=0),"",J1237/$G$1279*100)</f>
      </c>
      <c r="L1237" s="12" t="str">
        <f>IF(C1237-O1237&gt;0,C1237-O1237,"")</f>
        <v/>
      </c>
      <c r="M1237" s="14" t="str">
        <f>IF(L1237="","",F1237*L1237)</f>
        <v/>
      </c>
      <c r="N1237" s="15">
        <f>IF(OR(M1237="",$G$1279=0),"",M1237/$G$1279*100)</f>
      </c>
      <c r="O1237" s="12">
        <v>135.92</v>
      </c>
      <c r="P1237" s="14">
        <f>F1237*O1237</f>
        <v>8167958.8104</v>
      </c>
      <c r="Q1237" s="15">
        <f>IF($P$1279=0,0,P1237/$P$1279*100)</f>
      </c>
      <c r="R1237" s="10" t="str">
        <f>IF(O1237=C1237,"TETAP",IF(C1237=0,"BARU",IF(O1237=0,"HAPUS",IF(O1237&gt;C1237,"TAMBAH","KURANG"))))</f>
        <v>TETAP</v>
      </c>
    </row>
    <row r="1238" spans="1:18" x14ac:dyDescent="0.25">
      <c r="A1238" s="10" t="s">
        <v>30</v>
      </c>
      <c r="B1238" s="20" t="s">
        <v>182</v>
      </c>
      <c r="C1238" s="12">
        <v>135.92</v>
      </c>
      <c r="D1238" s="12">
        <v>0</v>
      </c>
      <c r="E1238" s="10" t="s">
        <v>26</v>
      </c>
      <c r="F1238" s="14">
        <v>44344.2</v>
      </c>
      <c r="G1238" s="14">
        <f>F1238*C1238</f>
        <v>6027263.663999999</v>
      </c>
      <c r="H1238" s="15">
        <f>IF($G$1279=0,0,G1238/$G$1279*100)</f>
      </c>
      <c r="I1238" s="12" t="str">
        <f>IF(O1238-C1238&gt;0,O1238-C1238,"")</f>
        <v/>
      </c>
      <c r="J1238" s="14" t="str">
        <f>IF(I1238="","",F1238*I1238)</f>
        <v/>
      </c>
      <c r="K1238" s="15">
        <f>IF(OR(J1238="",$G$1279=0),"",J1238/$G$1279*100)</f>
      </c>
      <c r="L1238" s="12" t="str">
        <f>IF(C1238-O1238&gt;0,C1238-O1238,"")</f>
        <v/>
      </c>
      <c r="M1238" s="14" t="str">
        <f>IF(L1238="","",F1238*L1238)</f>
        <v/>
      </c>
      <c r="N1238" s="15">
        <f>IF(OR(M1238="",$G$1279=0),"",M1238/$G$1279*100)</f>
      </c>
      <c r="O1238" s="12">
        <v>135.92</v>
      </c>
      <c r="P1238" s="14">
        <f>F1238*O1238</f>
        <v>6027263.663999999</v>
      </c>
      <c r="Q1238" s="15">
        <f>IF($P$1279=0,0,P1238/$P$1279*100)</f>
      </c>
      <c r="R1238" s="10" t="str">
        <f>IF(O1238=C1238,"TETAP",IF(C1238=0,"BARU",IF(O1238=0,"HAPUS",IF(O1238&gt;C1238,"TAMBAH","KURANG"))))</f>
        <v>TETAP</v>
      </c>
    </row>
    <row r="1239" spans="1:18" x14ac:dyDescent="0.25">
      <c r="A1239" s="10" t="s">
        <v>33</v>
      </c>
      <c r="B1239" s="20" t="s">
        <v>403</v>
      </c>
      <c r="C1239" s="12">
        <v>77.84</v>
      </c>
      <c r="D1239" s="12">
        <v>0</v>
      </c>
      <c r="E1239" s="10" t="s">
        <v>26</v>
      </c>
      <c r="F1239" s="14">
        <v>44344.2</v>
      </c>
      <c r="G1239" s="14">
        <f>F1239*C1239</f>
        <v>3451752.528</v>
      </c>
      <c r="H1239" s="15">
        <f>IF($G$1279=0,0,G1239/$G$1279*100)</f>
      </c>
      <c r="I1239" s="12" t="str">
        <f>IF(O1239-C1239&gt;0,O1239-C1239,"")</f>
        <v/>
      </c>
      <c r="J1239" s="14" t="str">
        <f>IF(I1239="","",F1239*I1239)</f>
        <v/>
      </c>
      <c r="K1239" s="15">
        <f>IF(OR(J1239="",$G$1279=0),"",J1239/$G$1279*100)</f>
      </c>
      <c r="L1239" s="12" t="str">
        <f>IF(C1239-O1239&gt;0,C1239-O1239,"")</f>
        <v/>
      </c>
      <c r="M1239" s="14" t="str">
        <f>IF(L1239="","",F1239*L1239)</f>
        <v/>
      </c>
      <c r="N1239" s="15">
        <f>IF(OR(M1239="",$G$1279=0),"",M1239/$G$1279*100)</f>
      </c>
      <c r="O1239" s="12">
        <v>77.84</v>
      </c>
      <c r="P1239" s="14">
        <f>F1239*O1239</f>
        <v>3451752.528</v>
      </c>
      <c r="Q1239" s="15">
        <f>IF($P$1279=0,0,P1239/$P$1279*100)</f>
      </c>
      <c r="R1239" s="10" t="str">
        <f>IF(O1239=C1239,"TETAP",IF(C1239=0,"BARU",IF(O1239=0,"HAPUS",IF(O1239&gt;C1239,"TAMBAH","KURANG"))))</f>
        <v>TETAP</v>
      </c>
    </row>
    <row r="1240" spans="1:18" x14ac:dyDescent="0.25">
      <c r="A1240" s="10" t="s">
        <v>35</v>
      </c>
      <c r="B1240" s="20" t="s">
        <v>404</v>
      </c>
      <c r="C1240" s="12">
        <v>5.84</v>
      </c>
      <c r="D1240" s="12">
        <v>0</v>
      </c>
      <c r="E1240" s="10" t="s">
        <v>26</v>
      </c>
      <c r="F1240" s="14">
        <v>40999.28</v>
      </c>
      <c r="G1240" s="14">
        <f>F1240*C1240</f>
        <v>239435.7952</v>
      </c>
      <c r="H1240" s="15">
        <f>IF($G$1279=0,0,G1240/$G$1279*100)</f>
      </c>
      <c r="I1240" s="12" t="str">
        <f>IF(O1240-C1240&gt;0,O1240-C1240,"")</f>
        <v/>
      </c>
      <c r="J1240" s="14" t="str">
        <f>IF(I1240="","",F1240*I1240)</f>
        <v/>
      </c>
      <c r="K1240" s="15">
        <f>IF(OR(J1240="",$G$1279=0),"",J1240/$G$1279*100)</f>
      </c>
      <c r="L1240" s="12" t="str">
        <f>IF(C1240-O1240&gt;0,C1240-O1240,"")</f>
        <v/>
      </c>
      <c r="M1240" s="14" t="str">
        <f>IF(L1240="","",F1240*L1240)</f>
        <v/>
      </c>
      <c r="N1240" s="15">
        <f>IF(OR(M1240="",$G$1279=0),"",M1240/$G$1279*100)</f>
      </c>
      <c r="O1240" s="12">
        <v>5.84</v>
      </c>
      <c r="P1240" s="14">
        <f>F1240*O1240</f>
        <v>239435.7952</v>
      </c>
      <c r="Q1240" s="15">
        <f>IF($P$1279=0,0,P1240/$P$1279*100)</f>
      </c>
      <c r="R1240" s="10" t="str">
        <f>IF(O1240=C1240,"TETAP",IF(C1240=0,"BARU",IF(O1240=0,"HAPUS",IF(O1240&gt;C1240,"TAMBAH","KURANG"))))</f>
        <v>TETAP</v>
      </c>
    </row>
    <row r="1241" spans="1:18" x14ac:dyDescent="0.25">
      <c r="A1241" s="10" t="s">
        <v>38</v>
      </c>
      <c r="B1241" s="20" t="s">
        <v>914</v>
      </c>
      <c r="C1241" s="12">
        <v>0.76</v>
      </c>
      <c r="D1241" s="12">
        <v>0</v>
      </c>
      <c r="E1241" s="10" t="s">
        <v>26</v>
      </c>
      <c r="F1241" s="14">
        <v>625287.65</v>
      </c>
      <c r="G1241" s="14">
        <f>F1241*C1241</f>
        <v>475218.614</v>
      </c>
      <c r="H1241" s="15">
        <f>IF($G$1279=0,0,G1241/$G$1279*100)</f>
      </c>
      <c r="I1241" s="12" t="str">
        <f>IF(O1241-C1241&gt;0,O1241-C1241,"")</f>
        <v/>
      </c>
      <c r="J1241" s="14" t="str">
        <f>IF(I1241="","",F1241*I1241)</f>
        <v/>
      </c>
      <c r="K1241" s="15">
        <f>IF(OR(J1241="",$G$1279=0),"",J1241/$G$1279*100)</f>
      </c>
      <c r="L1241" s="12" t="str">
        <f>IF(C1241-O1241&gt;0,C1241-O1241,"")</f>
        <v/>
      </c>
      <c r="M1241" s="14" t="str">
        <f>IF(L1241="","",F1241*L1241)</f>
        <v/>
      </c>
      <c r="N1241" s="15">
        <f>IF(OR(M1241="",$G$1279=0),"",M1241/$G$1279*100)</f>
      </c>
      <c r="O1241" s="12">
        <v>0.76</v>
      </c>
      <c r="P1241" s="14">
        <f>F1241*O1241</f>
        <v>475218.614</v>
      </c>
      <c r="Q1241" s="15">
        <f>IF($P$1279=0,0,P1241/$P$1279*100)</f>
      </c>
      <c r="R1241" s="10" t="str">
        <f>IF(O1241=C1241,"TETAP",IF(C1241=0,"BARU",IF(O1241=0,"HAPUS",IF(O1241&gt;C1241,"TAMBAH","KURANG"))))</f>
        <v>TETAP</v>
      </c>
    </row>
    <row r="1242" spans="1:18" x14ac:dyDescent="0.25">
      <c r="A1242" s="10" t="s">
        <v>108</v>
      </c>
      <c r="B1242" s="20" t="s">
        <v>915</v>
      </c>
      <c r="C1242" s="12">
        <v>88.05</v>
      </c>
      <c r="D1242" s="12">
        <v>0</v>
      </c>
      <c r="E1242" s="10" t="s">
        <v>26</v>
      </c>
      <c r="F1242" s="14">
        <v>61349.79</v>
      </c>
      <c r="G1242" s="14">
        <f>F1242*C1242</f>
        <v>5401849.0095</v>
      </c>
      <c r="H1242" s="15">
        <f>IF($G$1279=0,0,G1242/$G$1279*100)</f>
      </c>
      <c r="I1242" s="12" t="str">
        <f>IF(O1242-C1242&gt;0,O1242-C1242,"")</f>
        <v/>
      </c>
      <c r="J1242" s="14" t="str">
        <f>IF(I1242="","",F1242*I1242)</f>
        <v/>
      </c>
      <c r="K1242" s="15">
        <f>IF(OR(J1242="",$G$1279=0),"",J1242/$G$1279*100)</f>
      </c>
      <c r="L1242" s="12" t="str">
        <f>IF(C1242-O1242&gt;0,C1242-O1242,"")</f>
        <v/>
      </c>
      <c r="M1242" s="14" t="str">
        <f>IF(L1242="","",F1242*L1242)</f>
        <v/>
      </c>
      <c r="N1242" s="15">
        <f>IF(OR(M1242="",$G$1279=0),"",M1242/$G$1279*100)</f>
      </c>
      <c r="O1242" s="12">
        <v>88.05</v>
      </c>
      <c r="P1242" s="14">
        <f>F1242*O1242</f>
        <v>5401849.0095</v>
      </c>
      <c r="Q1242" s="15">
        <f>IF($P$1279=0,0,P1242/$P$1279*100)</f>
      </c>
      <c r="R1242" s="10" t="str">
        <f>IF(O1242=C1242,"TETAP",IF(C1242=0,"BARU",IF(O1242=0,"HAPUS",IF(O1242&gt;C1242,"TAMBAH","KURANG"))))</f>
        <v>TETAP</v>
      </c>
    </row>
    <row r="1243" spans="1:18" x14ac:dyDescent="0.25">
      <c r="A1243" s="10" t="s">
        <v>110</v>
      </c>
      <c r="B1243" s="20" t="s">
        <v>504</v>
      </c>
      <c r="C1243" s="12">
        <v>5</v>
      </c>
      <c r="D1243" s="12">
        <v>0</v>
      </c>
      <c r="E1243" s="10" t="s">
        <v>26</v>
      </c>
      <c r="F1243" s="14">
        <v>824029.6</v>
      </c>
      <c r="G1243" s="14">
        <f>F1243*C1243</f>
        <v>4120148</v>
      </c>
      <c r="H1243" s="15">
        <f>IF($G$1279=0,0,G1243/$G$1279*100)</f>
      </c>
      <c r="I1243" s="12" t="str">
        <f>IF(O1243-C1243&gt;0,O1243-C1243,"")</f>
        <v/>
      </c>
      <c r="J1243" s="14" t="str">
        <f>IF(I1243="","",F1243*I1243)</f>
        <v/>
      </c>
      <c r="K1243" s="15">
        <f>IF(OR(J1243="",$G$1279=0),"",J1243/$G$1279*100)</f>
      </c>
      <c r="L1243" s="12" t="str">
        <f>IF(C1243-O1243&gt;0,C1243-O1243,"")</f>
        <v/>
      </c>
      <c r="M1243" s="14" t="str">
        <f>IF(L1243="","",F1243*L1243)</f>
        <v/>
      </c>
      <c r="N1243" s="15">
        <f>IF(OR(M1243="",$G$1279=0),"",M1243/$G$1279*100)</f>
      </c>
      <c r="O1243" s="12">
        <v>5</v>
      </c>
      <c r="P1243" s="14">
        <f>F1243*O1243</f>
        <v>4120148</v>
      </c>
      <c r="Q1243" s="15">
        <f>IF($P$1279=0,0,P1243/$P$1279*100)</f>
      </c>
      <c r="R1243" s="10" t="str">
        <f>IF(O1243=C1243,"TETAP",IF(C1243=0,"BARU",IF(O1243=0,"HAPUS",IF(O1243&gt;C1243,"TAMBAH","KURANG"))))</f>
        <v>TETAP</v>
      </c>
    </row>
    <row r="1244" spans="1:18" x14ac:dyDescent="0.25">
      <c r="A1244" s="5" t="s">
        <v>112</v>
      </c>
      <c r="B1244" s="17" t="s">
        <v>411</v>
      </c>
      <c r="C1244" s="7"/>
      <c r="D1244" s="7"/>
      <c r="E1244" s="5"/>
      <c r="F1244" s="8"/>
      <c r="G1244" s="8"/>
      <c r="H1244" s="9"/>
      <c r="I1244" s="7"/>
      <c r="J1244" s="8"/>
      <c r="K1244" s="9"/>
      <c r="L1244" s="7"/>
      <c r="M1244" s="8"/>
      <c r="N1244" s="9"/>
      <c r="O1244" s="7"/>
      <c r="P1244" s="8"/>
      <c r="Q1244" s="9"/>
      <c r="R1244" s="5"/>
    </row>
    <row r="1245" spans="1:18" x14ac:dyDescent="0.25">
      <c r="A1245" s="10" t="s">
        <v>287</v>
      </c>
      <c r="B1245" s="18" t="s">
        <v>412</v>
      </c>
      <c r="C1245" s="12">
        <v>100.23</v>
      </c>
      <c r="D1245" s="12">
        <v>0</v>
      </c>
      <c r="E1245" s="10" t="s">
        <v>26</v>
      </c>
      <c r="F1245" s="14">
        <v>298683.04</v>
      </c>
      <c r="G1245" s="14">
        <f>F1245*C1245</f>
        <v>29937001.0992</v>
      </c>
      <c r="H1245" s="15">
        <f>IF($G$1279=0,0,G1245/$G$1279*100)</f>
      </c>
      <c r="I1245" s="12" t="str">
        <f>IF(O1245-C1245&gt;0,O1245-C1245,"")</f>
        <v/>
      </c>
      <c r="J1245" s="14" t="str">
        <f>IF(I1245="","",F1245*I1245)</f>
        <v/>
      </c>
      <c r="K1245" s="15">
        <f>IF(OR(J1245="",$G$1279=0),"",J1245/$G$1279*100)</f>
      </c>
      <c r="L1245" s="12" t="str">
        <f>IF(C1245-O1245&gt;0,C1245-O1245,"")</f>
        <v/>
      </c>
      <c r="M1245" s="14" t="str">
        <f>IF(L1245="","",F1245*L1245)</f>
        <v/>
      </c>
      <c r="N1245" s="15">
        <f>IF(OR(M1245="",$G$1279=0),"",M1245/$G$1279*100)</f>
      </c>
      <c r="O1245" s="12">
        <v>100.23</v>
      </c>
      <c r="P1245" s="14">
        <f>F1245*O1245</f>
        <v>29937001.0992</v>
      </c>
      <c r="Q1245" s="15">
        <f>IF($P$1279=0,0,P1245/$P$1279*100)</f>
      </c>
      <c r="R1245" s="10" t="str">
        <f>IF(O1245=C1245,"TETAP",IF(C1245=0,"BARU",IF(O1245=0,"HAPUS",IF(O1245&gt;C1245,"TAMBAH","KURANG"))))</f>
        <v>TETAP</v>
      </c>
    </row>
    <row r="1246" spans="1:18" x14ac:dyDescent="0.25">
      <c r="A1246" s="10" t="s">
        <v>288</v>
      </c>
      <c r="B1246" s="18" t="s">
        <v>413</v>
      </c>
      <c r="C1246" s="12">
        <v>283</v>
      </c>
      <c r="D1246" s="12">
        <v>0</v>
      </c>
      <c r="E1246" s="10" t="s">
        <v>37</v>
      </c>
      <c r="F1246" s="14">
        <v>6848.67</v>
      </c>
      <c r="G1246" s="14">
        <f>F1246*C1246</f>
        <v>1938173.61</v>
      </c>
      <c r="H1246" s="15">
        <f>IF($G$1279=0,0,G1246/$G$1279*100)</f>
      </c>
      <c r="I1246" s="12" t="str">
        <f>IF(O1246-C1246&gt;0,O1246-C1246,"")</f>
        <v/>
      </c>
      <c r="J1246" s="14" t="str">
        <f>IF(I1246="","",F1246*I1246)</f>
        <v/>
      </c>
      <c r="K1246" s="15">
        <f>IF(OR(J1246="",$G$1279=0),"",J1246/$G$1279*100)</f>
      </c>
      <c r="L1246" s="12" t="str">
        <f>IF(C1246-O1246&gt;0,C1246-O1246,"")</f>
        <v/>
      </c>
      <c r="M1246" s="14" t="str">
        <f>IF(L1246="","",F1246*L1246)</f>
        <v/>
      </c>
      <c r="N1246" s="15">
        <f>IF(OR(M1246="",$G$1279=0),"",M1246/$G$1279*100)</f>
      </c>
      <c r="O1246" s="12">
        <v>283</v>
      </c>
      <c r="P1246" s="14">
        <f>F1246*O1246</f>
        <v>1938173.61</v>
      </c>
      <c r="Q1246" s="15">
        <f>IF($P$1279=0,0,P1246/$P$1279*100)</f>
      </c>
      <c r="R1246" s="10" t="str">
        <f>IF(O1246=C1246,"TETAP",IF(C1246=0,"BARU",IF(O1246=0,"HAPUS",IF(O1246&gt;C1246,"TAMBAH","KURANG"))))</f>
        <v>TETAP</v>
      </c>
    </row>
    <row r="1247" spans="1:18" x14ac:dyDescent="0.25">
      <c r="A1247" s="10" t="s">
        <v>289</v>
      </c>
      <c r="B1247" s="18" t="s">
        <v>916</v>
      </c>
      <c r="C1247" s="12">
        <v>80</v>
      </c>
      <c r="D1247" s="12">
        <v>0</v>
      </c>
      <c r="E1247" s="10" t="s">
        <v>917</v>
      </c>
      <c r="F1247" s="14">
        <v>15016.12</v>
      </c>
      <c r="G1247" s="14">
        <f>F1247*C1247</f>
        <v>1201289.6</v>
      </c>
      <c r="H1247" s="15">
        <f>IF($G$1279=0,0,G1247/$G$1279*100)</f>
      </c>
      <c r="I1247" s="12" t="str">
        <f>IF(O1247-C1247&gt;0,O1247-C1247,"")</f>
        <v/>
      </c>
      <c r="J1247" s="14" t="str">
        <f>IF(I1247="","",F1247*I1247)</f>
        <v/>
      </c>
      <c r="K1247" s="15">
        <f>IF(OR(J1247="",$G$1279=0),"",J1247/$G$1279*100)</f>
      </c>
      <c r="L1247" s="12" t="str">
        <f>IF(C1247-O1247&gt;0,C1247-O1247,"")</f>
        <v/>
      </c>
      <c r="M1247" s="14" t="str">
        <f>IF(L1247="","",F1247*L1247)</f>
        <v/>
      </c>
      <c r="N1247" s="15">
        <f>IF(OR(M1247="",$G$1279=0),"",M1247/$G$1279*100)</f>
      </c>
      <c r="O1247" s="12">
        <v>80</v>
      </c>
      <c r="P1247" s="14">
        <f>F1247*O1247</f>
        <v>1201289.6</v>
      </c>
      <c r="Q1247" s="15">
        <f>IF($P$1279=0,0,P1247/$P$1279*100)</f>
      </c>
      <c r="R1247" s="10" t="str">
        <f>IF(O1247=C1247,"TETAP",IF(C1247=0,"BARU",IF(O1247=0,"HAPUS",IF(O1247&gt;C1247,"TAMBAH","KURANG"))))</f>
        <v>TETAP</v>
      </c>
    </row>
    <row r="1248" spans="1:18" x14ac:dyDescent="0.25">
      <c r="A1248" s="10" t="s">
        <v>290</v>
      </c>
      <c r="B1248" s="18" t="s">
        <v>513</v>
      </c>
      <c r="C1248" s="12">
        <v>138.71</v>
      </c>
      <c r="D1248" s="12">
        <v>0</v>
      </c>
      <c r="E1248" s="10" t="s">
        <v>26</v>
      </c>
      <c r="F1248" s="14">
        <v>201383.58</v>
      </c>
      <c r="G1248" s="14">
        <f>F1248*C1248</f>
        <v>27933916.3818</v>
      </c>
      <c r="H1248" s="15">
        <f>IF($G$1279=0,0,G1248/$G$1279*100)</f>
      </c>
      <c r="I1248" s="12" t="str">
        <f>IF(O1248-C1248&gt;0,O1248-C1248,"")</f>
        <v/>
      </c>
      <c r="J1248" s="14" t="str">
        <f>IF(I1248="","",F1248*I1248)</f>
        <v/>
      </c>
      <c r="K1248" s="15">
        <f>IF(OR(J1248="",$G$1279=0),"",J1248/$G$1279*100)</f>
      </c>
      <c r="L1248" s="12" t="str">
        <f>IF(C1248-O1248&gt;0,C1248-O1248,"")</f>
        <v/>
      </c>
      <c r="M1248" s="14" t="str">
        <f>IF(L1248="","",F1248*L1248)</f>
        <v/>
      </c>
      <c r="N1248" s="15">
        <f>IF(OR(M1248="",$G$1279=0),"",M1248/$G$1279*100)</f>
      </c>
      <c r="O1248" s="12">
        <v>138.71</v>
      </c>
      <c r="P1248" s="14">
        <f>F1248*O1248</f>
        <v>27933916.3818</v>
      </c>
      <c r="Q1248" s="15">
        <f>IF($P$1279=0,0,P1248/$P$1279*100)</f>
      </c>
      <c r="R1248" s="10" t="str">
        <f>IF(O1248=C1248,"TETAP",IF(C1248=0,"BARU",IF(O1248=0,"HAPUS",IF(O1248&gt;C1248,"TAMBAH","KURANG"))))</f>
        <v>TETAP</v>
      </c>
    </row>
    <row r="1249" spans="1:18" x14ac:dyDescent="0.25">
      <c r="A1249" s="10" t="s">
        <v>291</v>
      </c>
      <c r="B1249" s="18" t="s">
        <v>415</v>
      </c>
      <c r="C1249" s="12">
        <v>14.25</v>
      </c>
      <c r="D1249" s="12">
        <v>0</v>
      </c>
      <c r="E1249" s="10" t="s">
        <v>37</v>
      </c>
      <c r="F1249" s="14">
        <v>180329.43</v>
      </c>
      <c r="G1249" s="14">
        <f>F1249*C1249</f>
        <v>2569694.3775</v>
      </c>
      <c r="H1249" s="15">
        <f>IF($G$1279=0,0,G1249/$G$1279*100)</f>
      </c>
      <c r="I1249" s="12" t="str">
        <f>IF(O1249-C1249&gt;0,O1249-C1249,"")</f>
        <v/>
      </c>
      <c r="J1249" s="14" t="str">
        <f>IF(I1249="","",F1249*I1249)</f>
        <v/>
      </c>
      <c r="K1249" s="15">
        <f>IF(OR(J1249="",$G$1279=0),"",J1249/$G$1279*100)</f>
      </c>
      <c r="L1249" s="12" t="str">
        <f>IF(C1249-O1249&gt;0,C1249-O1249,"")</f>
        <v/>
      </c>
      <c r="M1249" s="14" t="str">
        <f>IF(L1249="","",F1249*L1249)</f>
        <v/>
      </c>
      <c r="N1249" s="15">
        <f>IF(OR(M1249="",$G$1279=0),"",M1249/$G$1279*100)</f>
      </c>
      <c r="O1249" s="12">
        <v>14.25</v>
      </c>
      <c r="P1249" s="14">
        <f>F1249*O1249</f>
        <v>2569694.3775</v>
      </c>
      <c r="Q1249" s="15">
        <f>IF($P$1279=0,0,P1249/$P$1279*100)</f>
      </c>
      <c r="R1249" s="10" t="str">
        <f>IF(O1249=C1249,"TETAP",IF(C1249=0,"BARU",IF(O1249=0,"HAPUS",IF(O1249&gt;C1249,"TAMBAH","KURANG"))))</f>
        <v>TETAP</v>
      </c>
    </row>
    <row r="1250" spans="1:18" x14ac:dyDescent="0.25">
      <c r="A1250" s="10" t="s">
        <v>115</v>
      </c>
      <c r="B1250" s="20" t="s">
        <v>918</v>
      </c>
      <c r="C1250" s="12">
        <v>112.3</v>
      </c>
      <c r="D1250" s="12">
        <v>0</v>
      </c>
      <c r="E1250" s="10" t="s">
        <v>26</v>
      </c>
      <c r="F1250" s="14">
        <v>222901.19</v>
      </c>
      <c r="G1250" s="14">
        <f>F1250*C1250</f>
        <v>25031803.637</v>
      </c>
      <c r="H1250" s="15">
        <f>IF($G$1279=0,0,G1250/$G$1279*100)</f>
      </c>
      <c r="I1250" s="12" t="str">
        <f>IF(O1250-C1250&gt;0,O1250-C1250,"")</f>
        <v/>
      </c>
      <c r="J1250" s="14" t="str">
        <f>IF(I1250="","",F1250*I1250)</f>
        <v/>
      </c>
      <c r="K1250" s="15">
        <f>IF(OR(J1250="",$G$1279=0),"",J1250/$G$1279*100)</f>
      </c>
      <c r="L1250" s="12" t="str">
        <f>IF(C1250-O1250&gt;0,C1250-O1250,"")</f>
        <v/>
      </c>
      <c r="M1250" s="14" t="str">
        <f>IF(L1250="","",F1250*L1250)</f>
        <v/>
      </c>
      <c r="N1250" s="15">
        <f>IF(OR(M1250="",$G$1279=0),"",M1250/$G$1279*100)</f>
      </c>
      <c r="O1250" s="12">
        <v>112.3</v>
      </c>
      <c r="P1250" s="14">
        <f>F1250*O1250</f>
        <v>25031803.637</v>
      </c>
      <c r="Q1250" s="15">
        <f>IF($P$1279=0,0,P1250/$P$1279*100)</f>
      </c>
      <c r="R1250" s="10" t="str">
        <f>IF(O1250=C1250,"TETAP",IF(C1250=0,"BARU",IF(O1250=0,"HAPUS",IF(O1250&gt;C1250,"TAMBAH","KURANG"))))</f>
        <v>TETAP</v>
      </c>
    </row>
    <row r="1251" spans="1:18" x14ac:dyDescent="0.25">
      <c r="A1251" s="10" t="s">
        <v>132</v>
      </c>
      <c r="B1251" s="20" t="s">
        <v>417</v>
      </c>
      <c r="C1251" s="12">
        <v>7.25</v>
      </c>
      <c r="D1251" s="12">
        <v>0</v>
      </c>
      <c r="E1251" s="10" t="s">
        <v>26</v>
      </c>
      <c r="F1251" s="14">
        <v>436098.11</v>
      </c>
      <c r="G1251" s="14">
        <f>F1251*C1251</f>
        <v>3161711.2975</v>
      </c>
      <c r="H1251" s="15">
        <f>IF($G$1279=0,0,G1251/$G$1279*100)</f>
      </c>
      <c r="I1251" s="12" t="str">
        <f>IF(O1251-C1251&gt;0,O1251-C1251,"")</f>
        <v/>
      </c>
      <c r="J1251" s="14" t="str">
        <f>IF(I1251="","",F1251*I1251)</f>
        <v/>
      </c>
      <c r="K1251" s="15">
        <f>IF(OR(J1251="",$G$1279=0),"",J1251/$G$1279*100)</f>
      </c>
      <c r="L1251" s="12" t="str">
        <f>IF(C1251-O1251&gt;0,C1251-O1251,"")</f>
        <v/>
      </c>
      <c r="M1251" s="14" t="str">
        <f>IF(L1251="","",F1251*L1251)</f>
        <v/>
      </c>
      <c r="N1251" s="15">
        <f>IF(OR(M1251="",$G$1279=0),"",M1251/$G$1279*100)</f>
      </c>
      <c r="O1251" s="12">
        <v>7.25</v>
      </c>
      <c r="P1251" s="14">
        <f>F1251*O1251</f>
        <v>3161711.2975</v>
      </c>
      <c r="Q1251" s="15">
        <f>IF($P$1279=0,0,P1251/$P$1279*100)</f>
      </c>
      <c r="R1251" s="10" t="str">
        <f>IF(O1251=C1251,"TETAP",IF(C1251=0,"BARU",IF(O1251=0,"HAPUS",IF(O1251&gt;C1251,"TAMBAH","KURANG"))))</f>
        <v>TETAP</v>
      </c>
    </row>
    <row r="1252" spans="1:18" x14ac:dyDescent="0.25">
      <c r="A1252" s="10" t="s">
        <v>138</v>
      </c>
      <c r="B1252" s="20" t="s">
        <v>530</v>
      </c>
      <c r="C1252" s="12">
        <v>145.8</v>
      </c>
      <c r="D1252" s="12">
        <v>0</v>
      </c>
      <c r="E1252" s="10" t="s">
        <v>26</v>
      </c>
      <c r="F1252" s="14">
        <v>92448.72</v>
      </c>
      <c r="G1252" s="14">
        <f>F1252*C1252</f>
        <v>13479023.376000002</v>
      </c>
      <c r="H1252" s="15">
        <f>IF($G$1279=0,0,G1252/$G$1279*100)</f>
      </c>
      <c r="I1252" s="12" t="str">
        <f>IF(O1252-C1252&gt;0,O1252-C1252,"")</f>
        <v/>
      </c>
      <c r="J1252" s="14" t="str">
        <f>IF(I1252="","",F1252*I1252)</f>
        <v/>
      </c>
      <c r="K1252" s="15">
        <f>IF(OR(J1252="",$G$1279=0),"",J1252/$G$1279*100)</f>
      </c>
      <c r="L1252" s="12" t="str">
        <f>IF(C1252-O1252&gt;0,C1252-O1252,"")</f>
        <v/>
      </c>
      <c r="M1252" s="14" t="str">
        <f>IF(L1252="","",F1252*L1252)</f>
        <v/>
      </c>
      <c r="N1252" s="15">
        <f>IF(OR(M1252="",$G$1279=0),"",M1252/$G$1279*100)</f>
      </c>
      <c r="O1252" s="12">
        <v>145.8</v>
      </c>
      <c r="P1252" s="14">
        <f>F1252*O1252</f>
        <v>13479023.376000002</v>
      </c>
      <c r="Q1252" s="15">
        <f>IF($P$1279=0,0,P1252/$P$1279*100)</f>
      </c>
      <c r="R1252" s="10" t="str">
        <f>IF(O1252=C1252,"TETAP",IF(C1252=0,"BARU",IF(O1252=0,"HAPUS",IF(O1252&gt;C1252,"TAMBAH","KURANG"))))</f>
        <v>TETAP</v>
      </c>
    </row>
    <row r="1253" spans="1:18" x14ac:dyDescent="0.25">
      <c r="A1253" s="10" t="s">
        <v>144</v>
      </c>
      <c r="B1253" s="20" t="s">
        <v>419</v>
      </c>
      <c r="C1253" s="12">
        <v>112.3</v>
      </c>
      <c r="D1253" s="12">
        <v>0</v>
      </c>
      <c r="E1253" s="10" t="s">
        <v>26</v>
      </c>
      <c r="F1253" s="14">
        <v>37047.53</v>
      </c>
      <c r="G1253" s="14">
        <f>F1253*C1253</f>
        <v>4160437.619</v>
      </c>
      <c r="H1253" s="15">
        <f>IF($G$1279=0,0,G1253/$G$1279*100)</f>
      </c>
      <c r="I1253" s="12" t="str">
        <f>IF(O1253-C1253&gt;0,O1253-C1253,"")</f>
        <v/>
      </c>
      <c r="J1253" s="14" t="str">
        <f>IF(I1253="","",F1253*I1253)</f>
        <v/>
      </c>
      <c r="K1253" s="15">
        <f>IF(OR(J1253="",$G$1279=0),"",J1253/$G$1279*100)</f>
      </c>
      <c r="L1253" s="12" t="str">
        <f>IF(C1253-O1253&gt;0,C1253-O1253,"")</f>
        <v/>
      </c>
      <c r="M1253" s="14" t="str">
        <f>IF(L1253="","",F1253*L1253)</f>
        <v/>
      </c>
      <c r="N1253" s="15">
        <f>IF(OR(M1253="",$G$1279=0),"",M1253/$G$1279*100)</f>
      </c>
      <c r="O1253" s="12">
        <v>112.3</v>
      </c>
      <c r="P1253" s="14">
        <f>F1253*O1253</f>
        <v>4160437.619</v>
      </c>
      <c r="Q1253" s="15">
        <f>IF($P$1279=0,0,P1253/$P$1279*100)</f>
      </c>
      <c r="R1253" s="10" t="str">
        <f>IF(O1253=C1253,"TETAP",IF(C1253=0,"BARU",IF(O1253=0,"HAPUS",IF(O1253&gt;C1253,"TAMBAH","KURANG"))))</f>
        <v>TETAP</v>
      </c>
    </row>
    <row r="1254" spans="1:18" x14ac:dyDescent="0.25">
      <c r="A1254" s="10" t="s">
        <v>150</v>
      </c>
      <c r="B1254" s="20" t="s">
        <v>420</v>
      </c>
      <c r="C1254" s="12">
        <v>47.37</v>
      </c>
      <c r="D1254" s="12">
        <v>0</v>
      </c>
      <c r="E1254" s="10" t="s">
        <v>37</v>
      </c>
      <c r="F1254" s="14">
        <v>104856.07</v>
      </c>
      <c r="G1254" s="14">
        <f>F1254*C1254</f>
        <v>4967032.0359000005</v>
      </c>
      <c r="H1254" s="15">
        <f>IF($G$1279=0,0,G1254/$G$1279*100)</f>
      </c>
      <c r="I1254" s="12" t="str">
        <f>IF(O1254-C1254&gt;0,O1254-C1254,"")</f>
        <v/>
      </c>
      <c r="J1254" s="14" t="str">
        <f>IF(I1254="","",F1254*I1254)</f>
        <v/>
      </c>
      <c r="K1254" s="15">
        <f>IF(OR(J1254="",$G$1279=0),"",J1254/$G$1279*100)</f>
      </c>
      <c r="L1254" s="12" t="str">
        <f>IF(C1254-O1254&gt;0,C1254-O1254,"")</f>
        <v/>
      </c>
      <c r="M1254" s="14" t="str">
        <f>IF(L1254="","",F1254*L1254)</f>
        <v/>
      </c>
      <c r="N1254" s="15">
        <f>IF(OR(M1254="",$G$1279=0),"",M1254/$G$1279*100)</f>
      </c>
      <c r="O1254" s="12">
        <v>47.37</v>
      </c>
      <c r="P1254" s="14">
        <f>F1254*O1254</f>
        <v>4967032.0359000005</v>
      </c>
      <c r="Q1254" s="15">
        <f>IF($P$1279=0,0,P1254/$P$1279*100)</f>
      </c>
      <c r="R1254" s="10" t="str">
        <f>IF(O1254=C1254,"TETAP",IF(C1254=0,"BARU",IF(O1254=0,"HAPUS",IF(O1254&gt;C1254,"TAMBAH","KURANG"))))</f>
        <v>TETAP</v>
      </c>
    </row>
    <row r="1255" spans="1:18" x14ac:dyDescent="0.25">
      <c r="A1255" s="10" t="s">
        <v>152</v>
      </c>
      <c r="B1255" s="20" t="s">
        <v>919</v>
      </c>
      <c r="C1255" s="12">
        <v>14.21</v>
      </c>
      <c r="D1255" s="12">
        <v>0</v>
      </c>
      <c r="E1255" s="10" t="s">
        <v>26</v>
      </c>
      <c r="F1255" s="14">
        <v>92448.72</v>
      </c>
      <c r="G1255" s="14">
        <f>F1255*C1255</f>
        <v>1313696.3112</v>
      </c>
      <c r="H1255" s="15">
        <f>IF($G$1279=0,0,G1255/$G$1279*100)</f>
      </c>
      <c r="I1255" s="12" t="str">
        <f>IF(O1255-C1255&gt;0,O1255-C1255,"")</f>
        <v/>
      </c>
      <c r="J1255" s="14" t="str">
        <f>IF(I1255="","",F1255*I1255)</f>
        <v/>
      </c>
      <c r="K1255" s="15">
        <f>IF(OR(J1255="",$G$1279=0),"",J1255/$G$1279*100)</f>
      </c>
      <c r="L1255" s="12" t="str">
        <f>IF(C1255-O1255&gt;0,C1255-O1255,"")</f>
        <v/>
      </c>
      <c r="M1255" s="14" t="str">
        <f>IF(L1255="","",F1255*L1255)</f>
        <v/>
      </c>
      <c r="N1255" s="15">
        <f>IF(OR(M1255="",$G$1279=0),"",M1255/$G$1279*100)</f>
      </c>
      <c r="O1255" s="12">
        <v>14.21</v>
      </c>
      <c r="P1255" s="14">
        <f>F1255*O1255</f>
        <v>1313696.3112</v>
      </c>
      <c r="Q1255" s="15">
        <f>IF($P$1279=0,0,P1255/$P$1279*100)</f>
      </c>
      <c r="R1255" s="10" t="str">
        <f>IF(O1255=C1255,"TETAP",IF(C1255=0,"BARU",IF(O1255=0,"HAPUS",IF(O1255&gt;C1255,"TAMBAH","KURANG"))))</f>
        <v>TETAP</v>
      </c>
    </row>
    <row r="1256" spans="1:18" x14ac:dyDescent="0.25">
      <c r="A1256" s="10" t="s">
        <v>531</v>
      </c>
      <c r="B1256" s="20" t="s">
        <v>535</v>
      </c>
      <c r="C1256" s="12">
        <v>1</v>
      </c>
      <c r="D1256" s="12">
        <v>0</v>
      </c>
      <c r="E1256" s="10" t="s">
        <v>119</v>
      </c>
      <c r="F1256" s="14">
        <v>2296017.52</v>
      </c>
      <c r="G1256" s="14">
        <f>F1256*C1256</f>
        <v>2296017.52</v>
      </c>
      <c r="H1256" s="15">
        <f>IF($G$1279=0,0,G1256/$G$1279*100)</f>
      </c>
      <c r="I1256" s="12" t="str">
        <f>IF(O1256-C1256&gt;0,O1256-C1256,"")</f>
        <v/>
      </c>
      <c r="J1256" s="14" t="str">
        <f>IF(I1256="","",F1256*I1256)</f>
        <v/>
      </c>
      <c r="K1256" s="15">
        <f>IF(OR(J1256="",$G$1279=0),"",J1256/$G$1279*100)</f>
      </c>
      <c r="L1256" s="12" t="str">
        <f>IF(C1256-O1256&gt;0,C1256-O1256,"")</f>
        <v/>
      </c>
      <c r="M1256" s="14" t="str">
        <f>IF(L1256="","",F1256*L1256)</f>
        <v/>
      </c>
      <c r="N1256" s="15">
        <f>IF(OR(M1256="",$G$1279=0),"",M1256/$G$1279*100)</f>
      </c>
      <c r="O1256" s="12">
        <v>1</v>
      </c>
      <c r="P1256" s="14">
        <f>F1256*O1256</f>
        <v>2296017.52</v>
      </c>
      <c r="Q1256" s="15">
        <f>IF($P$1279=0,0,P1256/$P$1279*100)</f>
      </c>
      <c r="R1256" s="10" t="str">
        <f>IF(O1256=C1256,"TETAP",IF(C1256=0,"BARU",IF(O1256=0,"HAPUS",IF(O1256&gt;C1256,"TAMBAH","KURANG"))))</f>
        <v>TETAP</v>
      </c>
    </row>
    <row r="1257" spans="1:18" x14ac:dyDescent="0.25">
      <c r="A1257" s="10" t="s">
        <v>533</v>
      </c>
      <c r="B1257" s="20" t="s">
        <v>920</v>
      </c>
      <c r="C1257" s="12">
        <v>12</v>
      </c>
      <c r="D1257" s="12">
        <v>0</v>
      </c>
      <c r="E1257" s="10" t="s">
        <v>32</v>
      </c>
      <c r="F1257" s="14">
        <v>255040.84</v>
      </c>
      <c r="G1257" s="14">
        <f>F1257*C1257</f>
        <v>3060490.08</v>
      </c>
      <c r="H1257" s="15">
        <f>IF($G$1279=0,0,G1257/$G$1279*100)</f>
      </c>
      <c r="I1257" s="12" t="str">
        <f>IF(O1257-C1257&gt;0,O1257-C1257,"")</f>
        <v/>
      </c>
      <c r="J1257" s="14" t="str">
        <f>IF(I1257="","",F1257*I1257)</f>
        <v/>
      </c>
      <c r="K1257" s="15">
        <f>IF(OR(J1257="",$G$1279=0),"",J1257/$G$1279*100)</f>
      </c>
      <c r="L1257" s="12" t="str">
        <f>IF(C1257-O1257&gt;0,C1257-O1257,"")</f>
        <v/>
      </c>
      <c r="M1257" s="14" t="str">
        <f>IF(L1257="","",F1257*L1257)</f>
        <v/>
      </c>
      <c r="N1257" s="15">
        <f>IF(OR(M1257="",$G$1279=0),"",M1257/$G$1279*100)</f>
      </c>
      <c r="O1257" s="12">
        <v>12</v>
      </c>
      <c r="P1257" s="14">
        <f>F1257*O1257</f>
        <v>3060490.08</v>
      </c>
      <c r="Q1257" s="15">
        <f>IF($P$1279=0,0,P1257/$P$1279*100)</f>
      </c>
      <c r="R1257" s="10" t="str">
        <f>IF(O1257=C1257,"TETAP",IF(C1257=0,"BARU",IF(O1257=0,"HAPUS",IF(O1257&gt;C1257,"TAMBAH","KURANG"))))</f>
        <v>TETAP</v>
      </c>
    </row>
    <row r="1258" spans="1:18" x14ac:dyDescent="0.25">
      <c r="A1258" s="5" t="s">
        <v>921</v>
      </c>
      <c r="B1258" s="16" t="s">
        <v>425</v>
      </c>
      <c r="C1258" s="7"/>
      <c r="D1258" s="7"/>
      <c r="E1258" s="5"/>
      <c r="F1258" s="8"/>
      <c r="G1258" s="8"/>
      <c r="H1258" s="9"/>
      <c r="I1258" s="7"/>
      <c r="J1258" s="8"/>
      <c r="K1258" s="9"/>
      <c r="L1258" s="7"/>
      <c r="M1258" s="8"/>
      <c r="N1258" s="9"/>
      <c r="O1258" s="7"/>
      <c r="P1258" s="8"/>
      <c r="Q1258" s="9"/>
      <c r="R1258" s="5"/>
    </row>
    <row r="1259" spans="1:18" x14ac:dyDescent="0.25">
      <c r="A1259" s="10" t="s">
        <v>24</v>
      </c>
      <c r="B1259" s="20" t="s">
        <v>668</v>
      </c>
      <c r="C1259" s="12">
        <v>18</v>
      </c>
      <c r="D1259" s="12">
        <v>0</v>
      </c>
      <c r="E1259" s="10" t="s">
        <v>114</v>
      </c>
      <c r="F1259" s="14">
        <v>480412.67</v>
      </c>
      <c r="G1259" s="14">
        <f>F1259*C1259</f>
        <v>8647428.06</v>
      </c>
      <c r="H1259" s="15">
        <f>IF($G$1279=0,0,G1259/$G$1279*100)</f>
      </c>
      <c r="I1259" s="12" t="str">
        <f>IF(O1259-C1259&gt;0,O1259-C1259,"")</f>
        <v/>
      </c>
      <c r="J1259" s="14" t="str">
        <f>IF(I1259="","",F1259*I1259)</f>
        <v/>
      </c>
      <c r="K1259" s="15">
        <f>IF(OR(J1259="",$G$1279=0),"",J1259/$G$1279*100)</f>
      </c>
      <c r="L1259" s="12" t="str">
        <f>IF(C1259-O1259&gt;0,C1259-O1259,"")</f>
        <v/>
      </c>
      <c r="M1259" s="14" t="str">
        <f>IF(L1259="","",F1259*L1259)</f>
        <v/>
      </c>
      <c r="N1259" s="15">
        <f>IF(OR(M1259="",$G$1279=0),"",M1259/$G$1279*100)</f>
      </c>
      <c r="O1259" s="12">
        <v>18</v>
      </c>
      <c r="P1259" s="14">
        <f>F1259*O1259</f>
        <v>8647428.06</v>
      </c>
      <c r="Q1259" s="15">
        <f>IF($P$1279=0,0,P1259/$P$1279*100)</f>
      </c>
      <c r="R1259" s="10" t="str">
        <f>IF(O1259=C1259,"TETAP",IF(C1259=0,"BARU",IF(O1259=0,"HAPUS",IF(O1259&gt;C1259,"TAMBAH","KURANG"))))</f>
        <v>TETAP</v>
      </c>
    </row>
    <row r="1260" spans="1:18" x14ac:dyDescent="0.25">
      <c r="A1260" s="10" t="s">
        <v>27</v>
      </c>
      <c r="B1260" s="20" t="s">
        <v>670</v>
      </c>
      <c r="C1260" s="12">
        <v>6</v>
      </c>
      <c r="D1260" s="12">
        <v>0</v>
      </c>
      <c r="E1260" s="10" t="s">
        <v>114</v>
      </c>
      <c r="F1260" s="14">
        <v>400188.86</v>
      </c>
      <c r="G1260" s="14">
        <f>F1260*C1260</f>
        <v>2401133.16</v>
      </c>
      <c r="H1260" s="15">
        <f>IF($G$1279=0,0,G1260/$G$1279*100)</f>
      </c>
      <c r="I1260" s="12" t="str">
        <f>IF(O1260-C1260&gt;0,O1260-C1260,"")</f>
        <v/>
      </c>
      <c r="J1260" s="14" t="str">
        <f>IF(I1260="","",F1260*I1260)</f>
        <v/>
      </c>
      <c r="K1260" s="15">
        <f>IF(OR(J1260="",$G$1279=0),"",J1260/$G$1279*100)</f>
      </c>
      <c r="L1260" s="12" t="str">
        <f>IF(C1260-O1260&gt;0,C1260-O1260,"")</f>
        <v/>
      </c>
      <c r="M1260" s="14" t="str">
        <f>IF(L1260="","",F1260*L1260)</f>
        <v/>
      </c>
      <c r="N1260" s="15">
        <f>IF(OR(M1260="",$G$1279=0),"",M1260/$G$1279*100)</f>
      </c>
      <c r="O1260" s="12">
        <v>6</v>
      </c>
      <c r="P1260" s="14">
        <f>F1260*O1260</f>
        <v>2401133.16</v>
      </c>
      <c r="Q1260" s="15">
        <f>IF($P$1279=0,0,P1260/$P$1279*100)</f>
      </c>
      <c r="R1260" s="10" t="str">
        <f>IF(O1260=C1260,"TETAP",IF(C1260=0,"BARU",IF(O1260=0,"HAPUS",IF(O1260&gt;C1260,"TAMBAH","KURANG"))))</f>
        <v>TETAP</v>
      </c>
    </row>
    <row r="1261" spans="1:18" x14ac:dyDescent="0.25">
      <c r="A1261" s="10" t="s">
        <v>30</v>
      </c>
      <c r="B1261" s="20" t="s">
        <v>578</v>
      </c>
      <c r="C1261" s="12">
        <v>2</v>
      </c>
      <c r="D1261" s="12">
        <v>0</v>
      </c>
      <c r="E1261" s="10" t="s">
        <v>32</v>
      </c>
      <c r="F1261" s="14">
        <v>50859.93</v>
      </c>
      <c r="G1261" s="14">
        <f>F1261*C1261</f>
        <v>101719.86</v>
      </c>
      <c r="H1261" s="15">
        <f>IF($G$1279=0,0,G1261/$G$1279*100)</f>
      </c>
      <c r="I1261" s="12" t="str">
        <f>IF(O1261-C1261&gt;0,O1261-C1261,"")</f>
        <v/>
      </c>
      <c r="J1261" s="14" t="str">
        <f>IF(I1261="","",F1261*I1261)</f>
        <v/>
      </c>
      <c r="K1261" s="15">
        <f>IF(OR(J1261="",$G$1279=0),"",J1261/$G$1279*100)</f>
      </c>
      <c r="L1261" s="12" t="str">
        <f>IF(C1261-O1261&gt;0,C1261-O1261,"")</f>
        <v/>
      </c>
      <c r="M1261" s="14" t="str">
        <f>IF(L1261="","",F1261*L1261)</f>
        <v/>
      </c>
      <c r="N1261" s="15">
        <f>IF(OR(M1261="",$G$1279=0),"",M1261/$G$1279*100)</f>
      </c>
      <c r="O1261" s="12">
        <v>2</v>
      </c>
      <c r="P1261" s="14">
        <f>F1261*O1261</f>
        <v>101719.86</v>
      </c>
      <c r="Q1261" s="15">
        <f>IF($P$1279=0,0,P1261/$P$1279*100)</f>
      </c>
      <c r="R1261" s="10" t="str">
        <f>IF(O1261=C1261,"TETAP",IF(C1261=0,"BARU",IF(O1261=0,"HAPUS",IF(O1261&gt;C1261,"TAMBAH","KURANG"))))</f>
        <v>TETAP</v>
      </c>
    </row>
    <row r="1262" spans="1:18" x14ac:dyDescent="0.25">
      <c r="A1262" s="10" t="s">
        <v>33</v>
      </c>
      <c r="B1262" s="20" t="s">
        <v>579</v>
      </c>
      <c r="C1262" s="12">
        <v>6</v>
      </c>
      <c r="D1262" s="12">
        <v>0</v>
      </c>
      <c r="E1262" s="10" t="s">
        <v>32</v>
      </c>
      <c r="F1262" s="14">
        <v>88424.41</v>
      </c>
      <c r="G1262" s="14">
        <f>F1262*C1262</f>
        <v>530546.46</v>
      </c>
      <c r="H1262" s="15">
        <f>IF($G$1279=0,0,G1262/$G$1279*100)</f>
      </c>
      <c r="I1262" s="12" t="str">
        <f>IF(O1262-C1262&gt;0,O1262-C1262,"")</f>
        <v/>
      </c>
      <c r="J1262" s="14" t="str">
        <f>IF(I1262="","",F1262*I1262)</f>
        <v/>
      </c>
      <c r="K1262" s="15">
        <f>IF(OR(J1262="",$G$1279=0),"",J1262/$G$1279*100)</f>
      </c>
      <c r="L1262" s="12" t="str">
        <f>IF(C1262-O1262&gt;0,C1262-O1262,"")</f>
        <v/>
      </c>
      <c r="M1262" s="14" t="str">
        <f>IF(L1262="","",F1262*L1262)</f>
        <v/>
      </c>
      <c r="N1262" s="15">
        <f>IF(OR(M1262="",$G$1279=0),"",M1262/$G$1279*100)</f>
      </c>
      <c r="O1262" s="12">
        <v>6</v>
      </c>
      <c r="P1262" s="14">
        <f>F1262*O1262</f>
        <v>530546.46</v>
      </c>
      <c r="Q1262" s="15">
        <f>IF($P$1279=0,0,P1262/$P$1279*100)</f>
      </c>
      <c r="R1262" s="10" t="str">
        <f>IF(O1262=C1262,"TETAP",IF(C1262=0,"BARU",IF(O1262=0,"HAPUS",IF(O1262&gt;C1262,"TAMBAH","KURANG"))))</f>
        <v>TETAP</v>
      </c>
    </row>
    <row r="1263" spans="1:18" x14ac:dyDescent="0.25">
      <c r="A1263" s="10" t="s">
        <v>35</v>
      </c>
      <c r="B1263" s="20" t="s">
        <v>576</v>
      </c>
      <c r="C1263" s="12">
        <v>18</v>
      </c>
      <c r="D1263" s="12">
        <v>0</v>
      </c>
      <c r="E1263" s="10" t="s">
        <v>114</v>
      </c>
      <c r="F1263" s="14">
        <v>144903.67</v>
      </c>
      <c r="G1263" s="14">
        <f>F1263*C1263</f>
        <v>2608266.06</v>
      </c>
      <c r="H1263" s="15">
        <f>IF($G$1279=0,0,G1263/$G$1279*100)</f>
      </c>
      <c r="I1263" s="12" t="str">
        <f>IF(O1263-C1263&gt;0,O1263-C1263,"")</f>
        <v/>
      </c>
      <c r="J1263" s="14" t="str">
        <f>IF(I1263="","",F1263*I1263)</f>
        <v/>
      </c>
      <c r="K1263" s="15">
        <f>IF(OR(J1263="",$G$1279=0),"",J1263/$G$1279*100)</f>
      </c>
      <c r="L1263" s="12" t="str">
        <f>IF(C1263-O1263&gt;0,C1263-O1263,"")</f>
        <v/>
      </c>
      <c r="M1263" s="14" t="str">
        <f>IF(L1263="","",F1263*L1263)</f>
        <v/>
      </c>
      <c r="N1263" s="15">
        <f>IF(OR(M1263="",$G$1279=0),"",M1263/$G$1279*100)</f>
      </c>
      <c r="O1263" s="12">
        <v>18</v>
      </c>
      <c r="P1263" s="14">
        <f>F1263*O1263</f>
        <v>2608266.06</v>
      </c>
      <c r="Q1263" s="15">
        <f>IF($P$1279=0,0,P1263/$P$1279*100)</f>
      </c>
      <c r="R1263" s="10" t="str">
        <f>IF(O1263=C1263,"TETAP",IF(C1263=0,"BARU",IF(O1263=0,"HAPUS",IF(O1263&gt;C1263,"TAMBAH","KURANG"))))</f>
        <v>TETAP</v>
      </c>
    </row>
    <row r="1264" spans="1:18" x14ac:dyDescent="0.25">
      <c r="A1264" s="10" t="s">
        <v>38</v>
      </c>
      <c r="B1264" s="20" t="s">
        <v>837</v>
      </c>
      <c r="C1264" s="12">
        <v>1</v>
      </c>
      <c r="D1264" s="12">
        <v>0</v>
      </c>
      <c r="E1264" s="10" t="s">
        <v>32</v>
      </c>
      <c r="F1264" s="14">
        <v>4511201.08</v>
      </c>
      <c r="G1264" s="14">
        <f>F1264*C1264</f>
        <v>4511201.08</v>
      </c>
      <c r="H1264" s="15">
        <f>IF($G$1279=0,0,G1264/$G$1279*100)</f>
      </c>
      <c r="I1264" s="12" t="str">
        <f>IF(O1264-C1264&gt;0,O1264-C1264,"")</f>
        <v/>
      </c>
      <c r="J1264" s="14" t="str">
        <f>IF(I1264="","",F1264*I1264)</f>
        <v/>
      </c>
      <c r="K1264" s="15">
        <f>IF(OR(J1264="",$G$1279=0),"",J1264/$G$1279*100)</f>
      </c>
      <c r="L1264" s="12" t="str">
        <f>IF(C1264-O1264&gt;0,C1264-O1264,"")</f>
        <v/>
      </c>
      <c r="M1264" s="14" t="str">
        <f>IF(L1264="","",F1264*L1264)</f>
        <v/>
      </c>
      <c r="N1264" s="15">
        <f>IF(OR(M1264="",$G$1279=0),"",M1264/$G$1279*100)</f>
      </c>
      <c r="O1264" s="12">
        <v>1</v>
      </c>
      <c r="P1264" s="14">
        <f>F1264*O1264</f>
        <v>4511201.08</v>
      </c>
      <c r="Q1264" s="15">
        <f>IF($P$1279=0,0,P1264/$P$1279*100)</f>
      </c>
      <c r="R1264" s="10" t="str">
        <f>IF(O1264=C1264,"TETAP",IF(C1264=0,"BARU",IF(O1264=0,"HAPUS",IF(O1264&gt;C1264,"TAMBAH","KURANG"))))</f>
        <v>TETAP</v>
      </c>
    </row>
    <row r="1265" spans="1:18" x14ac:dyDescent="0.25">
      <c r="A1265" s="5" t="s">
        <v>922</v>
      </c>
      <c r="B1265" s="6" t="s">
        <v>923</v>
      </c>
      <c r="C1265" s="7"/>
      <c r="D1265" s="7"/>
      <c r="E1265" s="5"/>
      <c r="F1265" s="8"/>
      <c r="G1265" s="8"/>
      <c r="H1265" s="9"/>
      <c r="I1265" s="7"/>
      <c r="J1265" s="8"/>
      <c r="K1265" s="9"/>
      <c r="L1265" s="7"/>
      <c r="M1265" s="8"/>
      <c r="N1265" s="9"/>
      <c r="O1265" s="7"/>
      <c r="P1265" s="8"/>
      <c r="Q1265" s="9"/>
      <c r="R1265" s="5"/>
    </row>
    <row r="1266" spans="1:18" x14ac:dyDescent="0.25">
      <c r="A1266" s="10" t="s">
        <v>24</v>
      </c>
      <c r="B1266" s="11" t="s">
        <v>348</v>
      </c>
      <c r="C1266" s="12">
        <v>11</v>
      </c>
      <c r="D1266" s="12">
        <v>0</v>
      </c>
      <c r="E1266" s="10" t="s">
        <v>37</v>
      </c>
      <c r="F1266" s="14">
        <v>161600.06</v>
      </c>
      <c r="G1266" s="14">
        <f>F1266*C1266</f>
        <v>1777600.66</v>
      </c>
      <c r="H1266" s="15">
        <f>IF($G$1279=0,0,G1266/$G$1279*100)</f>
      </c>
      <c r="I1266" s="12" t="str">
        <f>IF(O1266-C1266&gt;0,O1266-C1266,"")</f>
        <v/>
      </c>
      <c r="J1266" s="14" t="str">
        <f>IF(I1266="","",F1266*I1266)</f>
        <v/>
      </c>
      <c r="K1266" s="15">
        <f>IF(OR(J1266="",$G$1279=0),"",J1266/$G$1279*100)</f>
      </c>
      <c r="L1266" s="12" t="str">
        <f>IF(C1266-O1266&gt;0,C1266-O1266,"")</f>
        <v/>
      </c>
      <c r="M1266" s="14" t="str">
        <f>IF(L1266="","",F1266*L1266)</f>
        <v/>
      </c>
      <c r="N1266" s="15">
        <f>IF(OR(M1266="",$G$1279=0),"",M1266/$G$1279*100)</f>
      </c>
      <c r="O1266" s="12">
        <v>11</v>
      </c>
      <c r="P1266" s="14">
        <f>F1266*O1266</f>
        <v>1777600.66</v>
      </c>
      <c r="Q1266" s="15">
        <f>IF($P$1279=0,0,P1266/$P$1279*100)</f>
      </c>
      <c r="R1266" s="10" t="str">
        <f>IF(O1266=C1266,"TETAP",IF(C1266=0,"BARU",IF(O1266=0,"HAPUS",IF(O1266&gt;C1266,"TAMBAH","KURANG"))))</f>
        <v>TETAP</v>
      </c>
    </row>
    <row r="1267" spans="1:18" x14ac:dyDescent="0.25">
      <c r="A1267" s="10" t="s">
        <v>27</v>
      </c>
      <c r="B1267" s="11" t="s">
        <v>924</v>
      </c>
      <c r="C1267" s="12">
        <v>10</v>
      </c>
      <c r="D1267" s="12">
        <v>0</v>
      </c>
      <c r="E1267" s="10" t="s">
        <v>159</v>
      </c>
      <c r="F1267" s="14">
        <v>97231.65</v>
      </c>
      <c r="G1267" s="14">
        <f>F1267*C1267</f>
        <v>972316.5</v>
      </c>
      <c r="H1267" s="15">
        <f>IF($G$1279=0,0,G1267/$G$1279*100)</f>
      </c>
      <c r="I1267" s="12" t="str">
        <f>IF(O1267-C1267&gt;0,O1267-C1267,"")</f>
        <v/>
      </c>
      <c r="J1267" s="14" t="str">
        <f>IF(I1267="","",F1267*I1267)</f>
        <v/>
      </c>
      <c r="K1267" s="15">
        <f>IF(OR(J1267="",$G$1279=0),"",J1267/$G$1279*100)</f>
      </c>
      <c r="L1267" s="12" t="str">
        <f>IF(C1267-O1267&gt;0,C1267-O1267,"")</f>
        <v/>
      </c>
      <c r="M1267" s="14" t="str">
        <f>IF(L1267="","",F1267*L1267)</f>
        <v/>
      </c>
      <c r="N1267" s="15">
        <f>IF(OR(M1267="",$G$1279=0),"",M1267/$G$1279*100)</f>
      </c>
      <c r="O1267" s="12">
        <v>10</v>
      </c>
      <c r="P1267" s="14">
        <f>F1267*O1267</f>
        <v>972316.5</v>
      </c>
      <c r="Q1267" s="15">
        <f>IF($P$1279=0,0,P1267/$P$1279*100)</f>
      </c>
      <c r="R1267" s="10" t="str">
        <f>IF(O1267=C1267,"TETAP",IF(C1267=0,"BARU",IF(O1267=0,"HAPUS",IF(O1267&gt;C1267,"TAMBAH","KURANG"))))</f>
        <v>TETAP</v>
      </c>
    </row>
    <row r="1268" spans="1:18" x14ac:dyDescent="0.25">
      <c r="A1268" s="10" t="s">
        <v>30</v>
      </c>
      <c r="B1268" s="11" t="s">
        <v>925</v>
      </c>
      <c r="C1268" s="12">
        <v>10</v>
      </c>
      <c r="D1268" s="12">
        <v>0</v>
      </c>
      <c r="E1268" s="10" t="s">
        <v>159</v>
      </c>
      <c r="F1268" s="14">
        <v>24060.78</v>
      </c>
      <c r="G1268" s="14">
        <f>F1268*C1268</f>
        <v>240607.8</v>
      </c>
      <c r="H1268" s="15">
        <f>IF($G$1279=0,0,G1268/$G$1279*100)</f>
      </c>
      <c r="I1268" s="12" t="str">
        <f>IF(O1268-C1268&gt;0,O1268-C1268,"")</f>
        <v/>
      </c>
      <c r="J1268" s="14" t="str">
        <f>IF(I1268="","",F1268*I1268)</f>
        <v/>
      </c>
      <c r="K1268" s="15">
        <f>IF(OR(J1268="",$G$1279=0),"",J1268/$G$1279*100)</f>
      </c>
      <c r="L1268" s="12" t="str">
        <f>IF(C1268-O1268&gt;0,C1268-O1268,"")</f>
        <v/>
      </c>
      <c r="M1268" s="14" t="str">
        <f>IF(L1268="","",F1268*L1268)</f>
        <v/>
      </c>
      <c r="N1268" s="15">
        <f>IF(OR(M1268="",$G$1279=0),"",M1268/$G$1279*100)</f>
      </c>
      <c r="O1268" s="12">
        <v>10</v>
      </c>
      <c r="P1268" s="14">
        <f>F1268*O1268</f>
        <v>240607.8</v>
      </c>
      <c r="Q1268" s="15">
        <f>IF($P$1279=0,0,P1268/$P$1279*100)</f>
      </c>
      <c r="R1268" s="10" t="str">
        <f>IF(O1268=C1268,"TETAP",IF(C1268=0,"BARU",IF(O1268=0,"HAPUS",IF(O1268&gt;C1268,"TAMBAH","KURANG"))))</f>
        <v>TETAP</v>
      </c>
    </row>
    <row r="1269" spans="1:18" x14ac:dyDescent="0.25">
      <c r="A1269" s="5" t="s">
        <v>33</v>
      </c>
      <c r="B1269" s="16" t="s">
        <v>470</v>
      </c>
      <c r="C1269" s="7"/>
      <c r="D1269" s="7"/>
      <c r="E1269" s="5"/>
      <c r="F1269" s="8"/>
      <c r="G1269" s="8"/>
      <c r="H1269" s="9"/>
      <c r="I1269" s="7"/>
      <c r="J1269" s="8"/>
      <c r="K1269" s="9"/>
      <c r="L1269" s="7"/>
      <c r="M1269" s="8"/>
      <c r="N1269" s="9"/>
      <c r="O1269" s="7"/>
      <c r="P1269" s="8"/>
      <c r="Q1269" s="9"/>
      <c r="R1269" s="5"/>
    </row>
    <row r="1270" spans="1:18" x14ac:dyDescent="0.25">
      <c r="A1270" s="10" t="s">
        <v>186</v>
      </c>
      <c r="B1270" s="20" t="s">
        <v>350</v>
      </c>
      <c r="C1270" s="12">
        <v>0.26</v>
      </c>
      <c r="D1270" s="12">
        <v>0</v>
      </c>
      <c r="E1270" s="10" t="s">
        <v>159</v>
      </c>
      <c r="F1270" s="14">
        <v>342654.98</v>
      </c>
      <c r="G1270" s="14">
        <f>F1270*C1270</f>
        <v>89090.2948</v>
      </c>
      <c r="H1270" s="15">
        <f>IF($G$1279=0,0,G1270/$G$1279*100)</f>
      </c>
      <c r="I1270" s="12" t="str">
        <f>IF(O1270-C1270&gt;0,O1270-C1270,"")</f>
        <v/>
      </c>
      <c r="J1270" s="14" t="str">
        <f>IF(I1270="","",F1270*I1270)</f>
        <v/>
      </c>
      <c r="K1270" s="15">
        <f>IF(OR(J1270="",$G$1279=0),"",J1270/$G$1279*100)</f>
      </c>
      <c r="L1270" s="12" t="str">
        <f>IF(C1270-O1270&gt;0,C1270-O1270,"")</f>
        <v/>
      </c>
      <c r="M1270" s="14" t="str">
        <f>IF(L1270="","",F1270*L1270)</f>
        <v/>
      </c>
      <c r="N1270" s="15">
        <f>IF(OR(M1270="",$G$1279=0),"",M1270/$G$1279*100)</f>
      </c>
      <c r="O1270" s="12">
        <v>0.26</v>
      </c>
      <c r="P1270" s="14">
        <f>F1270*O1270</f>
        <v>89090.2948</v>
      </c>
      <c r="Q1270" s="15">
        <f>IF($P$1279=0,0,P1270/$P$1279*100)</f>
      </c>
      <c r="R1270" s="10" t="str">
        <f>IF(O1270=C1270,"TETAP",IF(C1270=0,"BARU",IF(O1270=0,"HAPUS",IF(O1270&gt;C1270,"TAMBAH","KURANG"))))</f>
        <v>TETAP</v>
      </c>
    </row>
    <row r="1271" spans="1:18" x14ac:dyDescent="0.25">
      <c r="A1271" s="10" t="s">
        <v>188</v>
      </c>
      <c r="B1271" s="20" t="s">
        <v>351</v>
      </c>
      <c r="C1271" s="12">
        <v>0.11</v>
      </c>
      <c r="D1271" s="12">
        <v>0</v>
      </c>
      <c r="E1271" s="10" t="s">
        <v>159</v>
      </c>
      <c r="F1271" s="14">
        <v>1243301.43</v>
      </c>
      <c r="G1271" s="14">
        <f>F1271*C1271</f>
        <v>136763.1573</v>
      </c>
      <c r="H1271" s="15">
        <f>IF($G$1279=0,0,G1271/$G$1279*100)</f>
      </c>
      <c r="I1271" s="12" t="str">
        <f>IF(O1271-C1271&gt;0,O1271-C1271,"")</f>
        <v/>
      </c>
      <c r="J1271" s="14" t="str">
        <f>IF(I1271="","",F1271*I1271)</f>
        <v/>
      </c>
      <c r="K1271" s="15">
        <f>IF(OR(J1271="",$G$1279=0),"",J1271/$G$1279*100)</f>
      </c>
      <c r="L1271" s="12" t="str">
        <f>IF(C1271-O1271&gt;0,C1271-O1271,"")</f>
        <v/>
      </c>
      <c r="M1271" s="14" t="str">
        <f>IF(L1271="","",F1271*L1271)</f>
        <v/>
      </c>
      <c r="N1271" s="15">
        <f>IF(OR(M1271="",$G$1279=0),"",M1271/$G$1279*100)</f>
      </c>
      <c r="O1271" s="12">
        <v>0.11</v>
      </c>
      <c r="P1271" s="14">
        <f>F1271*O1271</f>
        <v>136763.1573</v>
      </c>
      <c r="Q1271" s="15">
        <f>IF($P$1279=0,0,P1271/$P$1279*100)</f>
      </c>
      <c r="R1271" s="10" t="str">
        <f>IF(O1271=C1271,"TETAP",IF(C1271=0,"BARU",IF(O1271=0,"HAPUS",IF(O1271&gt;C1271,"TAMBAH","KURANG"))))</f>
        <v>TETAP</v>
      </c>
    </row>
    <row r="1272" spans="1:18" x14ac:dyDescent="0.25">
      <c r="A1272" s="10" t="s">
        <v>189</v>
      </c>
      <c r="B1272" s="20" t="s">
        <v>926</v>
      </c>
      <c r="C1272" s="12">
        <v>50.01</v>
      </c>
      <c r="D1272" s="12">
        <v>0</v>
      </c>
      <c r="E1272" s="10" t="s">
        <v>169</v>
      </c>
      <c r="F1272" s="14">
        <v>28927.25</v>
      </c>
      <c r="G1272" s="14">
        <f>F1272*C1272</f>
        <v>1446651.7725</v>
      </c>
      <c r="H1272" s="15">
        <f>IF($G$1279=0,0,G1272/$G$1279*100)</f>
      </c>
      <c r="I1272" s="12" t="str">
        <f>IF(O1272-C1272&gt;0,O1272-C1272,"")</f>
        <v/>
      </c>
      <c r="J1272" s="14" t="str">
        <f>IF(I1272="","",F1272*I1272)</f>
        <v/>
      </c>
      <c r="K1272" s="15">
        <f>IF(OR(J1272="",$G$1279=0),"",J1272/$G$1279*100)</f>
      </c>
      <c r="L1272" s="12" t="str">
        <f>IF(C1272-O1272&gt;0,C1272-O1272,"")</f>
        <v/>
      </c>
      <c r="M1272" s="14" t="str">
        <f>IF(L1272="","",F1272*L1272)</f>
        <v/>
      </c>
      <c r="N1272" s="15">
        <f>IF(OR(M1272="",$G$1279=0),"",M1272/$G$1279*100)</f>
      </c>
      <c r="O1272" s="12">
        <v>50.01</v>
      </c>
      <c r="P1272" s="14">
        <f>F1272*O1272</f>
        <v>1446651.7725</v>
      </c>
      <c r="Q1272" s="15">
        <f>IF($P$1279=0,0,P1272/$P$1279*100)</f>
      </c>
      <c r="R1272" s="10" t="str">
        <f>IF(O1272=C1272,"TETAP",IF(C1272=0,"BARU",IF(O1272=0,"HAPUS",IF(O1272&gt;C1272,"TAMBAH","KURANG"))))</f>
        <v>TETAP</v>
      </c>
    </row>
    <row r="1273" spans="1:18" x14ac:dyDescent="0.25">
      <c r="A1273" s="10" t="s">
        <v>191</v>
      </c>
      <c r="B1273" s="20" t="s">
        <v>927</v>
      </c>
      <c r="C1273" s="12">
        <v>31.07</v>
      </c>
      <c r="D1273" s="12">
        <v>0</v>
      </c>
      <c r="E1273" s="10" t="s">
        <v>169</v>
      </c>
      <c r="F1273" s="14">
        <v>19252.39</v>
      </c>
      <c r="G1273" s="14">
        <f>F1273*C1273</f>
        <v>598171.7572999999</v>
      </c>
      <c r="H1273" s="15">
        <f>IF($G$1279=0,0,G1273/$G$1279*100)</f>
      </c>
      <c r="I1273" s="12" t="str">
        <f>IF(O1273-C1273&gt;0,O1273-C1273,"")</f>
        <v/>
      </c>
      <c r="J1273" s="14" t="str">
        <f>IF(I1273="","",F1273*I1273)</f>
        <v/>
      </c>
      <c r="K1273" s="15">
        <f>IF(OR(J1273="",$G$1279=0),"",J1273/$G$1279*100)</f>
      </c>
      <c r="L1273" s="12" t="str">
        <f>IF(C1273-O1273&gt;0,C1273-O1273,"")</f>
        <v/>
      </c>
      <c r="M1273" s="14" t="str">
        <f>IF(L1273="","",F1273*L1273)</f>
        <v/>
      </c>
      <c r="N1273" s="15">
        <f>IF(OR(M1273="",$G$1279=0),"",M1273/$G$1279*100)</f>
      </c>
      <c r="O1273" s="12">
        <v>31.07</v>
      </c>
      <c r="P1273" s="14">
        <f>F1273*O1273</f>
        <v>598171.7572999999</v>
      </c>
      <c r="Q1273" s="15">
        <f>IF($P$1279=0,0,P1273/$P$1279*100)</f>
      </c>
      <c r="R1273" s="10" t="str">
        <f>IF(O1273=C1273,"TETAP",IF(C1273=0,"BARU",IF(O1273=0,"HAPUS",IF(O1273&gt;C1273,"TAMBAH","KURANG"))))</f>
        <v>TETAP</v>
      </c>
    </row>
    <row r="1274" spans="1:18" x14ac:dyDescent="0.25">
      <c r="A1274" s="10" t="s">
        <v>260</v>
      </c>
      <c r="B1274" s="20" t="s">
        <v>374</v>
      </c>
      <c r="C1274" s="12">
        <v>0.75</v>
      </c>
      <c r="D1274" s="12">
        <v>0</v>
      </c>
      <c r="E1274" s="10" t="s">
        <v>159</v>
      </c>
      <c r="F1274" s="14">
        <v>1399567.05</v>
      </c>
      <c r="G1274" s="14">
        <f>F1274*C1274</f>
        <v>1049675.2875</v>
      </c>
      <c r="H1274" s="15">
        <f>IF($G$1279=0,0,G1274/$G$1279*100)</f>
      </c>
      <c r="I1274" s="12" t="str">
        <f>IF(O1274-C1274&gt;0,O1274-C1274,"")</f>
        <v/>
      </c>
      <c r="J1274" s="14" t="str">
        <f>IF(I1274="","",F1274*I1274)</f>
        <v/>
      </c>
      <c r="K1274" s="15">
        <f>IF(OR(J1274="",$G$1279=0),"",J1274/$G$1279*100)</f>
      </c>
      <c r="L1274" s="12" t="str">
        <f>IF(C1274-O1274&gt;0,C1274-O1274,"")</f>
        <v/>
      </c>
      <c r="M1274" s="14" t="str">
        <f>IF(L1274="","",F1274*L1274)</f>
        <v/>
      </c>
      <c r="N1274" s="15">
        <f>IF(OR(M1274="",$G$1279=0),"",M1274/$G$1279*100)</f>
      </c>
      <c r="O1274" s="12">
        <v>0.75</v>
      </c>
      <c r="P1274" s="14">
        <f>F1274*O1274</f>
        <v>1049675.2875</v>
      </c>
      <c r="Q1274" s="15">
        <f>IF($P$1279=0,0,P1274/$P$1279*100)</f>
      </c>
      <c r="R1274" s="10" t="str">
        <f>IF(O1274=C1274,"TETAP",IF(C1274=0,"BARU",IF(O1274=0,"HAPUS",IF(O1274&gt;C1274,"TAMBAH","KURANG"))))</f>
        <v>TETAP</v>
      </c>
    </row>
    <row r="1275" spans="1:18" x14ac:dyDescent="0.25">
      <c r="A1275" s="10" t="s">
        <v>35</v>
      </c>
      <c r="B1275" s="11" t="s">
        <v>928</v>
      </c>
      <c r="C1275" s="12">
        <v>18</v>
      </c>
      <c r="D1275" s="12">
        <v>0</v>
      </c>
      <c r="E1275" s="10" t="s">
        <v>26</v>
      </c>
      <c r="F1275" s="14">
        <v>164501.03</v>
      </c>
      <c r="G1275" s="14">
        <f>F1275*C1275</f>
        <v>2961018.54</v>
      </c>
      <c r="H1275" s="15">
        <f>IF($G$1279=0,0,G1275/$G$1279*100)</f>
      </c>
      <c r="I1275" s="12" t="str">
        <f>IF(O1275-C1275&gt;0,O1275-C1275,"")</f>
        <v/>
      </c>
      <c r="J1275" s="14" t="str">
        <f>IF(I1275="","",F1275*I1275)</f>
        <v/>
      </c>
      <c r="K1275" s="15">
        <f>IF(OR(J1275="",$G$1279=0),"",J1275/$G$1279*100)</f>
      </c>
      <c r="L1275" s="12" t="str">
        <f>IF(C1275-O1275&gt;0,C1275-O1275,"")</f>
        <v/>
      </c>
      <c r="M1275" s="14" t="str">
        <f>IF(L1275="","",F1275*L1275)</f>
        <v/>
      </c>
      <c r="N1275" s="15">
        <f>IF(OR(M1275="",$G$1279=0),"",M1275/$G$1279*100)</f>
      </c>
      <c r="O1275" s="12">
        <v>18</v>
      </c>
      <c r="P1275" s="14">
        <f>F1275*O1275</f>
        <v>2961018.54</v>
      </c>
      <c r="Q1275" s="15">
        <f>IF($P$1279=0,0,P1275/$P$1279*100)</f>
      </c>
      <c r="R1275" s="10" t="str">
        <f>IF(O1275=C1275,"TETAP",IF(C1275=0,"BARU",IF(O1275=0,"HAPUS",IF(O1275&gt;C1275,"TAMBAH","KURANG"))))</f>
        <v>TETAP</v>
      </c>
    </row>
    <row r="1276" spans="1:18" x14ac:dyDescent="0.25">
      <c r="A1276" s="10" t="s">
        <v>38</v>
      </c>
      <c r="B1276" s="11" t="s">
        <v>402</v>
      </c>
      <c r="C1276" s="12">
        <v>18</v>
      </c>
      <c r="D1276" s="12">
        <v>0</v>
      </c>
      <c r="E1276" s="10" t="s">
        <v>26</v>
      </c>
      <c r="F1276" s="14">
        <v>60093.87</v>
      </c>
      <c r="G1276" s="14">
        <f>F1276*C1276</f>
        <v>1081689.6600000001</v>
      </c>
      <c r="H1276" s="15">
        <f>IF($G$1279=0,0,G1276/$G$1279*100)</f>
      </c>
      <c r="I1276" s="12" t="str">
        <f>IF(O1276-C1276&gt;0,O1276-C1276,"")</f>
        <v/>
      </c>
      <c r="J1276" s="14" t="str">
        <f>IF(I1276="","",F1276*I1276)</f>
        <v/>
      </c>
      <c r="K1276" s="15">
        <f>IF(OR(J1276="",$G$1279=0),"",J1276/$G$1279*100)</f>
      </c>
      <c r="L1276" s="12" t="str">
        <f>IF(C1276-O1276&gt;0,C1276-O1276,"")</f>
        <v/>
      </c>
      <c r="M1276" s="14" t="str">
        <f>IF(L1276="","",F1276*L1276)</f>
        <v/>
      </c>
      <c r="N1276" s="15">
        <f>IF(OR(M1276="",$G$1279=0),"",M1276/$G$1279*100)</f>
      </c>
      <c r="O1276" s="12">
        <v>18</v>
      </c>
      <c r="P1276" s="14">
        <f>F1276*O1276</f>
        <v>1081689.6600000001</v>
      </c>
      <c r="Q1276" s="15">
        <f>IF($P$1279=0,0,P1276/$P$1279*100)</f>
      </c>
      <c r="R1276" s="10" t="str">
        <f>IF(O1276=C1276,"TETAP",IF(C1276=0,"BARU",IF(O1276=0,"HAPUS",IF(O1276&gt;C1276,"TAMBAH","KURANG"))))</f>
        <v>TETAP</v>
      </c>
    </row>
    <row r="1277" spans="1:18" x14ac:dyDescent="0.25">
      <c r="A1277" s="10" t="s">
        <v>108</v>
      </c>
      <c r="B1277" s="11" t="s">
        <v>929</v>
      </c>
      <c r="C1277" s="12">
        <v>1</v>
      </c>
      <c r="D1277" s="12">
        <v>0</v>
      </c>
      <c r="E1277" s="10" t="s">
        <v>119</v>
      </c>
      <c r="F1277" s="14">
        <v>22415135.03</v>
      </c>
      <c r="G1277" s="14">
        <f>F1277*C1277</f>
        <v>22415135.03</v>
      </c>
      <c r="H1277" s="15">
        <f>IF($G$1279=0,0,G1277/$G$1279*100)</f>
      </c>
      <c r="I1277" s="12" t="str">
        <f>IF(O1277-C1277&gt;0,O1277-C1277,"")</f>
        <v/>
      </c>
      <c r="J1277" s="14" t="str">
        <f>IF(I1277="","",F1277*I1277)</f>
        <v/>
      </c>
      <c r="K1277" s="15">
        <f>IF(OR(J1277="",$G$1279=0),"",J1277/$G$1279*100)</f>
      </c>
      <c r="L1277" s="12" t="str">
        <f>IF(C1277-O1277&gt;0,C1277-O1277,"")</f>
        <v/>
      </c>
      <c r="M1277" s="14" t="str">
        <f>IF(L1277="","",F1277*L1277)</f>
        <v/>
      </c>
      <c r="N1277" s="15">
        <f>IF(OR(M1277="",$G$1279=0),"",M1277/$G$1279*100)</f>
      </c>
      <c r="O1277" s="12">
        <v>1</v>
      </c>
      <c r="P1277" s="14">
        <f>F1277*O1277</f>
        <v>22415135.03</v>
      </c>
      <c r="Q1277" s="15">
        <f>IF($P$1279=0,0,P1277/$P$1279*100)</f>
      </c>
      <c r="R1277" s="10" t="str">
        <f>IF(O1277=C1277,"TETAP",IF(C1277=0,"BARU",IF(O1277=0,"HAPUS",IF(O1277&gt;C1277,"TAMBAH","KURANG"))))</f>
        <v>TETAP</v>
      </c>
    </row>
    <row r="1278" spans="1:18" x14ac:dyDescent="0.25">
      <c r="A1278" s="10" t="s">
        <v>110</v>
      </c>
      <c r="B1278" s="11" t="s">
        <v>930</v>
      </c>
      <c r="C1278" s="12">
        <v>6.95</v>
      </c>
      <c r="D1278" s="12">
        <v>0</v>
      </c>
      <c r="E1278" s="10" t="s">
        <v>159</v>
      </c>
      <c r="F1278" s="14">
        <v>342654.98</v>
      </c>
      <c r="G1278" s="14">
        <f>F1278*C1278</f>
        <v>2381452.111</v>
      </c>
      <c r="H1278" s="15">
        <f>IF($G$1279=0,0,G1278/$G$1279*100)</f>
      </c>
      <c r="I1278" s="12" t="str">
        <f>IF(O1278-C1278&gt;0,O1278-C1278,"")</f>
        <v/>
      </c>
      <c r="J1278" s="14" t="str">
        <f>IF(I1278="","",F1278*I1278)</f>
        <v/>
      </c>
      <c r="K1278" s="15">
        <f>IF(OR(J1278="",$G$1279=0),"",J1278/$G$1279*100)</f>
      </c>
      <c r="L1278" s="12" t="str">
        <f>IF(C1278-O1278&gt;0,C1278-O1278,"")</f>
        <v/>
      </c>
      <c r="M1278" s="14" t="str">
        <f>IF(L1278="","",F1278*L1278)</f>
        <v/>
      </c>
      <c r="N1278" s="15">
        <f>IF(OR(M1278="",$G$1279=0),"",M1278/$G$1279*100)</f>
      </c>
      <c r="O1278" s="12">
        <v>6.95</v>
      </c>
      <c r="P1278" s="14">
        <f>F1278*O1278</f>
        <v>2381452.111</v>
      </c>
      <c r="Q1278" s="15">
        <f>IF($P$1279=0,0,P1278/$P$1279*100)</f>
      </c>
      <c r="R1278" s="10" t="str">
        <f>IF(O1278=C1278,"TETAP",IF(C1278=0,"BARU",IF(O1278=0,"HAPUS",IF(O1278&gt;C1278,"TAMBAH","KURANG"))))</f>
        <v>TETAP</v>
      </c>
    </row>
    <row r="1279" ht="17" customHeight="1" spans="1:18" x14ac:dyDescent="0.25">
      <c r="A1279" s="22" t="s">
        <v>931</v>
      </c>
      <c r="B1279" s="22"/>
      <c r="C1279" s="22"/>
      <c r="D1279" s="22"/>
      <c r="E1279" s="22"/>
      <c r="F1279" s="22"/>
      <c r="G1279" s="23">
        <f>SUM(G10:G1278)</f>
      </c>
      <c r="H1279" s="24">
        <f>SUM(H10:H1278)</f>
      </c>
      <c r="I1279" s="25"/>
      <c r="J1279" s="23">
        <f>SUM(J10:J1278)</f>
      </c>
      <c r="K1279" s="24">
        <f>SUM(K10:K1278)</f>
      </c>
      <c r="L1279" s="25"/>
      <c r="M1279" s="23">
        <f>SUM(M10:M1278)</f>
      </c>
      <c r="N1279" s="24">
        <f>SUM(N10:N1278)</f>
      </c>
      <c r="O1279" s="25"/>
      <c r="P1279" s="23">
        <f>SUM(P10:P1278)</f>
      </c>
      <c r="Q1279" s="24">
        <f>SUM(Q10:Q1278)</f>
      </c>
      <c r="R1279" s="26"/>
    </row>
    <row r="1280" ht="17" customHeight="1" spans="1:18" x14ac:dyDescent="0.25">
      <c r="A1280" s="27" t="s">
        <v>932</v>
      </c>
      <c r="B1280" s="27"/>
      <c r="C1280" s="27"/>
      <c r="D1280" s="27"/>
      <c r="E1280" s="27"/>
      <c r="F1280" s="28">
        <v>0.11</v>
      </c>
      <c r="G1280" s="29">
        <f>G1279*$F$1280</f>
      </c>
      <c r="H1280" s="30"/>
      <c r="I1280" s="31"/>
      <c r="J1280" s="29">
        <f>J1279*$F$1280</f>
      </c>
      <c r="K1280" s="30"/>
      <c r="L1280" s="31"/>
      <c r="M1280" s="29">
        <f>M1279*$F$1280</f>
      </c>
      <c r="N1280" s="30"/>
      <c r="O1280" s="31"/>
      <c r="P1280" s="29">
        <f>P1279*$F$1280</f>
      </c>
      <c r="Q1280" s="30"/>
      <c r="R1280" s="32"/>
    </row>
    <row r="1281" ht="17" customHeight="1" spans="1:18" x14ac:dyDescent="0.25">
      <c r="A1281" s="22" t="s">
        <v>933</v>
      </c>
      <c r="B1281" s="22"/>
      <c r="C1281" s="22"/>
      <c r="D1281" s="22"/>
      <c r="E1281" s="22"/>
      <c r="F1281" s="22"/>
      <c r="G1281" s="23">
        <f>G1279+G1280</f>
      </c>
      <c r="H1281" s="24"/>
      <c r="I1281" s="25"/>
      <c r="J1281" s="23">
        <f>J1279+J1280</f>
      </c>
      <c r="K1281" s="24"/>
      <c r="L1281" s="25"/>
      <c r="M1281" s="23">
        <f>M1279+M1280</f>
      </c>
      <c r="N1281" s="24"/>
      <c r="O1281" s="25"/>
      <c r="P1281" s="23">
        <f>P1279+P1280</f>
      </c>
      <c r="Q1281" s="24"/>
      <c r="R1281" s="26"/>
    </row>
    <row r="1283" spans="1:16" x14ac:dyDescent="0.25">
      <c r="A1283" s="33" t="s">
        <v>934</v>
      </c>
      <c r="B1283" s="33"/>
      <c r="C1283" s="33"/>
      <c r="D1283" s="33"/>
      <c r="E1283" s="33"/>
      <c r="F1283" s="33"/>
      <c r="G1283" s="34">
        <v>5872342857</v>
      </c>
      <c r="P1283" s="34">
        <v>5872327106</v>
      </c>
    </row>
    <row r="1284" spans="1:16" x14ac:dyDescent="0.25">
      <c r="A1284" s="33" t="s">
        <v>935</v>
      </c>
      <c r="B1284" s="33"/>
      <c r="C1284" s="33"/>
      <c r="D1284" s="33"/>
      <c r="E1284" s="33"/>
      <c r="F1284" s="33"/>
      <c r="G1284" s="35">
        <f>G1279-G1283</f>
      </c>
      <c r="P1284" s="35">
        <f>P1279-P1283</f>
      </c>
    </row>
    <row r="1285" spans="1:18" x14ac:dyDescent="0.25">
      <c r="A1285" s="36" t="s">
        <v>936</v>
      </c>
      <c r="B1285" s="36"/>
      <c r="C1285" s="3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1:18" x14ac:dyDescent="0.25">
      <c r="A1286" s="37" t="s">
        <v>937</v>
      </c>
      <c r="B1286" s="37"/>
      <c r="C1286" s="37"/>
      <c r="D1286" s="37"/>
      <c r="E1286" s="37"/>
      <c r="F1286" s="37"/>
      <c r="G1286" s="37"/>
      <c r="H1286" s="37"/>
      <c r="I1286" s="37"/>
      <c r="J1286" s="37"/>
      <c r="K1286" s="37"/>
      <c r="L1286" s="37"/>
      <c r="M1286" s="37"/>
      <c r="N1286" s="37"/>
      <c r="O1286" s="37"/>
      <c r="P1286" s="37"/>
      <c r="Q1286" s="37"/>
      <c r="R1286" s="37"/>
    </row>
    <row r="1288" spans="1:17" x14ac:dyDescent="0.25">
      <c r="A1288" s="38" t="s">
        <v>938</v>
      </c>
      <c r="B1288" s="38"/>
      <c r="C1288" s="38"/>
      <c r="D1288" s="38"/>
      <c r="I1288" s="38" t="s">
        <v>939</v>
      </c>
      <c r="J1288" s="38"/>
      <c r="K1288" s="38"/>
      <c r="O1288" s="38" t="s">
        <v>940</v>
      </c>
      <c r="P1288" s="38"/>
      <c r="Q1288" s="38"/>
    </row>
    <row r="1289" spans="1:17" x14ac:dyDescent="0.25">
      <c r="A1289" s="39" t="s">
        <v>941</v>
      </c>
      <c r="B1289" s="39"/>
      <c r="C1289" s="39"/>
      <c r="D1289" s="39"/>
      <c r="I1289" s="39" t="s">
        <v>942</v>
      </c>
      <c r="J1289" s="39"/>
      <c r="K1289" s="39"/>
      <c r="O1289" s="39" t="s">
        <v>943</v>
      </c>
      <c r="P1289" s="39"/>
      <c r="Q1289" s="39"/>
    </row>
    <row r="1290" spans="9:17" x14ac:dyDescent="0.25">
      <c r="I1290" s="40" t="s">
        <v>944</v>
      </c>
      <c r="J1290" s="40"/>
      <c r="K1290" s="40"/>
      <c r="O1290" s="40" t="s">
        <v>945</v>
      </c>
      <c r="P1290" s="40"/>
      <c r="Q1290" s="40"/>
    </row>
    <row r="1294" spans="1:17" x14ac:dyDescent="0.25">
      <c r="A1294" s="39" t="s">
        <v>946</v>
      </c>
      <c r="B1294" s="39"/>
      <c r="C1294" s="39"/>
      <c r="D1294" s="39"/>
      <c r="I1294" s="38" t="s">
        <v>947</v>
      </c>
      <c r="J1294" s="38"/>
      <c r="K1294" s="38"/>
      <c r="O1294" s="39" t="s">
        <v>948</v>
      </c>
      <c r="P1294" s="39"/>
      <c r="Q1294" s="39"/>
    </row>
    <row r="1295" spans="1:17" x14ac:dyDescent="0.25">
      <c r="A1295" s="40" t="s">
        <v>949</v>
      </c>
      <c r="B1295" s="40"/>
      <c r="C1295" s="40"/>
      <c r="D1295" s="40"/>
      <c r="O1295" s="40" t="s">
        <v>950</v>
      </c>
      <c r="P1295" s="40"/>
      <c r="Q1295" s="40"/>
    </row>
  </sheetData>
  <mergeCells count="36">
    <mergeCell ref="A1:R1"/>
    <mergeCell ref="A3:B3"/>
    <mergeCell ref="C3:R3"/>
    <mergeCell ref="A4:B4"/>
    <mergeCell ref="C4:R4"/>
    <mergeCell ref="A5:B5"/>
    <mergeCell ref="C5:R5"/>
    <mergeCell ref="A6:B6"/>
    <mergeCell ref="C6:R6"/>
    <mergeCell ref="C8:H8"/>
    <mergeCell ref="I8:K8"/>
    <mergeCell ref="L8:N8"/>
    <mergeCell ref="O8:Q8"/>
    <mergeCell ref="A8:A9"/>
    <mergeCell ref="B8:B9"/>
    <mergeCell ref="R8:R9"/>
    <mergeCell ref="A1279:F1279"/>
    <mergeCell ref="A1280:E1280"/>
    <mergeCell ref="A1281:F1281"/>
    <mergeCell ref="A1283:F1283"/>
    <mergeCell ref="A1284:F1284"/>
    <mergeCell ref="A1285:R1285"/>
    <mergeCell ref="A1286:R1286"/>
    <mergeCell ref="A1288:D1288"/>
    <mergeCell ref="I1288:K1288"/>
    <mergeCell ref="O1288:Q1288"/>
    <mergeCell ref="A1289:D1289"/>
    <mergeCell ref="I1289:K1289"/>
    <mergeCell ref="O1289:Q1289"/>
    <mergeCell ref="I1290:K1290"/>
    <mergeCell ref="O1290:Q1290"/>
    <mergeCell ref="A1294:D1294"/>
    <mergeCell ref="I1294:K1294"/>
    <mergeCell ref="O1294:Q1294"/>
    <mergeCell ref="A1295:D1295"/>
    <mergeCell ref="O1295:Q1295"/>
  </mergeCells>
  <conditionalFormatting sqref="A10:R1278">
    <cfRule type="expression" dxfId="0" priority="1">
      <formula>OR($R10="TAMBAH",$R10="BARU")</formula>
    </cfRule>
    <cfRule type="expression" dxfId="1" priority="2">
      <formula>OR($R10="KURANG",$R10="HAPUS")</formula>
    </cfRule>
  </conditionalFormatting>
  <conditionalFormatting sqref="O11">
    <cfRule type="expression" dxfId="2" priority="1">
      <formula>$O$11&lt;$D$11</formula>
    </cfRule>
  </conditionalFormatting>
  <conditionalFormatting sqref="O12">
    <cfRule type="expression" dxfId="3" priority="1">
      <formula>$O$12&lt;$D$12</formula>
    </cfRule>
  </conditionalFormatting>
  <conditionalFormatting sqref="O14">
    <cfRule type="expression" dxfId="4" priority="1">
      <formula>$O$14&lt;$D$14</formula>
    </cfRule>
  </conditionalFormatting>
  <conditionalFormatting sqref="O15">
    <cfRule type="expression" dxfId="5" priority="1">
      <formula>$O$15&lt;$D$15</formula>
    </cfRule>
  </conditionalFormatting>
  <conditionalFormatting sqref="O21">
    <cfRule type="expression" dxfId="6" priority="1">
      <formula>$O$21&lt;$D$21</formula>
    </cfRule>
  </conditionalFormatting>
  <conditionalFormatting sqref="O22">
    <cfRule type="expression" dxfId="7" priority="1">
      <formula>$O$22&lt;$D$22</formula>
    </cfRule>
  </conditionalFormatting>
  <conditionalFormatting sqref="O26">
    <cfRule type="expression" dxfId="8" priority="1">
      <formula>$O$26&lt;$D$26</formula>
    </cfRule>
  </conditionalFormatting>
  <conditionalFormatting sqref="O27">
    <cfRule type="expression" dxfId="9" priority="1">
      <formula>$O$27&lt;$D$27</formula>
    </cfRule>
  </conditionalFormatting>
  <conditionalFormatting sqref="O30">
    <cfRule type="expression" dxfId="10" priority="1">
      <formula>$O$30&lt;$D$30</formula>
    </cfRule>
  </conditionalFormatting>
  <conditionalFormatting sqref="O35">
    <cfRule type="expression" dxfId="11" priority="1">
      <formula>$O$35&lt;$D$35</formula>
    </cfRule>
  </conditionalFormatting>
  <conditionalFormatting sqref="O39">
    <cfRule type="expression" dxfId="12" priority="1">
      <formula>$O$39&lt;$D$39</formula>
    </cfRule>
  </conditionalFormatting>
  <conditionalFormatting sqref="O40">
    <cfRule type="expression" dxfId="13" priority="1">
      <formula>$O$40&lt;$D$40</formula>
    </cfRule>
  </conditionalFormatting>
  <conditionalFormatting sqref="O42">
    <cfRule type="expression" dxfId="14" priority="1">
      <formula>$O$42&lt;$D$42</formula>
    </cfRule>
  </conditionalFormatting>
  <conditionalFormatting sqref="O44">
    <cfRule type="expression" dxfId="15" priority="1">
      <formula>$O$44&lt;$D$44</formula>
    </cfRule>
  </conditionalFormatting>
  <conditionalFormatting sqref="O45">
    <cfRule type="expression" dxfId="16" priority="1">
      <formula>$O$45&lt;$D$45</formula>
    </cfRule>
  </conditionalFormatting>
  <conditionalFormatting sqref="O49">
    <cfRule type="expression" dxfId="17" priority="1">
      <formula>$O$49&lt;$D$49</formula>
    </cfRule>
  </conditionalFormatting>
  <conditionalFormatting sqref="O53">
    <cfRule type="expression" dxfId="18" priority="1">
      <formula>$O$53&lt;$D$53</formula>
    </cfRule>
  </conditionalFormatting>
  <conditionalFormatting sqref="O54">
    <cfRule type="expression" dxfId="19" priority="1">
      <formula>$O$54&lt;$D$54</formula>
    </cfRule>
  </conditionalFormatting>
  <conditionalFormatting sqref="O55">
    <cfRule type="expression" dxfId="20" priority="1">
      <formula>$O$55&lt;$D$55</formula>
    </cfRule>
  </conditionalFormatting>
  <conditionalFormatting sqref="O107">
    <cfRule type="expression" dxfId="21" priority="1">
      <formula>$O$107&lt;$D$107</formula>
    </cfRule>
  </conditionalFormatting>
  <conditionalFormatting sqref="O119">
    <cfRule type="expression" dxfId="22" priority="1">
      <formula>$O$119&lt;$D$119</formula>
    </cfRule>
  </conditionalFormatting>
  <conditionalFormatting sqref="O120">
    <cfRule type="expression" dxfId="23" priority="1">
      <formula>$O$120&lt;$D$120</formula>
    </cfRule>
  </conditionalFormatting>
  <conditionalFormatting sqref="O121">
    <cfRule type="expression" dxfId="24" priority="1">
      <formula>$O$121&lt;$D$121</formula>
    </cfRule>
  </conditionalFormatting>
  <conditionalFormatting sqref="O122">
    <cfRule type="expression" dxfId="25" priority="1">
      <formula>$O$122&lt;$D$122</formula>
    </cfRule>
  </conditionalFormatting>
  <conditionalFormatting sqref="O123">
    <cfRule type="expression" dxfId="26" priority="1">
      <formula>$O$123&lt;$D$123</formula>
    </cfRule>
  </conditionalFormatting>
  <conditionalFormatting sqref="O125">
    <cfRule type="expression" dxfId="27" priority="1">
      <formula>$O$125&lt;$D$125</formula>
    </cfRule>
  </conditionalFormatting>
  <conditionalFormatting sqref="O126">
    <cfRule type="expression" dxfId="28" priority="1">
      <formula>$O$126&lt;$D$126</formula>
    </cfRule>
  </conditionalFormatting>
  <conditionalFormatting sqref="O127">
    <cfRule type="expression" dxfId="29" priority="1">
      <formula>$O$127&lt;$D$127</formula>
    </cfRule>
  </conditionalFormatting>
  <conditionalFormatting sqref="O128">
    <cfRule type="expression" dxfId="30" priority="1">
      <formula>$O$128&lt;$D$128</formula>
    </cfRule>
  </conditionalFormatting>
  <conditionalFormatting sqref="O129">
    <cfRule type="expression" dxfId="31" priority="1">
      <formula>$O$129&lt;$D$129</formula>
    </cfRule>
  </conditionalFormatting>
  <conditionalFormatting sqref="O130">
    <cfRule type="expression" dxfId="32" priority="1">
      <formula>$O$130&lt;$D$130</formula>
    </cfRule>
  </conditionalFormatting>
  <conditionalFormatting sqref="O132">
    <cfRule type="expression" dxfId="33" priority="1">
      <formula>$O$132&lt;$D$132</formula>
    </cfRule>
  </conditionalFormatting>
  <conditionalFormatting sqref="O133">
    <cfRule type="expression" dxfId="34" priority="1">
      <formula>$O$133&lt;$D$133</formula>
    </cfRule>
  </conditionalFormatting>
  <conditionalFormatting sqref="O134">
    <cfRule type="expression" dxfId="35" priority="1">
      <formula>$O$134&lt;$D$134</formula>
    </cfRule>
  </conditionalFormatting>
  <conditionalFormatting sqref="O135">
    <cfRule type="expression" dxfId="36" priority="1">
      <formula>$O$135&lt;$D$135</formula>
    </cfRule>
  </conditionalFormatting>
  <conditionalFormatting sqref="O136">
    <cfRule type="expression" dxfId="37" priority="1">
      <formula>$O$136&lt;$D$136</formula>
    </cfRule>
  </conditionalFormatting>
  <conditionalFormatting sqref="O137">
    <cfRule type="expression" dxfId="38" priority="1">
      <formula>$O$137&lt;$D$137</formula>
    </cfRule>
  </conditionalFormatting>
  <conditionalFormatting sqref="O139">
    <cfRule type="expression" dxfId="39" priority="1">
      <formula>$O$139&lt;$D$139</formula>
    </cfRule>
  </conditionalFormatting>
  <conditionalFormatting sqref="O140">
    <cfRule type="expression" dxfId="40" priority="1">
      <formula>$O$140&lt;$D$140</formula>
    </cfRule>
  </conditionalFormatting>
  <conditionalFormatting sqref="O141">
    <cfRule type="expression" dxfId="41" priority="1">
      <formula>$O$141&lt;$D$141</formula>
    </cfRule>
  </conditionalFormatting>
  <conditionalFormatting sqref="O142">
    <cfRule type="expression" dxfId="42" priority="1">
      <formula>$O$142&lt;$D$142</formula>
    </cfRule>
  </conditionalFormatting>
  <conditionalFormatting sqref="O143">
    <cfRule type="expression" dxfId="43" priority="1">
      <formula>$O$143&lt;$D$143</formula>
    </cfRule>
  </conditionalFormatting>
  <conditionalFormatting sqref="O144">
    <cfRule type="expression" dxfId="44" priority="1">
      <formula>$O$144&lt;$D$144</formula>
    </cfRule>
  </conditionalFormatting>
  <conditionalFormatting sqref="O146">
    <cfRule type="expression" dxfId="45" priority="1">
      <formula>$O$146&lt;$D$146</formula>
    </cfRule>
  </conditionalFormatting>
  <conditionalFormatting sqref="O147">
    <cfRule type="expression" dxfId="46" priority="1">
      <formula>$O$147&lt;$D$147</formula>
    </cfRule>
  </conditionalFormatting>
  <conditionalFormatting sqref="O148">
    <cfRule type="expression" dxfId="47" priority="1">
      <formula>$O$148&lt;$D$148</formula>
    </cfRule>
  </conditionalFormatting>
  <conditionalFormatting sqref="O153">
    <cfRule type="expression" dxfId="48" priority="1">
      <formula>$O$153&lt;$D$153</formula>
    </cfRule>
  </conditionalFormatting>
  <conditionalFormatting sqref="O154">
    <cfRule type="expression" dxfId="49" priority="1">
      <formula>$O$154&lt;$D$154</formula>
    </cfRule>
  </conditionalFormatting>
  <conditionalFormatting sqref="O155">
    <cfRule type="expression" dxfId="50" priority="1">
      <formula>$O$155&lt;$D$155</formula>
    </cfRule>
  </conditionalFormatting>
  <conditionalFormatting sqref="O160">
    <cfRule type="expression" dxfId="51" priority="1">
      <formula>$O$160&lt;$D$160</formula>
    </cfRule>
  </conditionalFormatting>
  <conditionalFormatting sqref="O161">
    <cfRule type="expression" dxfId="52" priority="1">
      <formula>$O$161&lt;$D$161</formula>
    </cfRule>
  </conditionalFormatting>
  <conditionalFormatting sqref="O162">
    <cfRule type="expression" dxfId="53" priority="1">
      <formula>$O$162&lt;$D$162</formula>
    </cfRule>
  </conditionalFormatting>
  <conditionalFormatting sqref="O163">
    <cfRule type="expression" dxfId="54" priority="1">
      <formula>$O$163&lt;$D$163</formula>
    </cfRule>
  </conditionalFormatting>
  <conditionalFormatting sqref="O164">
    <cfRule type="expression" dxfId="55" priority="1">
      <formula>$O$164&lt;$D$164</formula>
    </cfRule>
  </conditionalFormatting>
  <conditionalFormatting sqref="O166">
    <cfRule type="expression" dxfId="56" priority="1">
      <formula>$O$166&lt;$D$166</formula>
    </cfRule>
  </conditionalFormatting>
  <conditionalFormatting sqref="O168">
    <cfRule type="expression" dxfId="57" priority="1">
      <formula>$O$168&lt;$D$168</formula>
    </cfRule>
  </conditionalFormatting>
  <conditionalFormatting sqref="O173">
    <cfRule type="expression" dxfId="58" priority="1">
      <formula>$O$173&lt;$D$173</formula>
    </cfRule>
  </conditionalFormatting>
  <conditionalFormatting sqref="O174">
    <cfRule type="expression" dxfId="59" priority="1">
      <formula>$O$174&lt;$D$174</formula>
    </cfRule>
  </conditionalFormatting>
  <conditionalFormatting sqref="O182">
    <cfRule type="expression" dxfId="60" priority="1">
      <formula>$O$182&lt;$D$182</formula>
    </cfRule>
  </conditionalFormatting>
  <conditionalFormatting sqref="O183">
    <cfRule type="expression" dxfId="61" priority="1">
      <formula>$O$183&lt;$D$183</formula>
    </cfRule>
  </conditionalFormatting>
  <conditionalFormatting sqref="O184">
    <cfRule type="expression" dxfId="62" priority="1">
      <formula>$O$184&lt;$D$184</formula>
    </cfRule>
  </conditionalFormatting>
  <conditionalFormatting sqref="O269">
    <cfRule type="expression" dxfId="63" priority="1">
      <formula>$O$269&lt;$D$269</formula>
    </cfRule>
  </conditionalFormatting>
  <conditionalFormatting sqref="O270">
    <cfRule type="expression" dxfId="64" priority="1">
      <formula>$O$270&lt;$D$270</formula>
    </cfRule>
  </conditionalFormatting>
  <conditionalFormatting sqref="O271">
    <cfRule type="expression" dxfId="65" priority="1">
      <formula>$O$271&lt;$D$271</formula>
    </cfRule>
  </conditionalFormatting>
  <conditionalFormatting sqref="O272">
    <cfRule type="expression" dxfId="66" priority="1">
      <formula>$O$272&lt;$D$272</formula>
    </cfRule>
  </conditionalFormatting>
  <conditionalFormatting sqref="O273">
    <cfRule type="expression" dxfId="67" priority="1">
      <formula>$O$273&lt;$D$273</formula>
    </cfRule>
  </conditionalFormatting>
  <conditionalFormatting sqref="O274">
    <cfRule type="expression" dxfId="68" priority="1">
      <formula>$O$274&lt;$D$274</formula>
    </cfRule>
  </conditionalFormatting>
  <conditionalFormatting sqref="O275">
    <cfRule type="expression" dxfId="69" priority="1">
      <formula>$O$275&lt;$D$275</formula>
    </cfRule>
  </conditionalFormatting>
  <conditionalFormatting sqref="O277">
    <cfRule type="expression" dxfId="70" priority="1">
      <formula>$O$277&lt;$D$277</formula>
    </cfRule>
  </conditionalFormatting>
  <conditionalFormatting sqref="O278">
    <cfRule type="expression" dxfId="71" priority="1">
      <formula>$O$278&lt;$D$278</formula>
    </cfRule>
  </conditionalFormatting>
  <conditionalFormatting sqref="O279">
    <cfRule type="expression" dxfId="72" priority="1">
      <formula>$O$279&lt;$D$279</formula>
    </cfRule>
  </conditionalFormatting>
  <conditionalFormatting sqref="O280">
    <cfRule type="expression" dxfId="73" priority="1">
      <formula>$O$280&lt;$D$280</formula>
    </cfRule>
  </conditionalFormatting>
  <conditionalFormatting sqref="O281">
    <cfRule type="expression" dxfId="74" priority="1">
      <formula>$O$281&lt;$D$281</formula>
    </cfRule>
  </conditionalFormatting>
  <conditionalFormatting sqref="O312">
    <cfRule type="expression" dxfId="75" priority="1">
      <formula>$O$312&lt;$D$312</formula>
    </cfRule>
  </conditionalFormatting>
  <conditionalFormatting sqref="O907">
    <cfRule type="expression" dxfId="76" priority="1">
      <formula>$O$907&lt;$D$907</formula>
    </cfRule>
  </conditionalFormatting>
  <conditionalFormatting sqref="O1082">
    <cfRule type="expression" dxfId="77" priority="1">
      <formula>$O$1082&lt;$D$1082</formula>
    </cfRule>
  </conditionalFormatting>
  <conditionalFormatting sqref="O1083">
    <cfRule type="expression" dxfId="78" priority="1">
      <formula>$O$1083&lt;$D$1083</formula>
    </cfRule>
  </conditionalFormatting>
  <conditionalFormatting sqref="O1085">
    <cfRule type="expression" dxfId="79" priority="1">
      <formula>$O$1085&lt;$D$1085</formula>
    </cfRule>
  </conditionalFormatting>
  <conditionalFormatting sqref="O1086">
    <cfRule type="expression" dxfId="80" priority="1">
      <formula>$O$1086&lt;$D$1086</formula>
    </cfRule>
  </conditionalFormatting>
  <conditionalFormatting sqref="O1088">
    <cfRule type="expression" dxfId="81" priority="1">
      <formula>$O$1088&lt;$D$1088</formula>
    </cfRule>
  </conditionalFormatting>
  <conditionalFormatting sqref="O1089">
    <cfRule type="expression" dxfId="82" priority="1">
      <formula>$O$1089&lt;$D$1089</formula>
    </cfRule>
  </conditionalFormatting>
  <conditionalFormatting sqref="O1092">
    <cfRule type="expression" dxfId="83" priority="1">
      <formula>$O$1092&lt;$D$1092</formula>
    </cfRule>
  </conditionalFormatting>
  <conditionalFormatting sqref="O1093">
    <cfRule type="expression" dxfId="84" priority="1">
      <formula>$O$1093&lt;$D$1093</formula>
    </cfRule>
  </conditionalFormatting>
  <conditionalFormatting sqref="O1102">
    <cfRule type="expression" dxfId="85" priority="1">
      <formula>$O$1102&lt;$D$1102</formula>
    </cfRule>
  </conditionalFormatting>
  <conditionalFormatting sqref="O1105">
    <cfRule type="expression" dxfId="86" priority="1">
      <formula>$O$1105&lt;$D$1105</formula>
    </cfRule>
  </conditionalFormatting>
  <conditionalFormatting sqref="O1142">
    <cfRule type="expression" dxfId="87" priority="1">
      <formula>$O$1142&lt;$D$1142</formula>
    </cfRule>
  </conditionalFormatting>
  <conditionalFormatting sqref="O1143">
    <cfRule type="expression" dxfId="88" priority="1">
      <formula>$O$1143&lt;$D$1143</formula>
    </cfRule>
  </conditionalFormatting>
  <conditionalFormatting sqref="G1284:P1284">
    <cfRule type="expression" dxfId="89" priority="1">
      <formula>G1284&lt;&gt;0</formula>
    </cfRule>
  </conditionalFormatting>
  <dataValidations count="87">
    <dataValidation type="decimal" operator="greaterThanOrEqual" showErrorMessage="1" errorStyle="stop" errorTitle="Di bawah realisasi" error="Pekerjaan ini sudah terealisasi 21 m² di lapangan (kolom REALISASI). Volume CCO-01 tidak boleh di bawahnya – pekerjaan-kurang atas item berjalan maksimal sampai volume yang sudah dikerjakan." sqref="O107">
      <formula1>$D$107</formula1>
    </dataValidation>
    <dataValidation type="decimal" operator="greaterThanOrEqual" showErrorMessage="1" errorStyle="stop" errorTitle="Di bawah realisasi" error="Pekerjaan ini sudah terealisasi 100 m¹ di lapangan (kolom REALISASI). Volume CCO-01 tidak boleh di bawahnya – pekerjaan-kurang atas item berjalan maksimal sampai volume yang sudah dikerjakan." sqref="O1082">
      <formula1>$D$1082</formula1>
    </dataValidation>
    <dataValidation type="decimal" operator="greaterThanOrEqual" showErrorMessage="1" errorStyle="stop" errorTitle="Di bawah realisasi" error="Pekerjaan ini sudah terealisasi 80 m³ di lapangan (kolom REALISASI). Volume CCO-01 tidak boleh di bawahnya – pekerjaan-kurang atas item berjalan maksimal sampai volume yang sudah dikerjakan." sqref="O1083">
      <formula1>$D$1083</formula1>
    </dataValidation>
    <dataValidation type="decimal" operator="greaterThanOrEqual" showErrorMessage="1" errorStyle="stop" errorTitle="Di bawah realisasi" error="Pekerjaan ini sudah terealisasi 33,9 m³ di lapangan (kolom REALISASI). Volume CCO-01 tidak boleh di bawahnya – pekerjaan-kurang atas item berjalan maksimal sampai volume yang sudah dikerjakan." sqref="O1085">
      <formula1>$D$1085</formula1>
    </dataValidation>
    <dataValidation type="decimal" operator="greaterThanOrEqual" showErrorMessage="1" errorStyle="stop" errorTitle="Di bawah realisasi" error="Pekerjaan ini sudah terealisasi 2,1 m³ di lapangan (kolom REALISASI). Volume CCO-01 tidak boleh di bawahnya – pekerjaan-kurang atas item berjalan maksimal sampai volume yang sudah dikerjakan." sqref="O1086">
      <formula1>$D$1086</formula1>
    </dataValidation>
    <dataValidation type="decimal" operator="greaterThanOrEqual" showErrorMessage="1" errorStyle="stop" errorTitle="Di bawah realisasi" error="Pekerjaan ini sudah terealisasi 40 m² di lapangan (kolom REALISASI). Volume CCO-01 tidak boleh di bawahnya – pekerjaan-kurang atas item berjalan maksimal sampai volume yang sudah dikerjakan." sqref="O1088">
      <formula1>$D$1088</formula1>
    </dataValidation>
    <dataValidation type="decimal" operator="greaterThanOrEqual" showErrorMessage="1" errorStyle="stop" errorTitle="Di bawah realisasi" error="Pekerjaan ini sudah terealisasi 25 m² di lapangan (kolom REALISASI). Volume CCO-01 tidak boleh di bawahnya – pekerjaan-kurang atas item berjalan maksimal sampai volume yang sudah dikerjakan." sqref="O1089">
      <formula1>$D$1089</formula1>
    </dataValidation>
    <dataValidation type="decimal" operator="greaterThanOrEqual" showErrorMessage="1" errorStyle="stop" errorTitle="Di bawah realisasi" error="Pekerjaan ini sudah terealisasi 7 m² di lapangan (kolom REALISASI). Volume CCO-01 tidak boleh di bawahnya – pekerjaan-kurang atas item berjalan maksimal sampai volume yang sudah dikerjakan." sqref="O1092">
      <formula1>$D$1092</formula1>
    </dataValidation>
    <dataValidation type="decimal" operator="greaterThanOrEqual" showErrorMessage="1" errorStyle="stop" errorTitle="Di bawah realisasi" error="Pekerjaan ini sudah terealisasi 300 kg di lapangan (kolom REALISASI). Volume CCO-01 tidak boleh di bawahnya – pekerjaan-kurang atas item berjalan maksimal sampai volume yang sudah dikerjakan." sqref="O1093">
      <formula1>$D$1093</formula1>
    </dataValidation>
    <dataValidation type="decimal" operator="greaterThanOrEqual" showErrorMessage="1" errorStyle="stop" errorTitle="Di bawah realisasi" error="Pekerjaan ini sudah terealisasi 50 m² di lapangan (kolom REALISASI). Volume CCO-01 tidak boleh di bawahnya – pekerjaan-kurang atas item berjalan maksimal sampai volume yang sudah dikerjakan." sqref="O11">
      <formula1>$D$11</formula1>
    </dataValidation>
    <dataValidation type="decimal" operator="greaterThanOrEqual" showErrorMessage="1" errorStyle="stop" errorTitle="Di bawah realisasi" error="Pekerjaan ini sudah terealisasi 243,5 m³ di lapangan (kolom REALISASI). Volume CCO-01 tidak boleh di bawahnya – pekerjaan-kurang atas item berjalan maksimal sampai volume yang sudah dikerjakan." sqref="O1102">
      <formula1>$D$1102</formula1>
    </dataValidation>
    <dataValidation type="decimal" operator="greaterThanOrEqual" showErrorMessage="1" errorStyle="stop" errorTitle="Di bawah realisasi" error="Pekerjaan ini sudah terealisasi 18 m² di lapangan (kolom REALISASI). Volume CCO-01 tidak boleh di bawahnya – pekerjaan-kurang atas item berjalan maksimal sampai volume yang sudah dikerjakan." sqref="O1105">
      <formula1>$D$1105</formula1>
    </dataValidation>
    <dataValidation type="decimal" operator="greaterThanOrEqual" showErrorMessage="1" errorStyle="stop" errorTitle="Di bawah realisasi" error="Pekerjaan ini sudah terealisasi 981 m³ di lapangan (kolom REALISASI). Volume CCO-01 tidak boleh di bawahnya – pekerjaan-kurang atas item berjalan maksimal sampai volume yang sudah dikerjakan." sqref="O1142">
      <formula1>$D$1142</formula1>
    </dataValidation>
    <dataValidation type="decimal" operator="greaterThanOrEqual" showErrorMessage="1" errorStyle="stop" errorTitle="Di bawah realisasi" error="Pekerjaan ini sudah terealisasi 990 m³ di lapangan (kolom REALISASI). Volume CCO-01 tidak boleh di bawahnya – pekerjaan-kurang atas item berjalan maksimal sampai volume yang sudah dikerjakan." sqref="O1143">
      <formula1>$D$1143</formula1>
    </dataValidation>
    <dataValidation type="decimal" operator="greaterThanOrEqual" showErrorMessage="1" errorStyle="stop" errorTitle="Di bawah realisasi" error="Pekerjaan ini sudah terealisasi 72,68 m² di lapangan (kolom REALISASI). Volume CCO-01 tidak boleh di bawahnya – pekerjaan-kurang atas item berjalan maksimal sampai volume yang sudah dikerjakan." sqref="O119">
      <formula1>$D$119</formula1>
    </dataValidation>
    <dataValidation type="decimal" operator="greaterThanOrEqual" showErrorMessage="1" errorStyle="stop" errorTitle="Di bawah realisasi" error="Pekerjaan ini sudah terealisasi 6 bln di lapangan (kolom REALISASI). Volume CCO-01 tidak boleh di bawahnya – pekerjaan-kurang atas item berjalan maksimal sampai volume yang sudah dikerjakan." sqref="O12">
      <formula1>$D$12</formula1>
    </dataValidation>
    <dataValidation type="decimal" operator="greaterThanOrEqual" showErrorMessage="1" errorStyle="stop" errorTitle="Di bawah realisasi" error="Pekerjaan ini sudah terealisasi 1.157 kg di lapangan (kolom REALISASI). Volume CCO-01 tidak boleh di bawahnya – pekerjaan-kurang atas item berjalan maksimal sampai volume yang sudah dikerjakan." sqref="O120">
      <formula1>$D$120</formula1>
    </dataValidation>
    <dataValidation type="decimal" operator="greaterThanOrEqual" showErrorMessage="1" errorStyle="stop" errorTitle="Di bawah realisasi" error="Pekerjaan ini sudah terealisasi 8,317 m³ di lapangan (kolom REALISASI). Volume CCO-01 tidak boleh di bawahnya – pekerjaan-kurang atas item berjalan maksimal sampai volume yang sudah dikerjakan." sqref="O121">
      <formula1>$D$121</formula1>
    </dataValidation>
    <dataValidation type="decimal" operator="greaterThanOrEqual" showErrorMessage="1" errorStyle="stop" errorTitle="Di bawah realisasi" error="Pekerjaan ini sudah terealisasi 8,32 m³ di lapangan (kolom REALISASI). Volume CCO-01 tidak boleh di bawahnya – pekerjaan-kurang atas item berjalan maksimal sampai volume yang sudah dikerjakan." sqref="O122">
      <formula1>$D$122</formula1>
    </dataValidation>
    <dataValidation type="decimal" operator="greaterThanOrEqual" showErrorMessage="1" errorStyle="stop" errorTitle="Di bawah realisasi" error="Pekerjaan ini sudah terealisasi 1.664 m¹ di lapangan (kolom REALISASI). Volume CCO-01 tidak boleh di bawahnya – pekerjaan-kurang atas item berjalan maksimal sampai volume yang sudah dikerjakan." sqref="O123">
      <formula1>$D$123</formula1>
    </dataValidation>
    <dataValidation type="decimal" operator="greaterThanOrEqual" showErrorMessage="1" errorStyle="stop" errorTitle="Di bawah realisasi" error="Pekerjaan ini sudah terealisasi 146 m² di lapangan (kolom REALISASI). Volume CCO-01 tidak boleh di bawahnya – pekerjaan-kurang atas item berjalan maksimal sampai volume yang sudah dikerjakan." sqref="O125">
      <formula1>$D$125</formula1>
    </dataValidation>
    <dataValidation type="decimal" operator="greaterThanOrEqual" showErrorMessage="1" errorStyle="stop" errorTitle="Di bawah realisasi" error="Pekerjaan ini sudah terealisasi 1.011 kg di lapangan (kolom REALISASI). Volume CCO-01 tidak boleh di bawahnya – pekerjaan-kurang atas item berjalan maksimal sampai volume yang sudah dikerjakan." sqref="O126">
      <formula1>$D$126</formula1>
    </dataValidation>
    <dataValidation type="decimal" operator="greaterThanOrEqual" showErrorMessage="1" errorStyle="stop" errorTitle="Di bawah realisasi" error="Pekerjaan ini sudah terealisasi 184,65 kg di lapangan (kolom REALISASI). Volume CCO-01 tidak boleh di bawahnya – pekerjaan-kurang atas item berjalan maksimal sampai volume yang sudah dikerjakan." sqref="O127">
      <formula1>$D$127</formula1>
    </dataValidation>
    <dataValidation type="decimal" operator="greaterThanOrEqual" showErrorMessage="1" errorStyle="stop" errorTitle="Di bawah realisasi" error="Pekerjaan ini sudah terealisasi 9,75 m³ di lapangan (kolom REALISASI). Volume CCO-01 tidak boleh di bawahnya – pekerjaan-kurang atas item berjalan maksimal sampai volume yang sudah dikerjakan." sqref="O128">
      <formula1>$D$128</formula1>
    </dataValidation>
    <dataValidation type="decimal" operator="greaterThanOrEqual" showErrorMessage="1" errorStyle="stop" errorTitle="Di bawah realisasi" error="Pekerjaan ini sudah terealisasi 9,75 m³ di lapangan (kolom REALISASI). Volume CCO-01 tidak boleh di bawahnya – pekerjaan-kurang atas item berjalan maksimal sampai volume yang sudah dikerjakan." sqref="O129">
      <formula1>$D$129</formula1>
    </dataValidation>
    <dataValidation type="decimal" operator="greaterThanOrEqual" showErrorMessage="1" errorStyle="stop" errorTitle="Di bawah realisasi" error="Pekerjaan ini sudah terealisasi 52 ttk di lapangan (kolom REALISASI). Volume CCO-01 tidak boleh di bawahnya – pekerjaan-kurang atas item berjalan maksimal sampai volume yang sudah dikerjakan." sqref="O130">
      <formula1>$D$130</formula1>
    </dataValidation>
    <dataValidation type="decimal" operator="greaterThanOrEqual" showErrorMessage="1" errorStyle="stop" errorTitle="Di bawah realisasi" error="Pekerjaan ini sudah terealisasi 37,17 m² di lapangan (kolom REALISASI). Volume CCO-01 tidak boleh di bawahnya – pekerjaan-kurang atas item berjalan maksimal sampai volume yang sudah dikerjakan." sqref="O132">
      <formula1>$D$132</formula1>
    </dataValidation>
    <dataValidation type="decimal" operator="greaterThanOrEqual" showErrorMessage="1" errorStyle="stop" errorTitle="Di bawah realisasi" error="Pekerjaan ini sudah terealisasi 265,66 kg di lapangan (kolom REALISASI). Volume CCO-01 tidak boleh di bawahnya – pekerjaan-kurang atas item berjalan maksimal sampai volume yang sudah dikerjakan." sqref="O133">
      <formula1>$D$133</formula1>
    </dataValidation>
    <dataValidation type="decimal" operator="greaterThanOrEqual" showErrorMessage="1" errorStyle="stop" errorTitle="Di bawah realisasi" error="Pekerjaan ini sudah terealisasi 68,86 kg di lapangan (kolom REALISASI). Volume CCO-01 tidak boleh di bawahnya – pekerjaan-kurang atas item berjalan maksimal sampai volume yang sudah dikerjakan." sqref="O134">
      <formula1>$D$134</formula1>
    </dataValidation>
    <dataValidation type="decimal" operator="greaterThanOrEqual" showErrorMessage="1" errorStyle="stop" errorTitle="Di bawah realisasi" error="Pekerjaan ini sudah terealisasi 4,5 m³ di lapangan (kolom REALISASI). Volume CCO-01 tidak boleh di bawahnya – pekerjaan-kurang atas item berjalan maksimal sampai volume yang sudah dikerjakan." sqref="O135">
      <formula1>$D$135</formula1>
    </dataValidation>
    <dataValidation type="decimal" operator="greaterThanOrEqual" showErrorMessage="1" errorStyle="stop" errorTitle="Di bawah realisasi" error="Pekerjaan ini sudah terealisasi 4,5 m³ di lapangan (kolom REALISASI). Volume CCO-01 tidak boleh di bawahnya – pekerjaan-kurang atas item berjalan maksimal sampai volume yang sudah dikerjakan." sqref="O136">
      <formula1>$D$136</formula1>
    </dataValidation>
    <dataValidation type="decimal" operator="greaterThanOrEqual" showErrorMessage="1" errorStyle="stop" errorTitle="Di bawah realisasi" error="Pekerjaan ini sudah terealisasi 4,5 m³ di lapangan (kolom REALISASI). Volume CCO-01 tidak boleh di bawahnya – pekerjaan-kurang atas item berjalan maksimal sampai volume yang sudah dikerjakan." sqref="O137">
      <formula1>$D$137</formula1>
    </dataValidation>
    <dataValidation type="decimal" operator="greaterThanOrEqual" showErrorMessage="1" errorStyle="stop" errorTitle="Di bawah realisasi" error="Pekerjaan ini sudah terealisasi 11,74 m² di lapangan (kolom REALISASI). Volume CCO-01 tidak boleh di bawahnya – pekerjaan-kurang atas item berjalan maksimal sampai volume yang sudah dikerjakan." sqref="O139">
      <formula1>$D$139</formula1>
    </dataValidation>
    <dataValidation type="decimal" operator="greaterThanOrEqual" showErrorMessage="1" errorStyle="stop" errorTitle="Di bawah realisasi" error="Pekerjaan ini sudah terealisasi 6 bln di lapangan (kolom REALISASI). Volume CCO-01 tidak boleh di bawahnya – pekerjaan-kurang atas item berjalan maksimal sampai volume yang sudah dikerjakan." sqref="O14">
      <formula1>$D$14</formula1>
    </dataValidation>
    <dataValidation type="decimal" operator="greaterThanOrEqual" showErrorMessage="1" errorStyle="stop" errorTitle="Di bawah realisasi" error="Pekerjaan ini sudah terealisasi 206,548 kg di lapangan (kolom REALISASI). Volume CCO-01 tidak boleh di bawahnya – pekerjaan-kurang atas item berjalan maksimal sampai volume yang sudah dikerjakan." sqref="O140">
      <formula1>$D$140</formula1>
    </dataValidation>
    <dataValidation type="decimal" operator="greaterThanOrEqual" showErrorMessage="1" errorStyle="stop" errorTitle="Di bawah realisasi" error="Pekerjaan ini sudah terealisasi 62,06 kg di lapangan (kolom REALISASI). Volume CCO-01 tidak boleh di bawahnya – pekerjaan-kurang atas item berjalan maksimal sampai volume yang sudah dikerjakan." sqref="O141">
      <formula1>$D$141</formula1>
    </dataValidation>
    <dataValidation type="decimal" operator="greaterThanOrEqual" showErrorMessage="1" errorStyle="stop" errorTitle="Di bawah realisasi" error="Pekerjaan ini sudah terealisasi 1,44 m³ di lapangan (kolom REALISASI). Volume CCO-01 tidak boleh di bawahnya – pekerjaan-kurang atas item berjalan maksimal sampai volume yang sudah dikerjakan." sqref="O142">
      <formula1>$D$142</formula1>
    </dataValidation>
    <dataValidation type="decimal" operator="greaterThanOrEqual" showErrorMessage="1" errorStyle="stop" errorTitle="Di bawah realisasi" error="Pekerjaan ini sudah terealisasi 1,44 m³ di lapangan (kolom REALISASI). Volume CCO-01 tidak boleh di bawahnya – pekerjaan-kurang atas item berjalan maksimal sampai volume yang sudah dikerjakan." sqref="O143">
      <formula1>$D$143</formula1>
    </dataValidation>
    <dataValidation type="decimal" operator="greaterThanOrEqual" showErrorMessage="1" errorStyle="stop" errorTitle="Di bawah realisasi" error="Pekerjaan ini sudah terealisasi 1,44 m³ di lapangan (kolom REALISASI). Volume CCO-01 tidak boleh di bawahnya – pekerjaan-kurang atas item berjalan maksimal sampai volume yang sudah dikerjakan." sqref="O144">
      <formula1>$D$144</formula1>
    </dataValidation>
    <dataValidation type="decimal" operator="greaterThanOrEqual" showErrorMessage="1" errorStyle="stop" errorTitle="Di bawah realisasi" error="Pekerjaan ini sudah terealisasi 14,51 m² di lapangan (kolom REALISASI). Volume CCO-01 tidak boleh di bawahnya – pekerjaan-kurang atas item berjalan maksimal sampai volume yang sudah dikerjakan." sqref="O146">
      <formula1>$D$146</formula1>
    </dataValidation>
    <dataValidation type="decimal" operator="greaterThanOrEqual" showErrorMessage="1" errorStyle="stop" errorTitle="Di bawah realisasi" error="Pekerjaan ini sudah terealisasi 302,36 kg di lapangan (kolom REALISASI). Volume CCO-01 tidak boleh di bawahnya – pekerjaan-kurang atas item berjalan maksimal sampai volume yang sudah dikerjakan." sqref="O147">
      <formula1>$D$147</formula1>
    </dataValidation>
    <dataValidation type="decimal" operator="greaterThanOrEqual" showErrorMessage="1" errorStyle="stop" errorTitle="Di bawah realisasi" error="Pekerjaan ini sudah terealisasi 87,618 kg di lapangan (kolom REALISASI). Volume CCO-01 tidak boleh di bawahnya – pekerjaan-kurang atas item berjalan maksimal sampai volume yang sudah dikerjakan." sqref="O148">
      <formula1>$D$148</formula1>
    </dataValidation>
    <dataValidation type="decimal" operator="greaterThanOrEqual" showErrorMessage="1" errorStyle="stop" errorTitle="Di bawah realisasi" error="Pekerjaan ini sudah terealisasi 150 m¹ di lapangan (kolom REALISASI). Volume CCO-01 tidak boleh di bawahnya – pekerjaan-kurang atas item berjalan maksimal sampai volume yang sudah dikerjakan." sqref="O15">
      <formula1>$D$15</formula1>
    </dataValidation>
    <dataValidation type="decimal" operator="greaterThanOrEqual" showErrorMessage="1" errorStyle="stop" errorTitle="Di bawah realisasi" error="Pekerjaan ini sudah terealisasi 4,9 m² di lapangan (kolom REALISASI). Volume CCO-01 tidak boleh di bawahnya – pekerjaan-kurang atas item berjalan maksimal sampai volume yang sudah dikerjakan." sqref="O153">
      <formula1>$D$153</formula1>
    </dataValidation>
    <dataValidation type="decimal" operator="greaterThanOrEqual" showErrorMessage="1" errorStyle="stop" errorTitle="Di bawah realisasi" error="Pekerjaan ini sudah terealisasi 28,36 kg di lapangan (kolom REALISASI). Volume CCO-01 tidak boleh di bawahnya – pekerjaan-kurang atas item berjalan maksimal sampai volume yang sudah dikerjakan." sqref="O154">
      <formula1>$D$154</formula1>
    </dataValidation>
    <dataValidation type="decimal" operator="greaterThanOrEqual" showErrorMessage="1" errorStyle="stop" errorTitle="Di bawah realisasi" error="Pekerjaan ini sudah terealisasi 12,63 kg di lapangan (kolom REALISASI). Volume CCO-01 tidak boleh di bawahnya – pekerjaan-kurang atas item berjalan maksimal sampai volume yang sudah dikerjakan." sqref="O155">
      <formula1>$D$155</formula1>
    </dataValidation>
    <dataValidation type="decimal" operator="greaterThanOrEqual" showErrorMessage="1" errorStyle="stop" errorTitle="Di bawah realisasi" error="Pekerjaan ini sudah terealisasi 54,067 m² di lapangan (kolom REALISASI). Volume CCO-01 tidak boleh di bawahnya – pekerjaan-kurang atas item berjalan maksimal sampai volume yang sudah dikerjakan." sqref="O160">
      <formula1>$D$160</formula1>
    </dataValidation>
    <dataValidation type="decimal" operator="greaterThanOrEqual" showErrorMessage="1" errorStyle="stop" errorTitle="Di bawah realisasi" error="Pekerjaan ini sudah terealisasi 229,67 kg di lapangan (kolom REALISASI). Volume CCO-01 tidak boleh di bawahnya – pekerjaan-kurang atas item berjalan maksimal sampai volume yang sudah dikerjakan." sqref="O161">
      <formula1>$D$161</formula1>
    </dataValidation>
    <dataValidation type="decimal" operator="greaterThanOrEqual" showErrorMessage="1" errorStyle="stop" errorTitle="Di bawah realisasi" error="Pekerjaan ini sudah terealisasi 4,32 m³ di lapangan (kolom REALISASI). Volume CCO-01 tidak boleh di bawahnya – pekerjaan-kurang atas item berjalan maksimal sampai volume yang sudah dikerjakan." sqref="O162">
      <formula1>$D$162</formula1>
    </dataValidation>
    <dataValidation type="decimal" operator="greaterThanOrEqual" showErrorMessage="1" errorStyle="stop" errorTitle="Di bawah realisasi" error="Pekerjaan ini sudah terealisasi 4,32 m³ di lapangan (kolom REALISASI). Volume CCO-01 tidak boleh di bawahnya – pekerjaan-kurang atas item berjalan maksimal sampai volume yang sudah dikerjakan." sqref="O163">
      <formula1>$D$163</formula1>
    </dataValidation>
    <dataValidation type="decimal" operator="greaterThanOrEqual" showErrorMessage="1" errorStyle="stop" errorTitle="Di bawah realisasi" error="Pekerjaan ini sudah terealisasi 4,32 m³ di lapangan (kolom REALISASI). Volume CCO-01 tidak boleh di bawahnya – pekerjaan-kurang atas item berjalan maksimal sampai volume yang sudah dikerjakan." sqref="O164">
      <formula1>$D$164</formula1>
    </dataValidation>
    <dataValidation type="decimal" operator="greaterThanOrEqual" showErrorMessage="1" errorStyle="stop" errorTitle="Di bawah realisasi" error="Pekerjaan ini sudah terealisasi 1,28 m² di lapangan (kolom REALISASI). Volume CCO-01 tidak boleh di bawahnya – pekerjaan-kurang atas item berjalan maksimal sampai volume yang sudah dikerjakan." sqref="O166">
      <formula1>$D$166</formula1>
    </dataValidation>
    <dataValidation type="decimal" operator="greaterThanOrEqual" showErrorMessage="1" errorStyle="stop" errorTitle="Di bawah realisasi" error="Pekerjaan ini sudah terealisasi 2,02 kg di lapangan (kolom REALISASI). Volume CCO-01 tidak boleh di bawahnya – pekerjaan-kurang atas item berjalan maksimal sampai volume yang sudah dikerjakan." sqref="O168">
      <formula1>$D$168</formula1>
    </dataValidation>
    <dataValidation type="decimal" operator="greaterThanOrEqual" showErrorMessage="1" errorStyle="stop" errorTitle="Di bawah realisasi" error="Pekerjaan ini sudah terealisasi 0,44 m² di lapangan (kolom REALISASI). Volume CCO-01 tidak boleh di bawahnya – pekerjaan-kurang atas item berjalan maksimal sampai volume yang sudah dikerjakan." sqref="O173">
      <formula1>$D$173</formula1>
    </dataValidation>
    <dataValidation type="decimal" operator="greaterThanOrEqual" showErrorMessage="1" errorStyle="stop" errorTitle="Di bawah realisasi" error="Pekerjaan ini sudah terealisasi 0,8 kg di lapangan (kolom REALISASI). Volume CCO-01 tidak boleh di bawahnya – pekerjaan-kurang atas item berjalan maksimal sampai volume yang sudah dikerjakan." sqref="O174">
      <formula1>$D$174</formula1>
    </dataValidation>
    <dataValidation type="decimal" operator="greaterThanOrEqual" showErrorMessage="1" errorStyle="stop" errorTitle="Di bawah realisasi" error="Pekerjaan ini sudah terealisasi 4,8 m² di lapangan (kolom REALISASI). Volume CCO-01 tidak boleh di bawahnya – pekerjaan-kurang atas item berjalan maksimal sampai volume yang sudah dikerjakan." sqref="O182">
      <formula1>$D$182</formula1>
    </dataValidation>
    <dataValidation type="decimal" operator="greaterThanOrEqual" showErrorMessage="1" errorStyle="stop" errorTitle="Di bawah realisasi" error="Pekerjaan ini sudah terealisasi 59,18 kg di lapangan (kolom REALISASI). Volume CCO-01 tidak boleh di bawahnya – pekerjaan-kurang atas item berjalan maksimal sampai volume yang sudah dikerjakan." sqref="O183">
      <formula1>$D$183</formula1>
    </dataValidation>
    <dataValidation type="decimal" operator="greaterThanOrEqual" showErrorMessage="1" errorStyle="stop" errorTitle="Di bawah realisasi" error="Pekerjaan ini sudah terealisasi 66,29 kg di lapangan (kolom REALISASI). Volume CCO-01 tidak boleh di bawahnya – pekerjaan-kurang atas item berjalan maksimal sampai volume yang sudah dikerjakan." sqref="O184">
      <formula1>$D$184</formula1>
    </dataValidation>
    <dataValidation type="decimal" operator="greaterThanOrEqual" showErrorMessage="1" errorStyle="stop" errorTitle="Di bawah realisasi" error="Pekerjaan ini sudah terealisasi 20 org di lapangan (kolom REALISASI). Volume CCO-01 tidak boleh di bawahnya – pekerjaan-kurang atas item berjalan maksimal sampai volume yang sudah dikerjakan." sqref="O21">
      <formula1>$D$21</formula1>
    </dataValidation>
    <dataValidation type="decimal" operator="greaterThanOrEqual" showErrorMessage="1" errorStyle="stop" errorTitle="Di bawah realisasi" error="Pekerjaan ini sudah terealisasi 42 org di lapangan (kolom REALISASI). Volume CCO-01 tidak boleh di bawahnya – pekerjaan-kurang atas item berjalan maksimal sampai volume yang sudah dikerjakan." sqref="O22">
      <formula1>$D$22</formula1>
    </dataValidation>
    <dataValidation type="decimal" operator="greaterThanOrEqual" showErrorMessage="1" errorStyle="stop" errorTitle="Di bawah realisasi" error="Pekerjaan ini sudah terealisasi 20 bh di lapangan (kolom REALISASI). Volume CCO-01 tidak boleh di bawahnya – pekerjaan-kurang atas item berjalan maksimal sampai volume yang sudah dikerjakan." sqref="O26">
      <formula1>$D$26</formula1>
    </dataValidation>
    <dataValidation type="decimal" operator="greaterThanOrEqual" showErrorMessage="1" errorStyle="stop" errorTitle="Di bawah realisasi" error="Pekerjaan ini sudah terealisasi 31,36 m³ di lapangan (kolom REALISASI). Volume CCO-01 tidak boleh di bawahnya – pekerjaan-kurang atas item berjalan maksimal sampai volume yang sudah dikerjakan." sqref="O269">
      <formula1>$D$269</formula1>
    </dataValidation>
    <dataValidation type="decimal" operator="greaterThanOrEqual" showErrorMessage="1" errorStyle="stop" errorTitle="Di bawah realisasi" error="Pekerjaan ini sudah terealisasi 80 bh di lapangan (kolom REALISASI). Volume CCO-01 tidak boleh di bawahnya – pekerjaan-kurang atas item berjalan maksimal sampai volume yang sudah dikerjakan." sqref="O27">
      <formula1>$D$27</formula1>
    </dataValidation>
    <dataValidation type="decimal" operator="greaterThanOrEqual" showErrorMessage="1" errorStyle="stop" errorTitle="Di bawah realisasi" error="Pekerjaan ini sudah terealisasi 1.356 m¹ di lapangan (kolom REALISASI). Volume CCO-01 tidak boleh di bawahnya – pekerjaan-kurang atas item berjalan maksimal sampai volume yang sudah dikerjakan." sqref="O270">
      <formula1>$D$270</formula1>
    </dataValidation>
    <dataValidation type="decimal" operator="greaterThanOrEqual" showErrorMessage="1" errorStyle="stop" errorTitle="Di bawah realisasi" error="Pekerjaan ini sudah terealisasi 23,2 m² di lapangan (kolom REALISASI). Volume CCO-01 tidak boleh di bawahnya – pekerjaan-kurang atas item berjalan maksimal sampai volume yang sudah dikerjakan." sqref="O271">
      <formula1>$D$271</formula1>
    </dataValidation>
    <dataValidation type="decimal" operator="greaterThanOrEqual" showErrorMessage="1" errorStyle="stop" errorTitle="Di bawah realisasi" error="Pekerjaan ini sudah terealisasi 1.324,86 kg di lapangan (kolom REALISASI). Volume CCO-01 tidak boleh di bawahnya – pekerjaan-kurang atas item berjalan maksimal sampai volume yang sudah dikerjakan." sqref="O272">
      <formula1>$D$272</formula1>
    </dataValidation>
    <dataValidation type="decimal" operator="greaterThanOrEqual" showErrorMessage="1" errorStyle="stop" errorTitle="Di bawah realisasi" error="Pekerjaan ini sudah terealisasi 694,18 kg di lapangan (kolom REALISASI). Volume CCO-01 tidak boleh di bawahnya – pekerjaan-kurang atas item berjalan maksimal sampai volume yang sudah dikerjakan." sqref="O273">
      <formula1>$D$273</formula1>
    </dataValidation>
    <dataValidation type="decimal" operator="greaterThanOrEqual" showErrorMessage="1" errorStyle="stop" errorTitle="Di bawah realisasi" error="Pekerjaan ini sudah terealisasi 23,52 m³ di lapangan (kolom REALISASI). Volume CCO-01 tidak boleh di bawahnya – pekerjaan-kurang atas item berjalan maksimal sampai volume yang sudah dikerjakan." sqref="O274">
      <formula1>$D$274</formula1>
    </dataValidation>
    <dataValidation type="decimal" operator="greaterThanOrEqual" showErrorMessage="1" errorStyle="stop" errorTitle="Di bawah realisasi" error="Pekerjaan ini sudah terealisasi 23,52 m³ di lapangan (kolom REALISASI). Volume CCO-01 tidak boleh di bawahnya – pekerjaan-kurang atas item berjalan maksimal sampai volume yang sudah dikerjakan." sqref="O275">
      <formula1>$D$275</formula1>
    </dataValidation>
    <dataValidation type="decimal" operator="greaterThanOrEqual" showErrorMessage="1" errorStyle="stop" errorTitle="Di bawah realisasi" error="Pekerjaan ini sudah terealisasi 78,4 m² di lapangan (kolom REALISASI). Volume CCO-01 tidak boleh di bawahnya – pekerjaan-kurang atas item berjalan maksimal sampai volume yang sudah dikerjakan." sqref="O277">
      <formula1>$D$277</formula1>
    </dataValidation>
    <dataValidation type="decimal" operator="greaterThanOrEqual" showErrorMessage="1" errorStyle="stop" errorTitle="Di bawah realisasi" error="Pekerjaan ini sudah terealisasi 819,76 kg di lapangan (kolom REALISASI). Volume CCO-01 tidak boleh di bawahnya – pekerjaan-kurang atas item berjalan maksimal sampai volume yang sudah dikerjakan." sqref="O278">
      <formula1>$D$278</formula1>
    </dataValidation>
    <dataValidation type="decimal" operator="greaterThanOrEqual" showErrorMessage="1" errorStyle="stop" errorTitle="Di bawah realisasi" error="Pekerjaan ini sudah terealisasi 276,69 kg di lapangan (kolom REALISASI). Volume CCO-01 tidak boleh di bawahnya – pekerjaan-kurang atas item berjalan maksimal sampai volume yang sudah dikerjakan." sqref="O279">
      <formula1>$D$279</formula1>
    </dataValidation>
    <dataValidation type="decimal" operator="greaterThanOrEqual" showErrorMessage="1" errorStyle="stop" errorTitle="Di bawah realisasi" error="Pekerjaan ini sudah terealisasi 7,84 m³ di lapangan (kolom REALISASI). Volume CCO-01 tidak boleh di bawahnya – pekerjaan-kurang atas item berjalan maksimal sampai volume yang sudah dikerjakan." sqref="O280">
      <formula1>$D$280</formula1>
    </dataValidation>
    <dataValidation type="decimal" operator="greaterThanOrEqual" showErrorMessage="1" errorStyle="stop" errorTitle="Di bawah realisasi" error="Pekerjaan ini sudah terealisasi 7,84 m³ di lapangan (kolom REALISASI). Volume CCO-01 tidak boleh di bawahnya – pekerjaan-kurang atas item berjalan maksimal sampai volume yang sudah dikerjakan." sqref="O281">
      <formula1>$D$281</formula1>
    </dataValidation>
    <dataValidation type="decimal" operator="greaterThanOrEqual" showErrorMessage="1" errorStyle="stop" errorTitle="Di bawah realisasi" error="Pekerjaan ini sudah terealisasi 10 bh di lapangan (kolom REALISASI). Volume CCO-01 tidak boleh di bawahnya – pekerjaan-kurang atas item berjalan maksimal sampai volume yang sudah dikerjakan." sqref="O30">
      <formula1>$D$30</formula1>
    </dataValidation>
    <dataValidation type="decimal" operator="greaterThanOrEqual" showErrorMessage="1" errorStyle="stop" errorTitle="Di bawah realisasi" error="Pekerjaan ini sudah terealisasi 4,66 kg di lapangan (kolom REALISASI). Volume CCO-01 tidak boleh di bawahnya – pekerjaan-kurang atas item berjalan maksimal sampai volume yang sudah dikerjakan." sqref="O312">
      <formula1>$D$312</formula1>
    </dataValidation>
    <dataValidation type="decimal" operator="greaterThanOrEqual" showErrorMessage="1" errorStyle="stop" errorTitle="Di bawah realisasi" error="Pekerjaan ini sudah terealisasi 6 bln di lapangan (kolom REALISASI). Volume CCO-01 tidak boleh di bawahnya – pekerjaan-kurang atas item berjalan maksimal sampai volume yang sudah dikerjakan." sqref="O35">
      <formula1>$D$35</formula1>
    </dataValidation>
    <dataValidation type="decimal" operator="greaterThanOrEqual" showErrorMessage="1" errorStyle="stop" errorTitle="Di bawah realisasi" error="Pekerjaan ini sudah terealisasi 5 bh di lapangan (kolom REALISASI). Volume CCO-01 tidak boleh di bawahnya – pekerjaan-kurang atas item berjalan maksimal sampai volume yang sudah dikerjakan." sqref="O39">
      <formula1>$D$39</formula1>
    </dataValidation>
    <dataValidation type="decimal" operator="greaterThanOrEqual" showErrorMessage="1" errorStyle="stop" errorTitle="Di bawah realisasi" error="Pekerjaan ini sudah terealisasi 2 bh di lapangan (kolom REALISASI). Volume CCO-01 tidak boleh di bawahnya – pekerjaan-kurang atas item berjalan maksimal sampai volume yang sudah dikerjakan." sqref="O40">
      <formula1>$D$40</formula1>
    </dataValidation>
    <dataValidation type="decimal" operator="greaterThanOrEqual" showErrorMessage="1" errorStyle="stop" errorTitle="Di bawah realisasi" error="Pekerjaan ini sudah terealisasi 5 bh di lapangan (kolom REALISASI). Volume CCO-01 tidak boleh di bawahnya – pekerjaan-kurang atas item berjalan maksimal sampai volume yang sudah dikerjakan." sqref="O42">
      <formula1>$D$42</formula1>
    </dataValidation>
    <dataValidation type="decimal" operator="greaterThanOrEqual" showErrorMessage="1" errorStyle="stop" errorTitle="Di bawah realisasi" error="Pekerjaan ini sudah terealisasi 1 bh di lapangan (kolom REALISASI). Volume CCO-01 tidak boleh di bawahnya – pekerjaan-kurang atas item berjalan maksimal sampai volume yang sudah dikerjakan." sqref="O44">
      <formula1>$D$44</formula1>
    </dataValidation>
    <dataValidation type="decimal" operator="greaterThanOrEqual" showErrorMessage="1" errorStyle="stop" errorTitle="Di bawah realisasi" error="Pekerjaan ini sudah terealisasi 2 bh di lapangan (kolom REALISASI). Volume CCO-01 tidak boleh di bawahnya – pekerjaan-kurang atas item berjalan maksimal sampai volume yang sudah dikerjakan." sqref="O45">
      <formula1>$D$45</formula1>
    </dataValidation>
    <dataValidation type="decimal" operator="greaterThanOrEqual" showErrorMessage="1" errorStyle="stop" errorTitle="Di bawah realisasi" error="Pekerjaan ini sudah terealisasi 850 m² di lapangan (kolom REALISASI). Volume CCO-01 tidak boleh di bawahnya – pekerjaan-kurang atas item berjalan maksimal sampai volume yang sudah dikerjakan." sqref="O49">
      <formula1>$D$49</formula1>
    </dataValidation>
    <dataValidation type="decimal" operator="greaterThanOrEqual" showErrorMessage="1" errorStyle="stop" errorTitle="Di bawah realisasi" error="Pekerjaan ini sudah terealisasi 1 unit di lapangan (kolom REALISASI). Volume CCO-01 tidak boleh di bawahnya – pekerjaan-kurang atas item berjalan maksimal sampai volume yang sudah dikerjakan." sqref="O53">
      <formula1>$D$53</formula1>
    </dataValidation>
    <dataValidation type="decimal" operator="greaterThanOrEqual" showErrorMessage="1" errorStyle="stop" errorTitle="Di bawah realisasi" error="Pekerjaan ini sudah terealisasi 1 unit di lapangan (kolom REALISASI). Volume CCO-01 tidak boleh di bawahnya – pekerjaan-kurang atas item berjalan maksimal sampai volume yang sudah dikerjakan." sqref="O54">
      <formula1>$D$54</formula1>
    </dataValidation>
    <dataValidation type="decimal" operator="greaterThanOrEqual" showErrorMessage="1" errorStyle="stop" errorTitle="Di bawah realisasi" error="Pekerjaan ini sudah terealisasi 1 unit di lapangan (kolom REALISASI). Volume CCO-01 tidak boleh di bawahnya – pekerjaan-kurang atas item berjalan maksimal sampai volume yang sudah dikerjakan." sqref="O55">
      <formula1>$D$55</formula1>
    </dataValidation>
    <dataValidation type="decimal" operator="greaterThanOrEqual" showErrorMessage="1" errorStyle="stop" errorTitle="Di bawah realisasi" error="Pekerjaan ini sudah terealisasi 1 ttk di lapangan (kolom REALISASI). Volume CCO-01 tidak boleh di bawahnya – pekerjaan-kurang atas item berjalan maksimal sampai volume yang sudah dikerjakan." sqref="O907">
      <formula1>$D$907</formula1>
    </dataValidation>
  </dataValidations>
  <pageMargins left="0.3" right="0.3" top="0.4" bottom="0.4" header="0.2" footer="0.2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CCO-01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MARLIN</dc:creator>
  <dc:title/>
  <dc:subject/>
  <dc:description/>
  <cp:keywords/>
  <cp:category/>
  <cp:lastModifiedBy>Unknown</cp:lastModifiedBy>
  <dcterms:created xsi:type="dcterms:W3CDTF">2026-09-05T11:32:29Z</dcterms:created>
  <dcterms:modified xsi:type="dcterms:W3CDTF">2026-09-05T11:32:29Z</dcterms:modified>
</cp:coreProperties>
</file>