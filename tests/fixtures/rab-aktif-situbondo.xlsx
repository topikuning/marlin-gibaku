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" state="visible" r:id="rId4"/>
    <sheet sheetId="2" name="Sub Resume" state="visible" r:id="rId5"/>
    <sheet sheetId="3" name="Detail RAB" state="visible" r:id="rId6"/>
  </sheets>
  <calcPr calcId="171027"/>
</workbook>
</file>

<file path=xl/sharedStrings.xml><?xml version="1.0" encoding="utf-8"?>
<sst xmlns="http://schemas.openxmlformats.org/spreadsheetml/2006/main" count="3343" uniqueCount="845">
  <si>
    <t>RENCANA ANGGARAN BIAYA – RESUME</t>
  </si>
  <si>
    <t>Lokasi: Pesisir · Paket: KNMP Situbondo · CV. Tosan</t>
  </si>
  <si>
    <t>Kontrak: B.17114/DJPT.6/PI.420/PPK/VI/2026 · RAB revisi aktif #1</t>
  </si>
  <si>
    <t>No</t>
  </si>
  <si>
    <t>Uraian Pekerjaan</t>
  </si>
  <si>
    <t>Jumlah Harga (Rp)</t>
  </si>
  <si>
    <t>I</t>
  </si>
  <si>
    <t>PEKERJAAN PERSIAPAN</t>
  </si>
  <si>
    <t>II</t>
  </si>
  <si>
    <t>PEKERJAAN REVETMENT</t>
  </si>
  <si>
    <t>V</t>
  </si>
  <si>
    <t>PEKERJAAN BANGUNAN SHELTER PENDARATAN IKAN</t>
  </si>
  <si>
    <t>VI</t>
  </si>
  <si>
    <t>PEKERJAAN PONDASI GUDANG BEKU PORTABLE</t>
  </si>
  <si>
    <t>VII</t>
  </si>
  <si>
    <t>PEKERJAAN PONDASI PABRIK ES PORTABLE</t>
  </si>
  <si>
    <t>VIII</t>
  </si>
  <si>
    <t>PEKERJAAN AREA PARKIR</t>
  </si>
  <si>
    <t>IX</t>
  </si>
  <si>
    <t>PEKERJAAN BANGUNAN KIOS PERBEKALAN</t>
  </si>
  <si>
    <t>X</t>
  </si>
  <si>
    <t>PEKERJAAN BANGUNAN KANTOR PENGELOLA</t>
  </si>
  <si>
    <t>XI</t>
  </si>
  <si>
    <t>PEKERJAAN BANGUNAN TANGKI AIR DAN SUMUR BOR</t>
  </si>
  <si>
    <t>XII</t>
  </si>
  <si>
    <t>PEKERJAAN PENERANGAN KAWASAN</t>
  </si>
  <si>
    <t>XIII</t>
  </si>
  <si>
    <t>PEKERJAAN BANGUNAN GENSET</t>
  </si>
  <si>
    <t>XIV</t>
  </si>
  <si>
    <t>PEKERJAAN JALAN LINGKUNGAN DAN SALURAN</t>
  </si>
  <si>
    <t>XV</t>
  </si>
  <si>
    <t>PEKERJAAN LANDSKAPING KAWASAN</t>
  </si>
  <si>
    <t>XVI</t>
  </si>
  <si>
    <t>PEKERJAAN LEVELLING LAHAN</t>
  </si>
  <si>
    <t>XVII</t>
  </si>
  <si>
    <t>PEKERJAAN BANGUNAN DOCKING KAPAL</t>
  </si>
  <si>
    <t>XVIII</t>
  </si>
  <si>
    <t>PEKERJAAN BANGUNAN IPAL BIOTECH</t>
  </si>
  <si>
    <t>JUMLAH</t>
  </si>
  <si>
    <t>PPN 11%</t>
  </si>
  <si>
    <t>JUMLAH TOTAL</t>
  </si>
  <si>
    <t>DIBULATKAN</t>
  </si>
  <si>
    <t>RENCANA ANGGARAN BIAYA – SUB RESUME</t>
  </si>
  <si>
    <t>Kode</t>
  </si>
  <si>
    <t>Uraian</t>
  </si>
  <si>
    <t>1</t>
  </si>
  <si>
    <t>Buat Bedeng Pekerja Dan Gudang</t>
  </si>
  <si>
    <t>2</t>
  </si>
  <si>
    <t>Pekerjaan Sewa Rumah untuk Direksi Keetz</t>
  </si>
  <si>
    <t>3</t>
  </si>
  <si>
    <t>Papan Nama Proyek</t>
  </si>
  <si>
    <t>4</t>
  </si>
  <si>
    <t>Listrik Kerja</t>
  </si>
  <si>
    <t>5</t>
  </si>
  <si>
    <t>Pekerjaan Pagar Sementara</t>
  </si>
  <si>
    <t>6</t>
  </si>
  <si>
    <t>Pekerjaan Pengadaan SMK3K</t>
  </si>
  <si>
    <t>7</t>
  </si>
  <si>
    <t>Pekerjaan Pembersihan Lokasi dari Pohon dan Rumput (Land Clearing)</t>
  </si>
  <si>
    <t>8</t>
  </si>
  <si>
    <t>Pekerjaan Stake Out Posisi Trase Saluran/Infrastruktur</t>
  </si>
  <si>
    <t>9</t>
  </si>
  <si>
    <t>Pekerjaan Sondir termasuk Pelaporan termasuk mobilisasi Alat dan Personil</t>
  </si>
  <si>
    <t>10</t>
  </si>
  <si>
    <t>Mobilisasi dan Demobilisasi</t>
  </si>
  <si>
    <t>11</t>
  </si>
  <si>
    <t>Pekerjaan Sambungan Daya Baru Gudang Beku</t>
  </si>
  <si>
    <t>12</t>
  </si>
  <si>
    <t>Pekerjaan Sambungan Daya Baru Pabrik Es</t>
  </si>
  <si>
    <t>13</t>
  </si>
  <si>
    <t>Pekerjaan Sambungan Daya Baru Kawasan</t>
  </si>
  <si>
    <t>14</t>
  </si>
  <si>
    <t>Pekerjaan Panel Distribusi Kawasan, LVMDP/PDTR 25KVA, termasuk pengiriman dan instalasi</t>
  </si>
  <si>
    <t>15</t>
  </si>
  <si>
    <t>Pekerjaan Pengadaan Tempat Sampah Portable 1100 L ex. Krisbow + Pengiriman</t>
  </si>
  <si>
    <t>JUMLAH I – PEKERJAAN PERSIAPAN</t>
  </si>
  <si>
    <t>Pekerjaan Pondasi</t>
  </si>
  <si>
    <t>Pekerjaan Trap Tangga Beton lebar 60 cm</t>
  </si>
  <si>
    <t>Pekerjaan Trap Tangga Beton lebar 30 cm</t>
  </si>
  <si>
    <t>Pekerjaan Dinding Beton Penutup Trap t = 20 cm</t>
  </si>
  <si>
    <t>Pekerjaan Pondasi Tapak (untuk ddg Landing Stair)</t>
  </si>
  <si>
    <t>Pekerjaan Tapak Beton Menerus 30 x 200 cm</t>
  </si>
  <si>
    <t>Pekerjaan Dinding Beton t = 20 cm</t>
  </si>
  <si>
    <t>JUMLAH II – PEKERJAAN REVETMENT</t>
  </si>
  <si>
    <t>V.1</t>
  </si>
  <si>
    <t>Pekerjaan Struktural</t>
  </si>
  <si>
    <t>V.2</t>
  </si>
  <si>
    <t>Pekerjaan Arsitektural</t>
  </si>
  <si>
    <t>V.3</t>
  </si>
  <si>
    <t>Pekerjaan Elektrikal</t>
  </si>
  <si>
    <t>JUMLAH V – PEKERJAAN BANGUNAN SHELTER PENDARATAN IKAN</t>
  </si>
  <si>
    <t>VI.1</t>
  </si>
  <si>
    <t>Pekerjaan Struktural Pondasi</t>
  </si>
  <si>
    <t>JUMLAH VI – PEKERJAAN PONDASI GUDANG BEKU PORTABLE</t>
  </si>
  <si>
    <t>VII.1</t>
  </si>
  <si>
    <t>VII.2</t>
  </si>
  <si>
    <t>Pekerjaan Struktural Ground Water Tank Beton</t>
  </si>
  <si>
    <t>JUMLAH VII – PEKERJAAN PONDASI PABRIK ES PORTABLE</t>
  </si>
  <si>
    <t>Pekerjaan Urugan Makadam t = 20 cm</t>
  </si>
  <si>
    <t>Pekerjaan Pemadatan Makadam</t>
  </si>
  <si>
    <t>Pekerjaan Urugan Sirtu t = 10 cm</t>
  </si>
  <si>
    <t>Pekerjaan Pemadatan Sirtu</t>
  </si>
  <si>
    <t>Pekerjaan Urugan Pasir t = 5 cm</t>
  </si>
  <si>
    <t>Pekerjaan Lantai Paving Block t = 6 cm</t>
  </si>
  <si>
    <t>Pekerjaan Kanstin 15.25.40</t>
  </si>
  <si>
    <t>JUMLAH VIII – PEKERJAAN AREA PARKIR</t>
  </si>
  <si>
    <t>IX.1</t>
  </si>
  <si>
    <t>IX.2</t>
  </si>
  <si>
    <t>IX.3</t>
  </si>
  <si>
    <t>Pekerjaan Mekanikal Elektrikal</t>
  </si>
  <si>
    <t>JUMLAH IX – PEKERJAAN BANGUNAN KIOS PERBEKALAN</t>
  </si>
  <si>
    <t>X.1</t>
  </si>
  <si>
    <t>X.2</t>
  </si>
  <si>
    <t>Pekerjaan Arsitektural Dan ME</t>
  </si>
  <si>
    <t>JUMLAH X – PEKERJAAN BANGUNAN KANTOR PENGELOLA</t>
  </si>
  <si>
    <t>XI.1</t>
  </si>
  <si>
    <t>XI.2</t>
  </si>
  <si>
    <t>Pekerjaan Tangki FRP 18 m³ Dan Plumbing</t>
  </si>
  <si>
    <t>XI.3</t>
  </si>
  <si>
    <t>Pekerjaan Deep Well</t>
  </si>
  <si>
    <t>XI.3.1</t>
  </si>
  <si>
    <t>Pekerjaan Pengeboran</t>
  </si>
  <si>
    <t>XI.3.2</t>
  </si>
  <si>
    <t>Pekerjaan Pengadaan Dan Material</t>
  </si>
  <si>
    <t>JUMLAH XI – PEKERJAAN BANGUNAN TANGKI AIR DAN SUMUR BOR</t>
  </si>
  <si>
    <t>XII.1</t>
  </si>
  <si>
    <t>Pekerjaan Penerangan Tiang T = 7 m Dan T = 4 m</t>
  </si>
  <si>
    <t>XII.2</t>
  </si>
  <si>
    <t>JUMLAH XII – PEKERJAAN PENERANGAN KAWASAN</t>
  </si>
  <si>
    <t>XIII.1</t>
  </si>
  <si>
    <t>XIII.2</t>
  </si>
  <si>
    <t>Pekerjaan Arsitektural Dan Eletrikal</t>
  </si>
  <si>
    <t>JUMLAH XIII – PEKERJAAN BANGUNAN GENSET</t>
  </si>
  <si>
    <t>XIV.1</t>
  </si>
  <si>
    <t>Pekerjaan Saluran Batu Belah Kawasan</t>
  </si>
  <si>
    <t>XIV.2</t>
  </si>
  <si>
    <t>Pekerjaan Jalan Beton Kawasan</t>
  </si>
  <si>
    <t>XIV.3</t>
  </si>
  <si>
    <t>Pekerjaan Pedestrian Kawasan</t>
  </si>
  <si>
    <t>JUMLAH XIV – PEKERJAAN JALAN LINGKUNGAN DAN SALURAN</t>
  </si>
  <si>
    <t>Pekerjaan Penanaman Rumput Gajah Mini</t>
  </si>
  <si>
    <t>Penanaman 1 Buah Pohon Sedang Mangga (Mangifera indica), Diameter 6-8 cm, Tinggi 2-3 meter, Polybag 50 L</t>
  </si>
  <si>
    <t>Penanaman 1 Buah Pohon Sedang Alpukat (Persea Americana), Diameter 6-8 cm, Tinggi 2-3 meter, Polybag 50 L</t>
  </si>
  <si>
    <t>Penanaman 1 Buah Pohon Sedang Rambutan (Nephelium lappaceum), Diameter 6-8 cm, Tinggi 2-3 meter, Polybag 50 L</t>
  </si>
  <si>
    <t>Penanaman 1 Buah Pohon Sedang Lengkeng (Dimocarpus longan), Diameter 6-8 cm, Tinggi 2-3 meter, Polybag 50 L</t>
  </si>
  <si>
    <t>JUMLAH XV – PEKERJAAN LANDSKAPING KAWASAN</t>
  </si>
  <si>
    <t>Pekerjaan Urugan Tanah mendatangkan</t>
  </si>
  <si>
    <t>Pek. Pemadatan Tanah Urug dengan alat berat tiap 20 cm</t>
  </si>
  <si>
    <t>JUMLAH XVI – PEKERJAAN LEVELLING LAHAN</t>
  </si>
  <si>
    <t>XVII.1</t>
  </si>
  <si>
    <t>XVII.2</t>
  </si>
  <si>
    <t>XVII.3</t>
  </si>
  <si>
    <t>JUMLAH XVII – PEKERJAAN BANGUNAN DOCKING KAPAL</t>
  </si>
  <si>
    <t>Pekerjaan Bouwplank dan Uitzet</t>
  </si>
  <si>
    <t>Pekerjaan Galian Tanah Keras sampai dengan 2 m</t>
  </si>
  <si>
    <t>Pekerjaan Buang Tanah bekas Galian</t>
  </si>
  <si>
    <t>Pekerjaan Lantai Beton t = 20 cm</t>
  </si>
  <si>
    <t>Pekerjaan Dinding Pasangan Bata 1 : 5</t>
  </si>
  <si>
    <t>Pekerjaan Plesteran</t>
  </si>
  <si>
    <t>Pekerjaan Pengadaan dan Pemasangan IPAL Biotech 2 m³</t>
  </si>
  <si>
    <t>Pekerjaan Urugan Pasir Urug</t>
  </si>
  <si>
    <t>JUMLAH XVIII – PEKERJAAN BANGUNAN IPAL BIOTECH</t>
  </si>
  <si>
    <t>RENCANA ANGGARAN BIAYA – DETAIL</t>
  </si>
  <si>
    <t>Volume</t>
  </si>
  <si>
    <t>Sat</t>
  </si>
  <si>
    <t>Harga Satuan (Rp)</t>
  </si>
  <si>
    <t>Jumlah (Rp)</t>
  </si>
  <si>
    <t>m²</t>
  </si>
  <si>
    <t>bln</t>
  </si>
  <si>
    <t>bh</t>
  </si>
  <si>
    <t>m¹</t>
  </si>
  <si>
    <t>6.1</t>
  </si>
  <si>
    <t>Penyiapan RK3K, terdiri atas :</t>
  </si>
  <si>
    <t>6.1.a</t>
  </si>
  <si>
    <t>Pembuatan Manual, Prosedur, Instruksi Kerja, Ijin Kerja dan Formulir</t>
  </si>
  <si>
    <t>set</t>
  </si>
  <si>
    <t>6.1.b</t>
  </si>
  <si>
    <t>Pembuatan Kartu Identitas Pekerja (KIP)</t>
  </si>
  <si>
    <t>org</t>
  </si>
  <si>
    <t>6.2</t>
  </si>
  <si>
    <t>Sosialisasi dan Promosi K3, terdiri atas :</t>
  </si>
  <si>
    <t>6.2.a</t>
  </si>
  <si>
    <t>Induksi K3 (Safety Induction) ; khusus untuk pekerja baru</t>
  </si>
  <si>
    <t>6.2.b</t>
  </si>
  <si>
    <t>Pengarahan K3 (Safety Briefing) :</t>
  </si>
  <si>
    <t>6.3</t>
  </si>
  <si>
    <t>Alat Pelindung Kerja, terdiri atas :</t>
  </si>
  <si>
    <t>6.3.a</t>
  </si>
  <si>
    <t>Pembatas Area (Restricted Area)</t>
  </si>
  <si>
    <t>ls</t>
  </si>
  <si>
    <t>6.4</t>
  </si>
  <si>
    <t>Alat Pelindung Diri, terdiri atas :</t>
  </si>
  <si>
    <t>6.4.a</t>
  </si>
  <si>
    <t>Topi Pelindung (Safety Helmet)</t>
  </si>
  <si>
    <t>6.4.b</t>
  </si>
  <si>
    <t>Pelindung Pernapasan dan Mulut (Masker)</t>
  </si>
  <si>
    <t>6.4.c</t>
  </si>
  <si>
    <t>Sarung Tangan (Safety Gloves)</t>
  </si>
  <si>
    <t>psg</t>
  </si>
  <si>
    <t>6.4.d</t>
  </si>
  <si>
    <t>Sepatu Keselamatan (Rubber Safety Shoes and Toe Cap)</t>
  </si>
  <si>
    <t>6.4.e</t>
  </si>
  <si>
    <t>Rompi Keselamatan ( Safety vest)</t>
  </si>
  <si>
    <t>6.5</t>
  </si>
  <si>
    <t>Asuransi dan Perijinan, terdiri atas :</t>
  </si>
  <si>
    <t>6.5.a</t>
  </si>
  <si>
    <t>BPJS Ketenagakerjaan dan Kesehatan Kerja ; (BERDASARKAN KEPMENAKER NOMOR 44 TAHUN 2015 tentang</t>
  </si>
  <si>
    <t>6.6</t>
  </si>
  <si>
    <t>Personil K3, terdiri atas :</t>
  </si>
  <si>
    <t>6.6.a</t>
  </si>
  <si>
    <t>Petugas K3</t>
  </si>
  <si>
    <t>6.7</t>
  </si>
  <si>
    <t>Fasilitas Sarana Kesehatan, terdiri atas :</t>
  </si>
  <si>
    <t>6.7.1</t>
  </si>
  <si>
    <t>Peralatan P3K (Kotak P3K, Tandu, Tabung Oksigen, Obat Luka, Perban, dll)</t>
  </si>
  <si>
    <t>6.8</t>
  </si>
  <si>
    <t>Rambu-rambu ukuran min. 90x90, terdiri atas :</t>
  </si>
  <si>
    <t>6.8.a</t>
  </si>
  <si>
    <t>Rambu Petunjuk</t>
  </si>
  <si>
    <t>6.8.b</t>
  </si>
  <si>
    <t>Rambu Larangan</t>
  </si>
  <si>
    <t>6.8.c</t>
  </si>
  <si>
    <t>Rambu Peringatan</t>
  </si>
  <si>
    <t>6.8.d</t>
  </si>
  <si>
    <t>Rambu Kewajiban</t>
  </si>
  <si>
    <t>6.9</t>
  </si>
  <si>
    <t>Lain-lain Terkait Pengendalian Resiko K3, terdiri atas :</t>
  </si>
  <si>
    <t>6.9.a</t>
  </si>
  <si>
    <t>Alat Pemadam Api Ringan (APAR) ; 3 kg</t>
  </si>
  <si>
    <t>6.9.b</t>
  </si>
  <si>
    <t>Bendera K3</t>
  </si>
  <si>
    <t>6.9.c</t>
  </si>
  <si>
    <t>Jalur Evakuasi (Escape Route)</t>
  </si>
  <si>
    <t>6.9.d</t>
  </si>
  <si>
    <t>Lampu Darurat (Emergency Lamp)</t>
  </si>
  <si>
    <t>6.9.e</t>
  </si>
  <si>
    <t>Pelaporan K3 dan Program Inspeksi</t>
  </si>
  <si>
    <t>ttk</t>
  </si>
  <si>
    <t>10.a</t>
  </si>
  <si>
    <t>Bulldozer</t>
  </si>
  <si>
    <t>unit</t>
  </si>
  <si>
    <t>10.b</t>
  </si>
  <si>
    <t>Roller Vibrator 12 Ton</t>
  </si>
  <si>
    <t>10.c</t>
  </si>
  <si>
    <t>Excavator</t>
  </si>
  <si>
    <t>10.d</t>
  </si>
  <si>
    <t>Concrete Mixer 0,35 m³</t>
  </si>
  <si>
    <t>10.e</t>
  </si>
  <si>
    <t>Concrete Mixer Pump</t>
  </si>
  <si>
    <t>10.f</t>
  </si>
  <si>
    <t>Stamper</t>
  </si>
  <si>
    <t>10.g</t>
  </si>
  <si>
    <t>Mesin las</t>
  </si>
  <si>
    <t>11.a</t>
  </si>
  <si>
    <t>Pendaftaran NIDI + SLO Daya 41,5 Kva</t>
  </si>
  <si>
    <t>11.b</t>
  </si>
  <si>
    <t>Biaya Pasang Baru Daya 41,5 Kva</t>
  </si>
  <si>
    <t>12.a</t>
  </si>
  <si>
    <t>Pendaftaran NIDI + SLO Daya 23 Kva</t>
  </si>
  <si>
    <t>12.b</t>
  </si>
  <si>
    <t>Biaya Pasang Baru Daya 23 Kva</t>
  </si>
  <si>
    <t>13.a</t>
  </si>
  <si>
    <t>Pendaftaran NIDI + SLO Daya 21 Kva</t>
  </si>
  <si>
    <t>13.b</t>
  </si>
  <si>
    <t>Biaya Pasang Baru Daya 21 Kva</t>
  </si>
  <si>
    <t>1.a</t>
  </si>
  <si>
    <t>Pekerjaan Galian Tanah s/d 1 m</t>
  </si>
  <si>
    <t>m³</t>
  </si>
  <si>
    <t>1.b</t>
  </si>
  <si>
    <t>Pekerjaan Batu Kosong (Aanstamping)</t>
  </si>
  <si>
    <t>1.c</t>
  </si>
  <si>
    <t>Pekerjaan Batu Belah 1 : 2</t>
  </si>
  <si>
    <t>2.a</t>
  </si>
  <si>
    <t>Pekerjaan Bekesting Tangga</t>
  </si>
  <si>
    <t>2.b</t>
  </si>
  <si>
    <t>Pembesian Besi Beton D13-150 mm secara semi mekanis</t>
  </si>
  <si>
    <t>kg</t>
  </si>
  <si>
    <t>2.c</t>
  </si>
  <si>
    <t>Pembesian Besi Beton Ø 10-150 mm</t>
  </si>
  <si>
    <t>2.d</t>
  </si>
  <si>
    <t>Pekerjaan beton semi mekanis setara fc = 25</t>
  </si>
  <si>
    <t>3.a</t>
  </si>
  <si>
    <t>3.b</t>
  </si>
  <si>
    <t>Pembesian Besi Beton D13-100 mm secara semi mekanis</t>
  </si>
  <si>
    <t>3.c</t>
  </si>
  <si>
    <t>Pembesian Besi Beton D10-100 mm</t>
  </si>
  <si>
    <t>3.d</t>
  </si>
  <si>
    <t>3.e</t>
  </si>
  <si>
    <t>Pekerjaan Acian</t>
  </si>
  <si>
    <t>3.f</t>
  </si>
  <si>
    <t>Pekerjaan Skonengan</t>
  </si>
  <si>
    <t>4.a</t>
  </si>
  <si>
    <t>Pekerjaan Kayu Bekesting Sloof</t>
  </si>
  <si>
    <t>4.b</t>
  </si>
  <si>
    <t>4.c</t>
  </si>
  <si>
    <t>Pembesian Besi Beton Ø10-150 mm</t>
  </si>
  <si>
    <t>4.d</t>
  </si>
  <si>
    <t>5.a</t>
  </si>
  <si>
    <t>Pekerjaan Cerucuk Kayu Dolken Ø 6 - 8 cm</t>
  </si>
  <si>
    <t>5.b</t>
  </si>
  <si>
    <t>Pekerjaan Kayu Bekesting Pondasi</t>
  </si>
  <si>
    <t>5.c</t>
  </si>
  <si>
    <t>5.d</t>
  </si>
  <si>
    <t>6.a</t>
  </si>
  <si>
    <t>Pekerjaan Galian Tanah sampai dengan 1 m</t>
  </si>
  <si>
    <t>6.b</t>
  </si>
  <si>
    <t>6.c</t>
  </si>
  <si>
    <t>6.d</t>
  </si>
  <si>
    <t>Pekerjaan Pembesian Besi Beton D 13 mm - 150</t>
  </si>
  <si>
    <t>6.e</t>
  </si>
  <si>
    <t>Pekerjaan Pembesian Besi Beton D 10 mm - 150</t>
  </si>
  <si>
    <t>6.f</t>
  </si>
  <si>
    <t>6.g</t>
  </si>
  <si>
    <t>Pekerjaan Pemadatan Beton dengan Vibrator</t>
  </si>
  <si>
    <t>7.a</t>
  </si>
  <si>
    <t>Pekerjaan Bekesting Dinding 5 kali pakai (2 sisi)</t>
  </si>
  <si>
    <t>7.b</t>
  </si>
  <si>
    <t>Pek. Pembesian Besi Beton D 13 mm - 200 (Vertikal)</t>
  </si>
  <si>
    <t>7.c</t>
  </si>
  <si>
    <t>Pek. Pembesian Besi Beton D 10 mm - 200 (Horisontal)</t>
  </si>
  <si>
    <t>7.d</t>
  </si>
  <si>
    <t>7.e</t>
  </si>
  <si>
    <t>Pekerjaan Tapak Beton 30x80x80 cm</t>
  </si>
  <si>
    <t>Pekerjaan Urugan Pasir t = 7 cm</t>
  </si>
  <si>
    <t>Pekerjaan Lantai Kerja t = 3 cm</t>
  </si>
  <si>
    <t>Pekerjaan Bekesting Pasangan Batako</t>
  </si>
  <si>
    <t>2.e</t>
  </si>
  <si>
    <t>Pekerjaan Pembesian Besi Beton D10 mm - 150</t>
  </si>
  <si>
    <t>2.f</t>
  </si>
  <si>
    <t>Pekerjaan beton semi mekanis setara fc = 20</t>
  </si>
  <si>
    <t>2.g</t>
  </si>
  <si>
    <t>Pekerjaan Pondasi Batu Belah</t>
  </si>
  <si>
    <t>Pekerjaan Galian Tanah keras s.d 1 m</t>
  </si>
  <si>
    <t>Pekerjaan Pancang Cerucuk Dolken</t>
  </si>
  <si>
    <t>Pekerjaan Urugan Pasir urug t = 7 cm</t>
  </si>
  <si>
    <t>Pekerjaan Pondasi Batu Belah 1 : 5</t>
  </si>
  <si>
    <t>Pekerjaan Angkur Sloof ke pondasi batu kali</t>
  </si>
  <si>
    <t>Pekerjaan Sloof Beton 25/30</t>
  </si>
  <si>
    <t>Pekerjaan Pembesian Besi Beton 5 D 10 mm</t>
  </si>
  <si>
    <t>Pekerjaan Pembesian Besi Beton Ø 8 mm - 100/150</t>
  </si>
  <si>
    <t>Pekerjaan Lantai</t>
  </si>
  <si>
    <t>Pekerjaan Urugan Tanah Urug</t>
  </si>
  <si>
    <t>Pekerjaan pemadatan tanah urug</t>
  </si>
  <si>
    <t>Pekerjaan Rabat Beton t = 7 cm</t>
  </si>
  <si>
    <t>Pekerjaan Kolom Beton Pedestal 25/25</t>
  </si>
  <si>
    <t>Pekerjaan Kayu Bekesting Kolom</t>
  </si>
  <si>
    <t>Pekerjaan Pembesian Besi Beton 8 D 10 mm</t>
  </si>
  <si>
    <t>Pekerjaan Pembesian Besi Beton Ø 8 mm - 150</t>
  </si>
  <si>
    <t>Pekerjaan Beton Semi Mekanis setara fc = 20</t>
  </si>
  <si>
    <t>Pekerjaan Kolom Beton 25/25</t>
  </si>
  <si>
    <t>8.a</t>
  </si>
  <si>
    <t>8.b</t>
  </si>
  <si>
    <t>8.c</t>
  </si>
  <si>
    <t>8.d</t>
  </si>
  <si>
    <t>Pekerjaan Balok Beton RB-1 20/35</t>
  </si>
  <si>
    <t>9.a</t>
  </si>
  <si>
    <t>Pekerjaan Kayu Bekesting Balok</t>
  </si>
  <si>
    <t>9.b</t>
  </si>
  <si>
    <t>9.c</t>
  </si>
  <si>
    <t>9.d</t>
  </si>
  <si>
    <t>Pekerjaan Balok Beton B-1 20/35</t>
  </si>
  <si>
    <t>Pekerjaan Balok Beton Praktis 15/15</t>
  </si>
  <si>
    <t>Pekerjaan Pembesian Besi Beton 4 D 10 mm</t>
  </si>
  <si>
    <t>11.c</t>
  </si>
  <si>
    <t>11.d</t>
  </si>
  <si>
    <t>Pekerjaan Kuda-Kuda Beton Atap</t>
  </si>
  <si>
    <t>12.1</t>
  </si>
  <si>
    <t>Balok Beton Utama 15/20</t>
  </si>
  <si>
    <t>12.1.a</t>
  </si>
  <si>
    <t>12.1.b</t>
  </si>
  <si>
    <t>Pekerjaan Pembesian Besi Beton 4 D 10</t>
  </si>
  <si>
    <t>12.1.c</t>
  </si>
  <si>
    <t>Pekerjaan Pembesian Besi Beton Ø 8 - 100/150</t>
  </si>
  <si>
    <t>12.1.d</t>
  </si>
  <si>
    <t>Pekerjaan Beton Site Mix setara fc = 20</t>
  </si>
  <si>
    <t>12.2</t>
  </si>
  <si>
    <t>Kolom Beton 15/20</t>
  </si>
  <si>
    <t>12.2.a</t>
  </si>
  <si>
    <t>12.2.b</t>
  </si>
  <si>
    <t>12.2.c</t>
  </si>
  <si>
    <t>12.2.d</t>
  </si>
  <si>
    <t>Pekerjaan Pasangan Dinding Bata Merah 1 : 5</t>
  </si>
  <si>
    <t>Pekerjaan Acian Beton</t>
  </si>
  <si>
    <t>Pekerjaan Dinding Sopi-Sopi GRC</t>
  </si>
  <si>
    <t>Pekerjaan Trap Entrance</t>
  </si>
  <si>
    <t>Pekerjaan Galian Tanah</t>
  </si>
  <si>
    <t>Pekerjaan Pondasi Rolaag Bata</t>
  </si>
  <si>
    <t>Pekerjaan Urugan Tanah</t>
  </si>
  <si>
    <t>Pekerjaan Urugan Pasir t = 3 cm</t>
  </si>
  <si>
    <t>Pekerjaan Plesteran Dinding Samping Trap</t>
  </si>
  <si>
    <t>Pekerjaan Rangka Atap Baja Ringan</t>
  </si>
  <si>
    <t>Pekerjaan Pemasangan Atap Pelana Rangka Atap Baja Ringan (Canai Dingin) profil C75 (AZ 100)</t>
  </si>
  <si>
    <t>Pekerjaan Pemasangan Reng Baja Ringan R32 t = 0,45 mm (AZ 100)</t>
  </si>
  <si>
    <t>Pekerjaan Pemasangan Atap Spandek Berpasir t = 0,45</t>
  </si>
  <si>
    <t>Pekerjaan Pemasangan Nok Spandek Berpasir</t>
  </si>
  <si>
    <t>Pekerjaan Plafond GRC t = 6 mm,termasuk rangka besi hollow Galvalum 40/40 modul 60x60 cm</t>
  </si>
  <si>
    <t>Pekerjaan Dinding GRC Motif Lokal Finishing Cat termasuk dudukan besi hollow Galvanis 40/40</t>
  </si>
  <si>
    <t>Pekerjaan Cat Dinding Luar (sealer+extreme Jotun)</t>
  </si>
  <si>
    <t>Pekerjaan Pengecatan Plafond</t>
  </si>
  <si>
    <t>Pekerjaan Listplank GRC L = 30 cm, t = 8 mm</t>
  </si>
  <si>
    <t>Pengecatan Listplank GRC (Wheatershield)</t>
  </si>
  <si>
    <t>Pek. Logo KKP plate galvanis Finish Cat Duco dia.40 cm</t>
  </si>
  <si>
    <t>Pekerjaan Huruf Timbul plate galvanis finish cat duco, SHELTER PENDARATAN IKAN uk. 20x25 cm</t>
  </si>
  <si>
    <t>Pekerjaan Instalasi Penerangan NYM 2 x 1 ½ mm²</t>
  </si>
  <si>
    <t>Instalasi Stop Kontak, kabel NYM 2 x 2 ½ mm²</t>
  </si>
  <si>
    <t>Pasang Saklar Dobel</t>
  </si>
  <si>
    <t>Pasang Stop Kontak</t>
  </si>
  <si>
    <t>Pekerjaan Pasang Lampu Downlight 5 Inch LED 9 Watt</t>
  </si>
  <si>
    <t>Pekerjaan Box Panel Listrik (MCB) 4 Group</t>
  </si>
  <si>
    <t>Pekerjaan Pondasi Batu Belah (Bangunan)</t>
  </si>
  <si>
    <t>Pekerjaan Galian Tanah Biasa sedalam 1-2 m</t>
  </si>
  <si>
    <t>Pekerjaan Aanstamping/ Batu Kosong</t>
  </si>
  <si>
    <t>Pekerjaan Urugan Tanah Kembali</t>
  </si>
  <si>
    <t>Pekerjaan Pemadatan Tanah Urug</t>
  </si>
  <si>
    <t>2.h</t>
  </si>
  <si>
    <t>Pekerjaan Pondasi Batu Belah (Teras)</t>
  </si>
  <si>
    <t>Pekerjaan Galian Tanah Biasa sedalam 1 m</t>
  </si>
  <si>
    <t>Pekerjaan Sloof Beton 30/30</t>
  </si>
  <si>
    <t>Pekerjaan Pembesian Besi Beton Tulangan Utama</t>
  </si>
  <si>
    <t>Pekerjaan Pembesian Besi Beton Sengkang</t>
  </si>
  <si>
    <t>5.e</t>
  </si>
  <si>
    <t>Pekerjaan Sloof Beton 15/20</t>
  </si>
  <si>
    <t>Pekerjaan Lantai Beton t = 15 cm</t>
  </si>
  <si>
    <t>Pekerjaan Urugan Pasir</t>
  </si>
  <si>
    <t>Pekerjaan Lantai Kerja</t>
  </si>
  <si>
    <t>7.f</t>
  </si>
  <si>
    <t>Pekerjaan Pembesian Plat Lantai Besi Beton D10 - 150</t>
  </si>
  <si>
    <t>7.g</t>
  </si>
  <si>
    <t>8.e</t>
  </si>
  <si>
    <t>8.f</t>
  </si>
  <si>
    <t>8.g</t>
  </si>
  <si>
    <t>Pekerjaan Tanggul Keliling t = 10 cm</t>
  </si>
  <si>
    <t>Pekerjaan Roolag Bata</t>
  </si>
  <si>
    <t>Pekerjaan Screeding Lantai Beton</t>
  </si>
  <si>
    <t>Pekerjaan Galian Tanah keras sedalam 1 m</t>
  </si>
  <si>
    <t>4.e</t>
  </si>
  <si>
    <t>5.f</t>
  </si>
  <si>
    <t>Pekerjaan Pembesian Besi Lantai</t>
  </si>
  <si>
    <t>5.g</t>
  </si>
  <si>
    <t>Pekerjaan Galian Tanah Sedalam 1 s/d 2 m</t>
  </si>
  <si>
    <t>Pekerjaan Lantai Kerja t = 5 cm</t>
  </si>
  <si>
    <t>Pekerjaan Balok Beton 15/20</t>
  </si>
  <si>
    <t>Pekerjaan Pembesian Besi Beton Ø 6 mm - 150</t>
  </si>
  <si>
    <t>Pekerjaan Beton Semi Mekanis setara fc = 25</t>
  </si>
  <si>
    <t>Pekerjaan Balok Beton 15/15</t>
  </si>
  <si>
    <t>Pekerjaan Dinding Beton t = 15 cm</t>
  </si>
  <si>
    <t>Pekerjaan Bekesting Dinding</t>
  </si>
  <si>
    <t>Pekerjaan Pembesian Besi Beton D10 - 150</t>
  </si>
  <si>
    <t>Pekerjaan Dak Beton Beton t = 15 cm</t>
  </si>
  <si>
    <t>Pekerjaan Bekesting Lantai</t>
  </si>
  <si>
    <t>Pekerjaan Manhole Cover Beton t = 10 cm</t>
  </si>
  <si>
    <t>Pekerjaan Pembesian Besi Beton Ø 8 mm (kupingan)</t>
  </si>
  <si>
    <t>Pekerjaan Waterproofing Coating ex.No Drop anti Panas</t>
  </si>
  <si>
    <t>Pekerjaan PVC Waterstop lebar 200 mm</t>
  </si>
  <si>
    <t>Pekerjaan Pompa Dorong Marine Grade</t>
  </si>
  <si>
    <t>Pekerjaan Pemasangan Pipa HDPE Ø 2 Inch</t>
  </si>
  <si>
    <t>Pekerjaan Pondasi Pas. Batu Belah</t>
  </si>
  <si>
    <t>Pekerjaan Bekesting Kolom</t>
  </si>
  <si>
    <t>Pekerjaan Kolom Beton Praktis 15/15</t>
  </si>
  <si>
    <t>Pekerjaan Bekesting Balok</t>
  </si>
  <si>
    <t>Pekerjaan Galian Tanah (Roolag Teras)</t>
  </si>
  <si>
    <t>Pekerjaan Pondasi Rolaag Bata (Teras)</t>
  </si>
  <si>
    <t>13.c</t>
  </si>
  <si>
    <t>13.d</t>
  </si>
  <si>
    <t>13.e</t>
  </si>
  <si>
    <t>13.f</t>
  </si>
  <si>
    <t>Pekerjaan Lantai Kerja = 5 cm</t>
  </si>
  <si>
    <t>Pekerjaan Pasangan Dinding Bata Merah</t>
  </si>
  <si>
    <t>Pekerjaan Skonengan (Opening Kusen)</t>
  </si>
  <si>
    <t>Pekerjaan Pintu Rooling Door Aluminium 200 x 250 m², t = 0,6 mm komplit terpasang</t>
  </si>
  <si>
    <t>Pekerjaan Kusen Pintu UPVC P-03, termasuk kusen, daun pintu, hadle (1 set), engsel, baut pasang/baut skrup dan kunci</t>
  </si>
  <si>
    <t>Pekerjaan Kusen Jendela BV (2 bh)</t>
  </si>
  <si>
    <t>Pekerjaan Kusen Aluminium 4 inch</t>
  </si>
  <si>
    <t>Pasang Kaca Es t = 5 mm</t>
  </si>
  <si>
    <t>9.e</t>
  </si>
  <si>
    <t>9.f</t>
  </si>
  <si>
    <t>Pas. Lantai Keramik 40x40 cm Polished</t>
  </si>
  <si>
    <t>Pas. Lantai Keramik 40x40 cm Matte</t>
  </si>
  <si>
    <t>Pas. Dinding Keramik 20x20 cm Polished</t>
  </si>
  <si>
    <t>12.c</t>
  </si>
  <si>
    <t>Pekerjaan Pemasangan Atap Spandek Berpasir</t>
  </si>
  <si>
    <t>12.d</t>
  </si>
  <si>
    <t>Pekerjaan Atap Kanopi 32,5 x 25,2 cm</t>
  </si>
  <si>
    <t>14.a</t>
  </si>
  <si>
    <t>Pekerjaan Pondasi Kolom Pedestal</t>
  </si>
  <si>
    <t/>
  </si>
  <si>
    <t>14.2</t>
  </si>
  <si>
    <t>~ Pekerjaan Galian Tanah</t>
  </si>
  <si>
    <t>14.3</t>
  </si>
  <si>
    <t>~ Pekerjaan Bekesting Kolom</t>
  </si>
  <si>
    <t>14.4</t>
  </si>
  <si>
    <t>~ Pekerjaan Beton Site Mix setara fc = 20</t>
  </si>
  <si>
    <t>14.5</t>
  </si>
  <si>
    <t>~ Pekerjaan Dynabolt Ø 10 mm</t>
  </si>
  <si>
    <t>14.b</t>
  </si>
  <si>
    <t>Pekerjaan Rangka Atap Kanopi Besi Hollow 40/60, modul 85/80, termasuk kolom kanopi</t>
  </si>
  <si>
    <t>14.c</t>
  </si>
  <si>
    <t>Pekerjaan Pemasangan Atap Spandek</t>
  </si>
  <si>
    <t>Pekerjaan Cat Dinding Luar</t>
  </si>
  <si>
    <t>16</t>
  </si>
  <si>
    <t>Pekerjaan Cat Plafond</t>
  </si>
  <si>
    <t>17</t>
  </si>
  <si>
    <t>18</t>
  </si>
  <si>
    <t>Pekerjaan Logo KKP plate galvanis Finish Cat Duco</t>
  </si>
  <si>
    <t>Pekerjaan Huruf Timbul plate galvanis finish cat duco, KIOS PERBEKALAN uk. 20x25 cm</t>
  </si>
  <si>
    <t>Pekerjaan Instalasi Air Bersih Pipa PVC Ø ½ Inch</t>
  </si>
  <si>
    <t>Pekerjaan Instalasi Air Bersih Pipa PVC Ø 1 Inch</t>
  </si>
  <si>
    <t>Pekerjaan Instalasi Air Buangan Pipa PVC Ø 3 Inch</t>
  </si>
  <si>
    <t>Pekerjaan Instalasi Air Buangan Pipa PVC Ø 4 Inch</t>
  </si>
  <si>
    <t>Pekerjaan Pemasangan Closet Duduk</t>
  </si>
  <si>
    <t>Pekerjaan Pemasangan Jet Washer</t>
  </si>
  <si>
    <t>Pekerjaan Pemasangan Kran Air</t>
  </si>
  <si>
    <t>Pekerjaan Pemasangan Floor Drain</t>
  </si>
  <si>
    <t>Pekerjaan Pompa Dorong</t>
  </si>
  <si>
    <t>Tiang Menara Toren Tangki Air 600 liter, T = 4 m</t>
  </si>
  <si>
    <t>Pengadaan Barang</t>
  </si>
  <si>
    <t>Pengiriman</t>
  </si>
  <si>
    <t>Pekerjaan Pondasi Tapak 30x60x60 cm</t>
  </si>
  <si>
    <t>10.4</t>
  </si>
  <si>
    <t>~ Galian Tanah</t>
  </si>
  <si>
    <t>10.5</t>
  </si>
  <si>
    <t>~ Pekerjaan Bekesting Pasangan Batako</t>
  </si>
  <si>
    <t>10.6</t>
  </si>
  <si>
    <t>~ Pembesian Besi D 13 - 150</t>
  </si>
  <si>
    <t>10.7</t>
  </si>
  <si>
    <t>~ Pekerjaan Beton Semi Mekanis setara fc = 20</t>
  </si>
  <si>
    <t>Pekerjaan Kolom Pedestal 25/25</t>
  </si>
  <si>
    <t>10.9</t>
  </si>
  <si>
    <t>~ Pekerjaan Kayu Bekesting Kolom</t>
  </si>
  <si>
    <t>10.10</t>
  </si>
  <si>
    <t>~ Pekerjaan Pembesian Besi Beton 8 D 13</t>
  </si>
  <si>
    <t>10.11</t>
  </si>
  <si>
    <t>~ Pekerjaan Pembesian Besi Beton Ø 8 - 100/150</t>
  </si>
  <si>
    <t>10.12</t>
  </si>
  <si>
    <t>10.13</t>
  </si>
  <si>
    <t>~ Pekerjaan Angkur D13</t>
  </si>
  <si>
    <t>Pekerjaan Pengadaan dan Pemasangan Tangki Toren Kap.600 liter ex.Penguin TD60</t>
  </si>
  <si>
    <t>Pekerjaan Septiktank Bio Tech 1 m³</t>
  </si>
  <si>
    <t>Pekerjaan Galian Tanah s/d 2 m</t>
  </si>
  <si>
    <t>Pekerjaan Pasir Urug t = 10 cm</t>
  </si>
  <si>
    <t>Pekerjaan Pengadaan Dan Setting Bio-Tech 1 m³</t>
  </si>
  <si>
    <t>Instalasi Penerangan, kabel NYY 2 x 1 ½ mm²</t>
  </si>
  <si>
    <t>Pasang Downlight Ø 5 Inch+ LED 9 watt</t>
  </si>
  <si>
    <t>Pekerjaan Saklar Ganda</t>
  </si>
  <si>
    <t>Pekerjaan Saklar Tunggal</t>
  </si>
  <si>
    <t>Pekerjaan Stop Kontak</t>
  </si>
  <si>
    <t>19</t>
  </si>
  <si>
    <t>Pasang Kipas Angin Plafond</t>
  </si>
  <si>
    <t>20</t>
  </si>
  <si>
    <t>Pekerjaan Pasir Urug t = 7 cm</t>
  </si>
  <si>
    <t>Pekerjaan Beton Site Mix 1:2:3 setara fc = 20</t>
  </si>
  <si>
    <t>Pekerjaan Lantai Rabat Keliling Bangunan</t>
  </si>
  <si>
    <t>Pekerjaan Lantai Rabat Beton t = 7 cm</t>
  </si>
  <si>
    <t>Pekerjaan Topi Jendela Beton t = 10 cm</t>
  </si>
  <si>
    <t>Pekerjaan Waterproofing Coating ex.Nodrop anti panas</t>
  </si>
  <si>
    <t>Pasangan Dinding Bata Merah</t>
  </si>
  <si>
    <t>Plesteran</t>
  </si>
  <si>
    <t>Acian Finish</t>
  </si>
  <si>
    <t>Pekerjaan Kusen</t>
  </si>
  <si>
    <t>4.1</t>
  </si>
  <si>
    <t>Pekerjaan Kusen Pintu P-01</t>
  </si>
  <si>
    <t>4.1.a</t>
  </si>
  <si>
    <t>4.1.b</t>
  </si>
  <si>
    <t>Pek. Daun Pintu Multiplex 2x18mm + Rangka Kayu, lapis HPL (Engineering Door)</t>
  </si>
  <si>
    <t>4.1.c</t>
  </si>
  <si>
    <t>Pasang Engsel Pintu 4 Inch</t>
  </si>
  <si>
    <t>4.1.d</t>
  </si>
  <si>
    <t>Pasang Door Closer</t>
  </si>
  <si>
    <t>4.1.e</t>
  </si>
  <si>
    <t>Pasang Handel + Kunci Swing</t>
  </si>
  <si>
    <t>4.2</t>
  </si>
  <si>
    <t>4.3</t>
  </si>
  <si>
    <t>Pekerjaan Kusen Jendela J-01</t>
  </si>
  <si>
    <t>4.3.a</t>
  </si>
  <si>
    <t>4.3.b</t>
  </si>
  <si>
    <t>Pekerjaan Daun Jendela Aluminium tanpa Kaca</t>
  </si>
  <si>
    <t>4.3.c</t>
  </si>
  <si>
    <t>Pasang Kaca Polos t = 5 mm</t>
  </si>
  <si>
    <t>4.3.d</t>
  </si>
  <si>
    <t>Pasang Engsel Jendela 3 Inch</t>
  </si>
  <si>
    <t>4.3.e</t>
  </si>
  <si>
    <t>Casement</t>
  </si>
  <si>
    <t>4.3.f</t>
  </si>
  <si>
    <t>Rambuncis</t>
  </si>
  <si>
    <t>4.4</t>
  </si>
  <si>
    <t>Pekerjaan Kusen Jendela J-02</t>
  </si>
  <si>
    <t>4.4.a</t>
  </si>
  <si>
    <t>4.4.b</t>
  </si>
  <si>
    <t>4.4.c</t>
  </si>
  <si>
    <t>4.4.d</t>
  </si>
  <si>
    <t>4.4.e</t>
  </si>
  <si>
    <t>4.4.f</t>
  </si>
  <si>
    <t>4.5</t>
  </si>
  <si>
    <t>Pekerjaan Kusen Jendela BV</t>
  </si>
  <si>
    <t>4.5.a</t>
  </si>
  <si>
    <t>4.5.b</t>
  </si>
  <si>
    <t>Pekerjaan Cat Dinding</t>
  </si>
  <si>
    <t>Cat Dinding (Interior)</t>
  </si>
  <si>
    <t>Cat Dinding (Exterior)</t>
  </si>
  <si>
    <t>Pekerjaan Cat Listplank GRC</t>
  </si>
  <si>
    <t>Pekerjaan Pemasangan Atap Jurai/Limasan Rangka Atap Baja Ringan (Canai Dingin) profil C75 (AZ 100)</t>
  </si>
  <si>
    <t>Pekerjaan Logo KKP plate galvanis Finish Cat Duco dia.40 cm</t>
  </si>
  <si>
    <t>Pekerjaan Huruf Timbul plate galvanis finish cat duco, KANTOR PENGELOLA uk. 20x25 cm</t>
  </si>
  <si>
    <t>21</t>
  </si>
  <si>
    <t>22</t>
  </si>
  <si>
    <t>23</t>
  </si>
  <si>
    <t>24</t>
  </si>
  <si>
    <t>25</t>
  </si>
  <si>
    <t>26</t>
  </si>
  <si>
    <t>26.a</t>
  </si>
  <si>
    <t>26.b</t>
  </si>
  <si>
    <t>26.c</t>
  </si>
  <si>
    <t>26.4</t>
  </si>
  <si>
    <t>26.5</t>
  </si>
  <si>
    <t>26.6</t>
  </si>
  <si>
    <t>26.7</t>
  </si>
  <si>
    <t>26.d</t>
  </si>
  <si>
    <t>26.9</t>
  </si>
  <si>
    <t>26.10</t>
  </si>
  <si>
    <t>26.11</t>
  </si>
  <si>
    <t>26.12</t>
  </si>
  <si>
    <t>26.13</t>
  </si>
  <si>
    <t>27</t>
  </si>
  <si>
    <t>Pekerjaan Septiktank Bio-Tech 1 m³</t>
  </si>
  <si>
    <t>27.a</t>
  </si>
  <si>
    <t>27.b</t>
  </si>
  <si>
    <t>27.c</t>
  </si>
  <si>
    <t>27.d</t>
  </si>
  <si>
    <t>28</t>
  </si>
  <si>
    <t>Pekerjaan Instalasi Penerangan, kabel NYY 2 x 1 ½ mm²</t>
  </si>
  <si>
    <t>29</t>
  </si>
  <si>
    <t>Pekerjaan Instalasi Stop Kontak, kabel NYY 2 x 2 ½ mm²</t>
  </si>
  <si>
    <t>30</t>
  </si>
  <si>
    <t>Pekerjaan Instalasi TV</t>
  </si>
  <si>
    <t>31</t>
  </si>
  <si>
    <t>32</t>
  </si>
  <si>
    <t>Pekerjaan Saklar Dobel</t>
  </si>
  <si>
    <t>33</t>
  </si>
  <si>
    <t>34</t>
  </si>
  <si>
    <t>Pekerjaan Stop Kontak AC</t>
  </si>
  <si>
    <t>35</t>
  </si>
  <si>
    <t>Pekerjaan Stop Kontak Antena</t>
  </si>
  <si>
    <t>36</t>
  </si>
  <si>
    <t>37</t>
  </si>
  <si>
    <t>Pekerjaan AC Split 3/4 PK - std</t>
  </si>
  <si>
    <t>38</t>
  </si>
  <si>
    <t>Pekerjaan Box Panel Listrik (MCB) 8 Group</t>
  </si>
  <si>
    <t>Pekerjaan Pile Cap 60x100x100 cm</t>
  </si>
  <si>
    <t>Pekerjaan Galian Tanah Keras s/d 1 m</t>
  </si>
  <si>
    <t>Pekerjaan Urugan Pasir Urug t = 5 cm</t>
  </si>
  <si>
    <t>Pekerjaan Pembesian Besi Beton D16 - 150</t>
  </si>
  <si>
    <t>Pekerjaan Pembesian Besi Beton Ties D13 - 400</t>
  </si>
  <si>
    <t>2.i</t>
  </si>
  <si>
    <t>Pekerjaan Pengecoran dengan Concrete Vibrator</t>
  </si>
  <si>
    <t>Pekerjaan Tie Beam TB-1 25/30</t>
  </si>
  <si>
    <t>Pekerjaan Pembesian Besi Beton 5 D 13</t>
  </si>
  <si>
    <t>Pekerjaan Pembesian Besi Beton Ø 8 - 100/200</t>
  </si>
  <si>
    <t>3.g</t>
  </si>
  <si>
    <t>3.h</t>
  </si>
  <si>
    <t>Pekerjaan Kolom Beton 30/30</t>
  </si>
  <si>
    <t>Pekerjaan Pembesian Besi Beton 12 D13</t>
  </si>
  <si>
    <t>Pekerjaan Pembesian Besi Beton Ties D 10 - 200</t>
  </si>
  <si>
    <t>Pekerjaan Pembesian Besi Beton D10 - 100/200</t>
  </si>
  <si>
    <t>4.f</t>
  </si>
  <si>
    <t>Pekerjaan Perancah/Scafolding</t>
  </si>
  <si>
    <t>Pekerjaan Balok Beton B-1 20/40</t>
  </si>
  <si>
    <t>Pekerjaan Pembesian Besi Beton 6 D 13</t>
  </si>
  <si>
    <t>Pekerjaan Balok Beton B-2 20/30</t>
  </si>
  <si>
    <t>Pekerjaan Pembesian Besi Beton 5 D 10</t>
  </si>
  <si>
    <t>Pekerjaan Balok Beton B-3 15/40</t>
  </si>
  <si>
    <t>Pekerjaan Pembesian Besi Beton 10 D 10</t>
  </si>
  <si>
    <t>Pekerjaan Kayu Bekesting Lantai</t>
  </si>
  <si>
    <t>Pekerjaan Pembesian Besi Wiremesh M8-150, 2 lapis</t>
  </si>
  <si>
    <t>Pekerjaan Tangki Fiber Reinforced Plastic (FRP) 18 m³</t>
  </si>
  <si>
    <t>Pekerjaan Pengiriman Bahan (On Site) dan Tenaga Perakitan</t>
  </si>
  <si>
    <t>Pekerjaan Pengadaan dan Setting Tangki Air FRP 18.000 liter (Inlet, Outlet, Drain, Vent, Overflow dan Vent Flanges Ø 2 Inch, Man Hole dia.50 cm, Bolt+Nuts M10x40 Galvanis, Base Frame UNP 80</t>
  </si>
  <si>
    <t>Pekerjaan Pembagian Pemipaan Distribusi</t>
  </si>
  <si>
    <t>Pekerjaan Tee Pipa Galvanis Ø 2 Inch</t>
  </si>
  <si>
    <t>Pekerjaan Flange Gate Valve Galvanis Ø 2 Inch</t>
  </si>
  <si>
    <t>Pekerjaan Sambungan Pipa, Sock Ø 2 Inch, Pipa Galvanis dan Pipa HDPE</t>
  </si>
  <si>
    <t>Pekerjaan Sambungan Pipa, Sock Ø 2 Inch, Pipa PVC dan Pipa HDPE</t>
  </si>
  <si>
    <t>Pekerjaan Distribusi Air Bersih Instalasi Pipa HDPE Ø 2 Inch</t>
  </si>
  <si>
    <t>Shelter Pendaratan Ikan - Pabrik Es - Gd. Beku</t>
  </si>
  <si>
    <t>Bangunan Kantor - Kios Perbekalan</t>
  </si>
  <si>
    <t>Pekerjaan Instalasi Air Bersih Shelter Pendaratan Ikan</t>
  </si>
  <si>
    <t>Pekerjaan Instalasi Air Bersih Pipa PVC AW Ø ½ Inch</t>
  </si>
  <si>
    <t>Pekerjaan Kran Air Ø ½ Inch</t>
  </si>
  <si>
    <t>Pekerjaan Instalasi Air Bersih Gudang Beku Portable</t>
  </si>
  <si>
    <t>Pekerjaan Instalasi Air Bersih Bangunan Pabrik Es</t>
  </si>
  <si>
    <t>Pekerjaan Instalasi Air Bersih Bangunan Kios Perbekalan</t>
  </si>
  <si>
    <t>Pekerjaan Instalasi Air Bersih Bangunan Kantor</t>
  </si>
  <si>
    <t>Pekerjaan Tangga Monyet (Maintanance), Pipa Galvanis Ø 2 Inch + Ø 1 ½ Inch, Finish Cat Dasar dan Penutup, T = 3 m</t>
  </si>
  <si>
    <t>Pekerjaan Geo-listrik</t>
  </si>
  <si>
    <t>Pekerjaan Penyelidikan Geolistrik</t>
  </si>
  <si>
    <t>Pekerjaan Pemasangan Pipa Casing dan Pipa Perfoated Screen</t>
  </si>
  <si>
    <t>Pengeboran Lubang Awal Ø 6 Inch termasuk mobilisasi alat dan Personil</t>
  </si>
  <si>
    <t>Pekerjaan setting Pipa Galvanis Ø 6 Inch, t = 3 mm</t>
  </si>
  <si>
    <t>Pekerjaan Pengelasan sambungan pipa</t>
  </si>
  <si>
    <t>Pipa Galvanis Perfoated Screen Ø 3 Inch, t = 2 mm</t>
  </si>
  <si>
    <t>Pengisian Gravel Pack</t>
  </si>
  <si>
    <t>Pekerjaan Semen Grouting Bag (atas dinding Sumur)</t>
  </si>
  <si>
    <t>Pekerjaan Rumah Pompa 80x150 cm</t>
  </si>
  <si>
    <t>5.3</t>
  </si>
  <si>
    <t>5.4</t>
  </si>
  <si>
    <t>~ Pekerjaan Pembesian Wiremseh M8-150</t>
  </si>
  <si>
    <t>5.5</t>
  </si>
  <si>
    <t>Pekerjaan Pasangan Bata Merah</t>
  </si>
  <si>
    <t>Pekerjaan Tutup Rumah Pompa, plat Bordes t = 2,3 mm rangka siku besi 50.50.5 mm + 40.40.4 mm, Fin. Cat</t>
  </si>
  <si>
    <t>Pekerjaan Pemasangan Pompa Air Submersible Deepwell Well SP 9-10 ex.Grundfos</t>
  </si>
  <si>
    <t>Pekerjaan Pemasangan Panel Kontrol Pompa 3 Phase</t>
  </si>
  <si>
    <t>Pekerjaan tarik Kabel Pompa NYYHY 3 x 1 ½ mm²</t>
  </si>
  <si>
    <t>Pekerjaan tarik Kabel Elektroda NYYHY 3 x 2 ½ mm²</t>
  </si>
  <si>
    <t>Pekerjaan Pemasangan Elektroda - Water Level Switch Control (Vertical Float Level Switch VSM)</t>
  </si>
  <si>
    <t>Pekerjaan Pipa Isap/Hantar - PVC AW = 2 Inch SNI</t>
  </si>
  <si>
    <t>Pekerjaan Tapak Beton 30x100x100 cm</t>
  </si>
  <si>
    <t>1.d</t>
  </si>
  <si>
    <t>Pekerjaan Bekesting pasangan Batako</t>
  </si>
  <si>
    <t>1.e</t>
  </si>
  <si>
    <t>Pekerjaan Pembesian Besi Beton D 10 - 150</t>
  </si>
  <si>
    <t>1.f</t>
  </si>
  <si>
    <t>Pekerjaan Kolom Pedestal 50/50</t>
  </si>
  <si>
    <t>Pekerjaan Pembesian Besi Beton 8 D 10</t>
  </si>
  <si>
    <t>Pekerjaan Pembesian Besi Beton Ø 8 - 150</t>
  </si>
  <si>
    <t>Pekerjaan Pengadaan dan Pemasangan Tiang PJU 7 meter (Oktagonal Dobel Arm Hot Deep Galvanis) serta Lampu LED 40 Watt</t>
  </si>
  <si>
    <t>Pekerjaan Pengadaan dan Pemasangan Tiang PJU 7 meter (Oktagonal Single Arm Hot Deep Galvanis) serta Lampu LED 40 Watt</t>
  </si>
  <si>
    <t>Pekerjaan Pengiriman Tiang Lampu</t>
  </si>
  <si>
    <t>Pekerjaan Pengadaan dan Pemasangan Panel Distribusi</t>
  </si>
  <si>
    <t>Pekerjaan Pengadaan dan Pemasangan Panel Kontroler</t>
  </si>
  <si>
    <t>Pekerjaan Instalasi Penerangan Jalan, kabel NYY 4 x 2 ½ mm²</t>
  </si>
  <si>
    <t>Pekerjaan Tarik Kabel NYY 2 x 4 (Supreme)</t>
  </si>
  <si>
    <t>m'</t>
  </si>
  <si>
    <t>Pekerjaan Tarik Kabel Distribusi NYY 4 x 6 (Supreme)</t>
  </si>
  <si>
    <t>Pekerjaan Sparing Pipa PVC Listrik 3/4 D</t>
  </si>
  <si>
    <t>Pekerjaan Galian Tanah (tanam kabel)</t>
  </si>
  <si>
    <t>Pekerjaan Pemasangan MCB 2 Ampere</t>
  </si>
  <si>
    <t>Pekerjaan Grounding</t>
  </si>
  <si>
    <t>Pekerjaan Pemasangan 5/8" Rod Coupling</t>
  </si>
  <si>
    <t>Pekerjaan urugan pasir t = 7 cm</t>
  </si>
  <si>
    <t>Pekerjaan Pasangan Batu Kali/Belah</t>
  </si>
  <si>
    <t>Pekerjaan Sloof Beton 15/20 (Ramp)</t>
  </si>
  <si>
    <t>Pekerjaan Pile Cap 60x100x300 (dudukan Genset)</t>
  </si>
  <si>
    <t>Pekerjaan Pembesian Besi Beton D 8 - 150</t>
  </si>
  <si>
    <t>Pekerjaan Balok Beton B-2 15/20</t>
  </si>
  <si>
    <t>13.1</t>
  </si>
  <si>
    <t>13.1.a</t>
  </si>
  <si>
    <t>13.1.b</t>
  </si>
  <si>
    <t>13.1.c</t>
  </si>
  <si>
    <t>13.1.d</t>
  </si>
  <si>
    <t>13.2</t>
  </si>
  <si>
    <t>13.2.a</t>
  </si>
  <si>
    <t>13.2.b</t>
  </si>
  <si>
    <t>13.2.c</t>
  </si>
  <si>
    <t>13.2.d</t>
  </si>
  <si>
    <t>14.d</t>
  </si>
  <si>
    <t>14.e</t>
  </si>
  <si>
    <t>15.a</t>
  </si>
  <si>
    <t>15.b</t>
  </si>
  <si>
    <t>15.c</t>
  </si>
  <si>
    <t>15.d</t>
  </si>
  <si>
    <t>15.e</t>
  </si>
  <si>
    <t>Pekerjaan Pembesian Wiremesh M8-150 (2 lapis)</t>
  </si>
  <si>
    <t>15.f</t>
  </si>
  <si>
    <t>Pekerjaan Ramp</t>
  </si>
  <si>
    <t>16.a</t>
  </si>
  <si>
    <t>16.b</t>
  </si>
  <si>
    <t>16.c</t>
  </si>
  <si>
    <t>16.d</t>
  </si>
  <si>
    <t>16.e</t>
  </si>
  <si>
    <t>Pekerjaan Dinding Bata Ramp</t>
  </si>
  <si>
    <t>16.f</t>
  </si>
  <si>
    <t>Pekerjaan Pembesian Wiremesh M8-150 (1 lapis)</t>
  </si>
  <si>
    <t>16.g</t>
  </si>
  <si>
    <t>16.h</t>
  </si>
  <si>
    <t>16.i</t>
  </si>
  <si>
    <t>Pekerjaan Pengecatan Listplank</t>
  </si>
  <si>
    <t>Pekerjaan Pintu Dobel Besi 214x217 cm</t>
  </si>
  <si>
    <t>Pekerjaan Jendela Jalusi Aluminium</t>
  </si>
  <si>
    <t>Pekerjaan Pengecatan Dinding Tekstur</t>
  </si>
  <si>
    <t>Pekerjaan Huruf Timbul plate galvanis finish cat duco, RUMAH GENSET uk. 20x25 cm</t>
  </si>
  <si>
    <t>Pekerjaan Instalasi Stop Kontak NYM 2 x 2 ½ mm²</t>
  </si>
  <si>
    <t>Pekerjaan Saklar Double</t>
  </si>
  <si>
    <t>Pekerjaan Panel Box 3 Phase 380V, 50 Hz</t>
  </si>
  <si>
    <t>Pekerjaan Pengukuran Saluran</t>
  </si>
  <si>
    <t>Pekerjaan Galian Tanah Saluran sampai dengan 1 m</t>
  </si>
  <si>
    <t>Pek. Pemadatan Tanah Galian Saluran dengan Stamper</t>
  </si>
  <si>
    <t>Pekerjaan Saluran Batu Belah 50/40</t>
  </si>
  <si>
    <t>Pekerjaan Rabat Beton Lantai Saluran Kawasan t = 5 cm</t>
  </si>
  <si>
    <t>Pekerjaan Instalasi Drainase Pipa PVC Ø 4 Inch</t>
  </si>
  <si>
    <t>Pekerjaan Plesteran Dinding Saluran</t>
  </si>
  <si>
    <t>Pekerjaan Acian Finish</t>
  </si>
  <si>
    <t>Pekerjaan Beton Dekkeur t = 15 cm</t>
  </si>
  <si>
    <t>Pekerjaan Bak Kontrol 80x80x90 cm (5 unit)</t>
  </si>
  <si>
    <t>11.e</t>
  </si>
  <si>
    <t>Pekerjaan Tutup Bak Kontrol (Steel Gratting) 120x120 cm</t>
  </si>
  <si>
    <t>Pekerjaan Saluran Pasangan Bata Merah (keliling bangunan)</t>
  </si>
  <si>
    <t>12.e</t>
  </si>
  <si>
    <t>12.f</t>
  </si>
  <si>
    <t>Pekerjaan Rabat Beton Lantai Saluran Bangunan t = 5 cm</t>
  </si>
  <si>
    <t>Pekerjaan Pengukuran dan Pematokan Jalan</t>
  </si>
  <si>
    <t>Pekerjaan Pemadatan Tanah Existing</t>
  </si>
  <si>
    <t>Pekerjaan Urugan Makadam t = 20 cm dipadatkan</t>
  </si>
  <si>
    <t>Pekerjaan Jalan Beton t = 15 cm</t>
  </si>
  <si>
    <t>Pekerjaan Pembesian Wiremesh M8-150</t>
  </si>
  <si>
    <t>Pekerjaan Joint sealer aspal</t>
  </si>
  <si>
    <t>Pekerjaan Pemasangan Plastik Cor</t>
  </si>
  <si>
    <t>Pekerjaan Dudukan Dowel</t>
  </si>
  <si>
    <t>7.6</t>
  </si>
  <si>
    <t>~ Pekerjaan Tul. Pokok Besi Beton 4 D 8 mm</t>
  </si>
  <si>
    <t>7.7</t>
  </si>
  <si>
    <t>~ Pekerjaan Dowel Besi Beton D 8 mm - 300</t>
  </si>
  <si>
    <t>Pekerjaan Dowel Besi Beton D 13 mm - 300</t>
  </si>
  <si>
    <t>Pekerjaan Pipa PVC AW Ø 3/4"</t>
  </si>
  <si>
    <t>Pekerjaan Beton Site Mix mutu f'c = 20 Mpa dengan Concrete Mixer Pump</t>
  </si>
  <si>
    <t>Pekerjaan Galian Tanah Kanstin</t>
  </si>
  <si>
    <t>Pekerjaan Kanstin 15x25x40 cm</t>
  </si>
  <si>
    <t>Pekerjaan Urugan Tanah mendatangkan t = 12 cm</t>
  </si>
  <si>
    <t>Pekerjaan Pemadatan Urugan Pasir</t>
  </si>
  <si>
    <t>Pekerjaan Paving Blok t = 6 cm</t>
  </si>
  <si>
    <t>btg</t>
  </si>
  <si>
    <t>Pekerjaan Galian Tanah sedalam 1 m</t>
  </si>
  <si>
    <t>15.1</t>
  </si>
  <si>
    <t>Pekerjaan Balok 15/20</t>
  </si>
  <si>
    <t>15.1.a</t>
  </si>
  <si>
    <t>15.1.b</t>
  </si>
  <si>
    <t>15.1.c</t>
  </si>
  <si>
    <t>15.1.d</t>
  </si>
  <si>
    <t>15.2</t>
  </si>
  <si>
    <t>Pekerjaan Kolom 15/20</t>
  </si>
  <si>
    <t>15.2.a</t>
  </si>
  <si>
    <t>15.2.b</t>
  </si>
  <si>
    <t>15.2.c</t>
  </si>
  <si>
    <t>15.2.d</t>
  </si>
  <si>
    <t>Pekerjaan Urugan Makadam t = 25 cm</t>
  </si>
  <si>
    <t>Pekerjaan Pemadatan Makam dengan stamper</t>
  </si>
  <si>
    <t>Pekerjaan Urugan Sirtu t = 15 cm dipadatkan dengan Tamper</t>
  </si>
  <si>
    <t>Pekerjaan Dinding Roster 20x20 cm</t>
  </si>
  <si>
    <t>Pekerjaan Floor Hardener</t>
  </si>
  <si>
    <t>Pekerjaan Pemasangan Dynabolt M8 x 100 mm SS 304</t>
  </si>
  <si>
    <t>buah</t>
  </si>
  <si>
    <t>Pekerjaan Plafond GRC t = 6 mm,termasuk rangka besi hollow 40/40 modul 60x60 cm</t>
  </si>
  <si>
    <t>Pengecatan Listplank GRC</t>
  </si>
  <si>
    <t>Pekerjaan Huruf Timbul plate galvanis finish cat duco, DOCKING KAPAL uk. 20x25 cm</t>
  </si>
  <si>
    <t>Pekerjaan Pembesian Besi Beton D13 - 150 melintang</t>
  </si>
  <si>
    <t>Pekerjaan Pembesian Besi Beton D10 - 150 memanjang</t>
  </si>
  <si>
    <t>JUMLAH (pra-PPN)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</si>
</sst>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7" x14ac:knownFonts="1">
    <font>
      <color theme="1"/>
      <family val="2"/>
      <scheme val="minor"/>
      <sz val="11"/>
      <name val="Calibri"/>
    </font>
    <font>
      <b/>
      <sz val="13"/>
    </font>
    <font>
      <sz val="10"/>
    </font>
    <font>
      <color rgb="FF666666"/>
      <sz val="10"/>
    </font>
    <font>
      <b/>
      <sz val="10"/>
    </font>
    <font>
      <b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5" fillId="0" borderId="1" xfId="0" applyFont="1" applyBorder="1"/>
    <xf numFmtId="3" fontId="5" fillId="0" borderId="1" xfId="0" applyNumberFormat="1" applyFont="1" applyBorder="1"/>
    <xf numFmtId="0" fontId="5" fillId="0" borderId="0" xfId="0" applyFont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0" fillId="0" borderId="1" xfId="0" applyBorder="1" applyAlignment="1">
      <alignment wrapText="1" indent="1"/>
    </xf>
    <xf numFmtId="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 indent="1"/>
    </xf>
    <xf numFmtId="164" fontId="0" fillId="0" borderId="1" xfId="0" applyNumberFormat="1" applyBorder="1"/>
    <xf numFmtId="0" fontId="6" fillId="0" borderId="0" xfId="0" applyFont="1"/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top" wrapText="1" indent="1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vertical="top" wrapText="1" indent="2"/>
    </xf>
    <xf numFmtId="0" fontId="0" fillId="0" borderId="1" xfId="0" applyBorder="1" applyAlignment="1">
      <alignment vertical="top" wrapText="1" indent="3"/>
    </xf>
    <xf numFmtId="0" fontId="0" fillId="0" borderId="1" xfId="0" applyBorder="1" applyAlignment="1">
      <alignment vertical="top" wrapText="1" indent="2"/>
    </xf>
    <xf numFmtId="0" fontId="6" fillId="0" borderId="1" xfId="0" applyFont="1" applyBorder="1" applyAlignment="1">
      <alignment vertical="top" wrapText="1" indent="3"/>
    </xf>
    <xf numFmtId="0" fontId="0" fillId="0" borderId="1" xfId="0" applyBorder="1" applyAlignment="1">
      <alignment vertical="top" wrapText="1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56" customWidth="1"/>
    <col min="3" max="3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5" spans="1:3" x14ac:dyDescent="0.25">
      <c r="A5" s="4" t="s">
        <v>3</v>
      </c>
      <c r="B5" s="4" t="s">
        <v>4</v>
      </c>
      <c r="C5" s="4" t="s">
        <v>5</v>
      </c>
    </row>
    <row r="6" spans="1:3" x14ac:dyDescent="0.25">
      <c r="A6" s="5" t="s">
        <v>6</v>
      </c>
      <c r="B6" s="6" t="s">
        <v>7</v>
      </c>
      <c r="C6" s="7">
        <f>'Sub Resume'!C22</f>
        <v>460697021</v>
      </c>
    </row>
    <row r="7" spans="1:3" x14ac:dyDescent="0.25">
      <c r="A7" s="5" t="s">
        <v>8</v>
      </c>
      <c r="B7" s="6" t="s">
        <v>9</v>
      </c>
      <c r="C7" s="7">
        <f>'Sub Resume'!C32</f>
        <v>307935896</v>
      </c>
    </row>
    <row r="8" spans="1:3" x14ac:dyDescent="0.25">
      <c r="A8" s="5" t="s">
        <v>10</v>
      </c>
      <c r="B8" s="6" t="s">
        <v>11</v>
      </c>
      <c r="C8" s="7">
        <f>'Sub Resume'!C38</f>
        <v>229436307</v>
      </c>
    </row>
    <row r="9" spans="1:3" x14ac:dyDescent="0.25">
      <c r="A9" s="5" t="s">
        <v>12</v>
      </c>
      <c r="B9" s="6" t="s">
        <v>13</v>
      </c>
      <c r="C9" s="7">
        <f>'Sub Resume'!C42</f>
        <v>221281232</v>
      </c>
    </row>
    <row r="10" spans="1:3" x14ac:dyDescent="0.25">
      <c r="A10" s="5" t="s">
        <v>14</v>
      </c>
      <c r="B10" s="6" t="s">
        <v>15</v>
      </c>
      <c r="C10" s="7">
        <f>'Sub Resume'!C47</f>
        <v>156432356</v>
      </c>
    </row>
    <row r="11" spans="1:3" x14ac:dyDescent="0.25">
      <c r="A11" s="5" t="s">
        <v>16</v>
      </c>
      <c r="B11" s="6" t="s">
        <v>17</v>
      </c>
      <c r="C11" s="7">
        <f>'Sub Resume'!C57</f>
        <v>263859953</v>
      </c>
    </row>
    <row r="12" spans="1:3" x14ac:dyDescent="0.25">
      <c r="A12" s="5" t="s">
        <v>18</v>
      </c>
      <c r="B12" s="6" t="s">
        <v>19</v>
      </c>
      <c r="C12" s="7">
        <f>'Sub Resume'!C63</f>
        <v>138972135</v>
      </c>
    </row>
    <row r="13" spans="1:3" x14ac:dyDescent="0.25">
      <c r="A13" s="5" t="s">
        <v>20</v>
      </c>
      <c r="B13" s="6" t="s">
        <v>21</v>
      </c>
      <c r="C13" s="7">
        <f>'Sub Resume'!C68</f>
        <v>302274828</v>
      </c>
    </row>
    <row r="14" spans="1:3" x14ac:dyDescent="0.25">
      <c r="A14" s="5" t="s">
        <v>22</v>
      </c>
      <c r="B14" s="6" t="s">
        <v>23</v>
      </c>
      <c r="C14" s="7">
        <f>'Sub Resume'!C76</f>
        <v>454593106</v>
      </c>
    </row>
    <row r="15" spans="1:3" x14ac:dyDescent="0.25">
      <c r="A15" s="5" t="s">
        <v>24</v>
      </c>
      <c r="B15" s="6" t="s">
        <v>25</v>
      </c>
      <c r="C15" s="7">
        <f>'Sub Resume'!C81</f>
        <v>312598200</v>
      </c>
    </row>
    <row r="16" spans="1:3" x14ac:dyDescent="0.25">
      <c r="A16" s="5" t="s">
        <v>26</v>
      </c>
      <c r="B16" s="6" t="s">
        <v>27</v>
      </c>
      <c r="C16" s="7">
        <f>'Sub Resume'!C86</f>
        <v>187049986</v>
      </c>
    </row>
    <row r="17" spans="1:3" x14ac:dyDescent="0.25">
      <c r="A17" s="5" t="s">
        <v>28</v>
      </c>
      <c r="B17" s="6" t="s">
        <v>29</v>
      </c>
      <c r="C17" s="7">
        <f>'Sub Resume'!C92</f>
        <v>207900525</v>
      </c>
    </row>
    <row r="18" spans="1:3" x14ac:dyDescent="0.25">
      <c r="A18" s="5" t="s">
        <v>30</v>
      </c>
      <c r="B18" s="6" t="s">
        <v>31</v>
      </c>
      <c r="C18" s="7">
        <f>'Sub Resume'!C100</f>
        <v>10495186</v>
      </c>
    </row>
    <row r="19" spans="1:3" x14ac:dyDescent="0.25">
      <c r="A19" s="5" t="s">
        <v>32</v>
      </c>
      <c r="B19" s="6" t="s">
        <v>33</v>
      </c>
      <c r="C19" s="7">
        <f>'Sub Resume'!C105</f>
        <v>115569525</v>
      </c>
    </row>
    <row r="20" spans="1:3" x14ac:dyDescent="0.25">
      <c r="A20" s="5" t="s">
        <v>34</v>
      </c>
      <c r="B20" s="6" t="s">
        <v>35</v>
      </c>
      <c r="C20" s="7">
        <f>'Sub Resume'!C111</f>
        <v>318286865</v>
      </c>
    </row>
    <row r="21" spans="1:3" x14ac:dyDescent="0.25">
      <c r="A21" s="5" t="s">
        <v>36</v>
      </c>
      <c r="B21" s="6" t="s">
        <v>37</v>
      </c>
      <c r="C21" s="7">
        <f>'Sub Resume'!C122</f>
        <v>35886105</v>
      </c>
    </row>
    <row r="22" spans="1:3" x14ac:dyDescent="0.25">
      <c r="A22" s="6"/>
      <c r="B22" s="8" t="s">
        <v>38</v>
      </c>
      <c r="C22" s="9">
        <f>C6+C7+C8+C9+C10+C11+C12+C13+C14+C15+C16+C17+C18+C19+C20+C21</f>
        <v>3723269226</v>
      </c>
    </row>
    <row r="23" spans="1:3" x14ac:dyDescent="0.25">
      <c r="A23" s="6"/>
      <c r="B23" s="8" t="s">
        <v>39</v>
      </c>
      <c r="C23" s="9">
        <f>ROUND(C22*11%,0)</f>
        <v>409559615</v>
      </c>
    </row>
    <row r="24" spans="1:3" x14ac:dyDescent="0.25">
      <c r="A24" s="6"/>
      <c r="B24" s="8" t="s">
        <v>40</v>
      </c>
      <c r="C24" s="9">
        <f>C22+C23</f>
        <v>4132828841</v>
      </c>
    </row>
    <row r="25" spans="1:3" x14ac:dyDescent="0.25">
      <c r="A25" s="6"/>
      <c r="B25" s="8" t="s">
        <v>41</v>
      </c>
      <c r="C25" s="9">
        <f>ROUNDDOWN(C24,-3)</f>
        <v>4132828000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6" customWidth="1"/>
    <col min="3" max="3" width="18" customWidth="1"/>
  </cols>
  <sheetData>
    <row r="1" spans="1:1" x14ac:dyDescent="0.25">
      <c r="A1" s="1" t="s">
        <v>42</v>
      </c>
    </row>
    <row r="2" spans="1:1" x14ac:dyDescent="0.25">
      <c r="A2" s="2" t="s">
        <v>1</v>
      </c>
    </row>
    <row r="3" spans="1:1" x14ac:dyDescent="0.25">
      <c r="A3" s="3" t="s">
        <v>2</v>
      </c>
    </row>
    <row r="5" spans="1:3" x14ac:dyDescent="0.25">
      <c r="A5" s="4" t="s">
        <v>43</v>
      </c>
      <c r="B5" s="4" t="s">
        <v>44</v>
      </c>
      <c r="C5" s="4" t="s">
        <v>5</v>
      </c>
    </row>
    <row r="6" spans="1:3" s="10" customFormat="1" x14ac:dyDescent="0.25">
      <c r="A6" s="11" t="s">
        <v>6</v>
      </c>
      <c r="B6" s="12" t="s">
        <v>7</v>
      </c>
      <c r="C6" s="12"/>
    </row>
    <row r="7" spans="1:3" x14ac:dyDescent="0.25">
      <c r="A7" s="5" t="s">
        <v>45</v>
      </c>
      <c r="B7" s="13" t="s">
        <v>46</v>
      </c>
      <c r="C7" s="7">
        <f>'Detail RAB'!F7</f>
        <v>63000000</v>
      </c>
    </row>
    <row r="8" spans="1:3" x14ac:dyDescent="0.25">
      <c r="A8" s="5" t="s">
        <v>47</v>
      </c>
      <c r="B8" s="13" t="s">
        <v>48</v>
      </c>
      <c r="C8" s="7">
        <f>'Detail RAB'!F8</f>
        <v>14100000</v>
      </c>
    </row>
    <row r="9" spans="1:3" x14ac:dyDescent="0.25">
      <c r="A9" s="5" t="s">
        <v>49</v>
      </c>
      <c r="B9" s="13" t="s">
        <v>50</v>
      </c>
      <c r="C9" s="7">
        <f>'Detail RAB'!F9</f>
        <v>1985634</v>
      </c>
    </row>
    <row r="10" spans="1:3" x14ac:dyDescent="0.25">
      <c r="A10" s="5" t="s">
        <v>51</v>
      </c>
      <c r="B10" s="13" t="s">
        <v>52</v>
      </c>
      <c r="C10" s="7">
        <f>'Detail RAB'!F10</f>
        <v>4980000</v>
      </c>
    </row>
    <row r="11" spans="1:3" x14ac:dyDescent="0.25">
      <c r="A11" s="5" t="s">
        <v>53</v>
      </c>
      <c r="B11" s="13" t="s">
        <v>54</v>
      </c>
      <c r="C11" s="7">
        <f>'Detail RAB'!F11</f>
        <v>55500000</v>
      </c>
    </row>
    <row r="12" spans="1:3" x14ac:dyDescent="0.25">
      <c r="A12" s="5" t="s">
        <v>55</v>
      </c>
      <c r="B12" s="13" t="s">
        <v>56</v>
      </c>
      <c r="C12" s="7">
        <f>'Detail RAB'!F12</f>
        <v>88974411</v>
      </c>
    </row>
    <row r="13" spans="1:3" x14ac:dyDescent="0.25">
      <c r="A13" s="5" t="s">
        <v>57</v>
      </c>
      <c r="B13" s="13" t="s">
        <v>58</v>
      </c>
      <c r="C13" s="7">
        <f>'Detail RAB'!F44</f>
        <v>9900200</v>
      </c>
    </row>
    <row r="14" spans="1:3" x14ac:dyDescent="0.25">
      <c r="A14" s="5" t="s">
        <v>59</v>
      </c>
      <c r="B14" s="13" t="s">
        <v>60</v>
      </c>
      <c r="C14" s="7">
        <f>'Detail RAB'!F45</f>
        <v>5034000</v>
      </c>
    </row>
    <row r="15" spans="1:3" x14ac:dyDescent="0.25">
      <c r="A15" s="5" t="s">
        <v>61</v>
      </c>
      <c r="B15" s="13" t="s">
        <v>62</v>
      </c>
      <c r="C15" s="7">
        <f>'Detail RAB'!F46</f>
        <v>33300000</v>
      </c>
    </row>
    <row r="16" spans="1:3" x14ac:dyDescent="0.25">
      <c r="A16" s="5" t="s">
        <v>63</v>
      </c>
      <c r="B16" s="13" t="s">
        <v>64</v>
      </c>
      <c r="C16" s="7">
        <f>'Detail RAB'!F47</f>
        <v>55378468</v>
      </c>
    </row>
    <row r="17" spans="1:3" x14ac:dyDescent="0.25">
      <c r="A17" s="5" t="s">
        <v>65</v>
      </c>
      <c r="B17" s="13" t="s">
        <v>66</v>
      </c>
      <c r="C17" s="7">
        <f>'Detail RAB'!F55</f>
        <v>48144573</v>
      </c>
    </row>
    <row r="18" spans="1:3" x14ac:dyDescent="0.25">
      <c r="A18" s="5" t="s">
        <v>67</v>
      </c>
      <c r="B18" s="13" t="s">
        <v>68</v>
      </c>
      <c r="C18" s="7">
        <f>'Detail RAB'!F58</f>
        <v>25060267</v>
      </c>
    </row>
    <row r="19" spans="1:3" x14ac:dyDescent="0.25">
      <c r="A19" s="5" t="s">
        <v>69</v>
      </c>
      <c r="B19" s="13" t="s">
        <v>70</v>
      </c>
      <c r="C19" s="7">
        <f>'Detail RAB'!F61</f>
        <v>16449468</v>
      </c>
    </row>
    <row r="20" spans="1:3" x14ac:dyDescent="0.25">
      <c r="A20" s="5" t="s">
        <v>71</v>
      </c>
      <c r="B20" s="13" t="s">
        <v>72</v>
      </c>
      <c r="C20" s="7">
        <f>'Detail RAB'!F64</f>
        <v>17890000</v>
      </c>
    </row>
    <row r="21" spans="1:3" x14ac:dyDescent="0.25">
      <c r="A21" s="5" t="s">
        <v>73</v>
      </c>
      <c r="B21" s="13" t="s">
        <v>74</v>
      </c>
      <c r="C21" s="7">
        <f>'Detail RAB'!F65</f>
        <v>21000000</v>
      </c>
    </row>
    <row r="22" spans="1:3" x14ac:dyDescent="0.25">
      <c r="A22" s="6"/>
      <c r="B22" s="8" t="s">
        <v>75</v>
      </c>
      <c r="C22" s="14">
        <f>C7+C8+C9+C10+C11+C12+C13+C14+C15+C16+C17+C18+C19+C20+C21</f>
        <v>460697021</v>
      </c>
    </row>
    <row r="24" spans="1:3" s="10" customFormat="1" x14ac:dyDescent="0.25">
      <c r="A24" s="11" t="s">
        <v>8</v>
      </c>
      <c r="B24" s="12" t="s">
        <v>9</v>
      </c>
      <c r="C24" s="12"/>
    </row>
    <row r="25" spans="1:3" x14ac:dyDescent="0.25">
      <c r="A25" s="5" t="s">
        <v>45</v>
      </c>
      <c r="B25" s="13" t="s">
        <v>76</v>
      </c>
      <c r="C25" s="7">
        <f>'Detail RAB'!F67</f>
        <v>114379316</v>
      </c>
    </row>
    <row r="26" spans="1:3" x14ac:dyDescent="0.25">
      <c r="A26" s="5" t="s">
        <v>47</v>
      </c>
      <c r="B26" s="13" t="s">
        <v>77</v>
      </c>
      <c r="C26" s="7">
        <f>'Detail RAB'!F71</f>
        <v>45800313</v>
      </c>
    </row>
    <row r="27" spans="1:3" x14ac:dyDescent="0.25">
      <c r="A27" s="5" t="s">
        <v>49</v>
      </c>
      <c r="B27" s="13" t="s">
        <v>78</v>
      </c>
      <c r="C27" s="7">
        <f>'Detail RAB'!F76</f>
        <v>3358058</v>
      </c>
    </row>
    <row r="28" spans="1:3" x14ac:dyDescent="0.25">
      <c r="A28" s="5" t="s">
        <v>51</v>
      </c>
      <c r="B28" s="13" t="s">
        <v>79</v>
      </c>
      <c r="C28" s="7">
        <f>'Detail RAB'!F83</f>
        <v>10255955</v>
      </c>
    </row>
    <row r="29" spans="1:3" x14ac:dyDescent="0.25">
      <c r="A29" s="5" t="s">
        <v>53</v>
      </c>
      <c r="B29" s="13" t="s">
        <v>80</v>
      </c>
      <c r="C29" s="7">
        <f>'Detail RAB'!F88</f>
        <v>9664197</v>
      </c>
    </row>
    <row r="30" spans="1:3" x14ac:dyDescent="0.25">
      <c r="A30" s="5" t="s">
        <v>55</v>
      </c>
      <c r="B30" s="13" t="s">
        <v>81</v>
      </c>
      <c r="C30" s="7">
        <f>'Detail RAB'!F93</f>
        <v>46003576</v>
      </c>
    </row>
    <row r="31" spans="1:3" x14ac:dyDescent="0.25">
      <c r="A31" s="5" t="s">
        <v>57</v>
      </c>
      <c r="B31" s="13" t="s">
        <v>82</v>
      </c>
      <c r="C31" s="7">
        <f>'Detail RAB'!F101</f>
        <v>78474481</v>
      </c>
    </row>
    <row r="32" spans="1:3" x14ac:dyDescent="0.25">
      <c r="A32" s="6"/>
      <c r="B32" s="8" t="s">
        <v>83</v>
      </c>
      <c r="C32" s="14">
        <f>C25+C26+C27+C28+C29+C30+C31</f>
        <v>307935896</v>
      </c>
    </row>
    <row r="34" spans="1:3" s="10" customFormat="1" x14ac:dyDescent="0.25">
      <c r="A34" s="11" t="s">
        <v>10</v>
      </c>
      <c r="B34" s="12" t="s">
        <v>11</v>
      </c>
      <c r="C34" s="12"/>
    </row>
    <row r="35" spans="1:3" x14ac:dyDescent="0.25">
      <c r="A35" s="5" t="s">
        <v>84</v>
      </c>
      <c r="B35" s="13" t="s">
        <v>85</v>
      </c>
      <c r="C35" s="7">
        <f>'Detail RAB'!F108</f>
        <v>87667627</v>
      </c>
    </row>
    <row r="36" spans="1:3" x14ac:dyDescent="0.25">
      <c r="A36" s="5" t="s">
        <v>86</v>
      </c>
      <c r="B36" s="13" t="s">
        <v>87</v>
      </c>
      <c r="C36" s="7">
        <f>'Detail RAB'!F171</f>
        <v>127415915</v>
      </c>
    </row>
    <row r="37" spans="1:3" x14ac:dyDescent="0.25">
      <c r="A37" s="5" t="s">
        <v>88</v>
      </c>
      <c r="B37" s="13" t="s">
        <v>89</v>
      </c>
      <c r="C37" s="7">
        <f>'Detail RAB'!F198</f>
        <v>14352765</v>
      </c>
    </row>
    <row r="38" spans="1:3" x14ac:dyDescent="0.25">
      <c r="A38" s="6"/>
      <c r="B38" s="8" t="s">
        <v>90</v>
      </c>
      <c r="C38" s="14">
        <f>C35+C36+C37</f>
        <v>229436307</v>
      </c>
    </row>
    <row r="40" spans="1:3" s="10" customFormat="1" x14ac:dyDescent="0.25">
      <c r="A40" s="11" t="s">
        <v>12</v>
      </c>
      <c r="B40" s="12" t="s">
        <v>13</v>
      </c>
      <c r="C40" s="12"/>
    </row>
    <row r="41" spans="1:3" x14ac:dyDescent="0.25">
      <c r="A41" s="5" t="s">
        <v>91</v>
      </c>
      <c r="B41" s="13" t="s">
        <v>92</v>
      </c>
      <c r="C41" s="7">
        <f>'Detail RAB'!F206</f>
        <v>221281232</v>
      </c>
    </row>
    <row r="42" spans="1:3" x14ac:dyDescent="0.25">
      <c r="A42" s="6"/>
      <c r="B42" s="8" t="s">
        <v>93</v>
      </c>
      <c r="C42" s="14">
        <f>C41</f>
        <v>221281232</v>
      </c>
    </row>
    <row r="44" spans="1:3" s="10" customFormat="1" x14ac:dyDescent="0.25">
      <c r="A44" s="11" t="s">
        <v>14</v>
      </c>
      <c r="B44" s="12" t="s">
        <v>15</v>
      </c>
      <c r="C44" s="12"/>
    </row>
    <row r="45" spans="1:3" x14ac:dyDescent="0.25">
      <c r="A45" s="5" t="s">
        <v>94</v>
      </c>
      <c r="B45" s="13" t="s">
        <v>92</v>
      </c>
      <c r="C45" s="7">
        <f>'Detail RAB'!F256</f>
        <v>115041813</v>
      </c>
    </row>
    <row r="46" spans="1:3" x14ac:dyDescent="0.25">
      <c r="A46" s="5" t="s">
        <v>95</v>
      </c>
      <c r="B46" s="13" t="s">
        <v>96</v>
      </c>
      <c r="C46" s="7">
        <f>'Detail RAB'!F294</f>
        <v>41390543</v>
      </c>
    </row>
    <row r="47" spans="1:3" x14ac:dyDescent="0.25">
      <c r="A47" s="6"/>
      <c r="B47" s="8" t="s">
        <v>97</v>
      </c>
      <c r="C47" s="14">
        <f>C45+C46</f>
        <v>156432356</v>
      </c>
    </row>
    <row r="49" spans="1:3" s="10" customFormat="1" x14ac:dyDescent="0.25">
      <c r="A49" s="11" t="s">
        <v>16</v>
      </c>
      <c r="B49" s="12" t="s">
        <v>17</v>
      </c>
      <c r="C49" s="12"/>
    </row>
    <row r="50" spans="1:3" x14ac:dyDescent="0.25">
      <c r="A50" s="5" t="s">
        <v>45</v>
      </c>
      <c r="B50" s="13" t="s">
        <v>98</v>
      </c>
      <c r="C50" s="7">
        <f>'Detail RAB'!F332</f>
        <v>50710813</v>
      </c>
    </row>
    <row r="51" spans="1:3" x14ac:dyDescent="0.25">
      <c r="A51" s="5" t="s">
        <v>47</v>
      </c>
      <c r="B51" s="13" t="s">
        <v>99</v>
      </c>
      <c r="C51" s="7">
        <f>'Detail RAB'!F333</f>
        <v>7472222</v>
      </c>
    </row>
    <row r="52" spans="1:3" x14ac:dyDescent="0.25">
      <c r="A52" s="5" t="s">
        <v>49</v>
      </c>
      <c r="B52" s="13" t="s">
        <v>100</v>
      </c>
      <c r="C52" s="7">
        <f>'Detail RAB'!F334</f>
        <v>13233884</v>
      </c>
    </row>
    <row r="53" spans="1:3" x14ac:dyDescent="0.25">
      <c r="A53" s="5" t="s">
        <v>51</v>
      </c>
      <c r="B53" s="13" t="s">
        <v>101</v>
      </c>
      <c r="C53" s="7">
        <f>'Detail RAB'!F335</f>
        <v>3736111</v>
      </c>
    </row>
    <row r="54" spans="1:3" x14ac:dyDescent="0.25">
      <c r="A54" s="5" t="s">
        <v>53</v>
      </c>
      <c r="B54" s="13" t="s">
        <v>102</v>
      </c>
      <c r="C54" s="7">
        <f>'Detail RAB'!F336</f>
        <v>12006923</v>
      </c>
    </row>
    <row r="55" spans="1:3" x14ac:dyDescent="0.25">
      <c r="A55" s="5" t="s">
        <v>55</v>
      </c>
      <c r="B55" s="13" t="s">
        <v>103</v>
      </c>
      <c r="C55" s="7">
        <f>'Detail RAB'!F337</f>
        <v>139000000</v>
      </c>
    </row>
    <row r="56" spans="1:3" x14ac:dyDescent="0.25">
      <c r="A56" s="5" t="s">
        <v>57</v>
      </c>
      <c r="B56" s="13" t="s">
        <v>104</v>
      </c>
      <c r="C56" s="7">
        <f>'Detail RAB'!F338</f>
        <v>37700000</v>
      </c>
    </row>
    <row r="57" spans="1:3" x14ac:dyDescent="0.25">
      <c r="A57" s="6"/>
      <c r="B57" s="8" t="s">
        <v>105</v>
      </c>
      <c r="C57" s="14">
        <f>C50+C51+C52+C53+C54+C55+C56</f>
        <v>263859953</v>
      </c>
    </row>
    <row r="59" spans="1:3" s="10" customFormat="1" x14ac:dyDescent="0.25">
      <c r="A59" s="11" t="s">
        <v>18</v>
      </c>
      <c r="B59" s="12" t="s">
        <v>19</v>
      </c>
      <c r="C59" s="12"/>
    </row>
    <row r="60" spans="1:3" x14ac:dyDescent="0.25">
      <c r="A60" s="5" t="s">
        <v>106</v>
      </c>
      <c r="B60" s="13" t="s">
        <v>85</v>
      </c>
      <c r="C60" s="7">
        <f>'Detail RAB'!F340</f>
        <v>37065740</v>
      </c>
    </row>
    <row r="61" spans="1:3" x14ac:dyDescent="0.25">
      <c r="A61" s="5" t="s">
        <v>107</v>
      </c>
      <c r="B61" s="13" t="s">
        <v>87</v>
      </c>
      <c r="C61" s="7">
        <f>'Detail RAB'!F409</f>
        <v>71321201</v>
      </c>
    </row>
    <row r="62" spans="1:3" x14ac:dyDescent="0.25">
      <c r="A62" s="5" t="s">
        <v>108</v>
      </c>
      <c r="B62" s="13" t="s">
        <v>109</v>
      </c>
      <c r="C62" s="7">
        <f>'Detail RAB'!F450</f>
        <v>30585194</v>
      </c>
    </row>
    <row r="63" spans="1:3" x14ac:dyDescent="0.25">
      <c r="A63" s="6"/>
      <c r="B63" s="8" t="s">
        <v>110</v>
      </c>
      <c r="C63" s="14">
        <f>C60+C61+C62</f>
        <v>138972135</v>
      </c>
    </row>
    <row r="65" spans="1:3" s="10" customFormat="1" x14ac:dyDescent="0.25">
      <c r="A65" s="11" t="s">
        <v>20</v>
      </c>
      <c r="B65" s="12" t="s">
        <v>21</v>
      </c>
      <c r="C65" s="12"/>
    </row>
    <row r="66" spans="1:3" x14ac:dyDescent="0.25">
      <c r="A66" s="5" t="s">
        <v>111</v>
      </c>
      <c r="B66" s="13" t="s">
        <v>85</v>
      </c>
      <c r="C66" s="7">
        <f>'Detail RAB'!F489</f>
        <v>93784616</v>
      </c>
    </row>
    <row r="67" spans="1:3" x14ac:dyDescent="0.25">
      <c r="A67" s="5" t="s">
        <v>112</v>
      </c>
      <c r="B67" s="13" t="s">
        <v>113</v>
      </c>
      <c r="C67" s="7">
        <f>'Detail RAB'!F558</f>
        <v>208490212</v>
      </c>
    </row>
    <row r="68" spans="1:3" x14ac:dyDescent="0.25">
      <c r="A68" s="6"/>
      <c r="B68" s="8" t="s">
        <v>114</v>
      </c>
      <c r="C68" s="14">
        <f>C66+C67</f>
        <v>302274828</v>
      </c>
    </row>
    <row r="70" spans="1:3" s="10" customFormat="1" x14ac:dyDescent="0.25">
      <c r="A70" s="11" t="s">
        <v>22</v>
      </c>
      <c r="B70" s="12" t="s">
        <v>23</v>
      </c>
      <c r="C70" s="12"/>
    </row>
    <row r="71" spans="1:3" x14ac:dyDescent="0.25">
      <c r="A71" s="5" t="s">
        <v>115</v>
      </c>
      <c r="B71" s="13" t="s">
        <v>85</v>
      </c>
      <c r="C71" s="7">
        <f>'Detail RAB'!F645</f>
        <v>75375931</v>
      </c>
    </row>
    <row r="72" spans="1:3" x14ac:dyDescent="0.25">
      <c r="A72" s="5" t="s">
        <v>116</v>
      </c>
      <c r="B72" s="13" t="s">
        <v>117</v>
      </c>
      <c r="C72" s="7">
        <f>'Detail RAB'!F700</f>
        <v>108193261</v>
      </c>
    </row>
    <row r="73" spans="1:3" x14ac:dyDescent="0.25">
      <c r="A73" s="5" t="s">
        <v>118</v>
      </c>
      <c r="B73" s="13" t="s">
        <v>119</v>
      </c>
      <c r="C73" s="7">
        <f>'Detail RAB'!F729</f>
        <v>0</v>
      </c>
    </row>
    <row r="74" spans="1:3" x14ac:dyDescent="0.25">
      <c r="A74" s="5" t="s">
        <v>120</v>
      </c>
      <c r="B74" s="13" t="s">
        <v>121</v>
      </c>
      <c r="C74" s="7">
        <f>'Detail RAB'!F730</f>
        <v>183122412</v>
      </c>
    </row>
    <row r="75" spans="1:3" x14ac:dyDescent="0.25">
      <c r="A75" s="5" t="s">
        <v>122</v>
      </c>
      <c r="B75" s="13" t="s">
        <v>123</v>
      </c>
      <c r="C75" s="7">
        <f>'Detail RAB'!F750</f>
        <v>87901502</v>
      </c>
    </row>
    <row r="76" spans="1:3" x14ac:dyDescent="0.25">
      <c r="A76" s="6"/>
      <c r="B76" s="8" t="s">
        <v>124</v>
      </c>
      <c r="C76" s="14">
        <f>C71+C72+C73+C74+C75</f>
        <v>454593106</v>
      </c>
    </row>
    <row r="78" spans="1:3" s="10" customFormat="1" x14ac:dyDescent="0.25">
      <c r="A78" s="11" t="s">
        <v>24</v>
      </c>
      <c r="B78" s="12" t="s">
        <v>25</v>
      </c>
      <c r="C78" s="12"/>
    </row>
    <row r="79" spans="1:3" x14ac:dyDescent="0.25">
      <c r="A79" s="5" t="s">
        <v>125</v>
      </c>
      <c r="B79" s="13" t="s">
        <v>126</v>
      </c>
      <c r="C79" s="7">
        <f>'Detail RAB'!F758</f>
        <v>110142311</v>
      </c>
    </row>
    <row r="80" spans="1:3" x14ac:dyDescent="0.25">
      <c r="A80" s="5" t="s">
        <v>127</v>
      </c>
      <c r="B80" s="13" t="s">
        <v>89</v>
      </c>
      <c r="C80" s="7">
        <f>'Detail RAB'!F774</f>
        <v>202455889</v>
      </c>
    </row>
    <row r="81" spans="1:3" x14ac:dyDescent="0.25">
      <c r="A81" s="6"/>
      <c r="B81" s="8" t="s">
        <v>128</v>
      </c>
      <c r="C81" s="14">
        <f>C79+C80</f>
        <v>312598200</v>
      </c>
    </row>
    <row r="83" spans="1:3" s="10" customFormat="1" x14ac:dyDescent="0.25">
      <c r="A83" s="11" t="s">
        <v>26</v>
      </c>
      <c r="B83" s="12" t="s">
        <v>27</v>
      </c>
      <c r="C83" s="12"/>
    </row>
    <row r="84" spans="1:3" x14ac:dyDescent="0.25">
      <c r="A84" s="5" t="s">
        <v>129</v>
      </c>
      <c r="B84" s="13" t="s">
        <v>85</v>
      </c>
      <c r="C84" s="7">
        <f>'Detail RAB'!F786</f>
        <v>78227212</v>
      </c>
    </row>
    <row r="85" spans="1:3" x14ac:dyDescent="0.25">
      <c r="A85" s="5" t="s">
        <v>130</v>
      </c>
      <c r="B85" s="13" t="s">
        <v>131</v>
      </c>
      <c r="C85" s="7">
        <f>'Detail RAB'!F880</f>
        <v>108822774</v>
      </c>
    </row>
    <row r="86" spans="1:3" x14ac:dyDescent="0.25">
      <c r="A86" s="6"/>
      <c r="B86" s="8" t="s">
        <v>132</v>
      </c>
      <c r="C86" s="14">
        <f>C84+C85</f>
        <v>187049986</v>
      </c>
    </row>
    <row r="88" spans="1:3" s="10" customFormat="1" x14ac:dyDescent="0.25">
      <c r="A88" s="11" t="s">
        <v>28</v>
      </c>
      <c r="B88" s="12" t="s">
        <v>29</v>
      </c>
      <c r="C88" s="12"/>
    </row>
    <row r="89" spans="1:3" x14ac:dyDescent="0.25">
      <c r="A89" s="5" t="s">
        <v>133</v>
      </c>
      <c r="B89" s="13" t="s">
        <v>134</v>
      </c>
      <c r="C89" s="7">
        <f>'Detail RAB'!F905</f>
        <v>127225502</v>
      </c>
    </row>
    <row r="90" spans="1:3" x14ac:dyDescent="0.25">
      <c r="A90" s="5" t="s">
        <v>135</v>
      </c>
      <c r="B90" s="13" t="s">
        <v>136</v>
      </c>
      <c r="C90" s="7">
        <f>'Detail RAB'!F932</f>
        <v>11082555</v>
      </c>
    </row>
    <row r="91" spans="1:3" x14ac:dyDescent="0.25">
      <c r="A91" s="5" t="s">
        <v>137</v>
      </c>
      <c r="B91" s="13" t="s">
        <v>138</v>
      </c>
      <c r="C91" s="7">
        <f>'Detail RAB'!F951</f>
        <v>69592468</v>
      </c>
    </row>
    <row r="92" spans="1:3" x14ac:dyDescent="0.25">
      <c r="A92" s="6"/>
      <c r="B92" s="8" t="s">
        <v>139</v>
      </c>
      <c r="C92" s="14">
        <f>C89+C90+C91</f>
        <v>207900525</v>
      </c>
    </row>
    <row r="94" spans="1:3" s="10" customFormat="1" x14ac:dyDescent="0.25">
      <c r="A94" s="11" t="s">
        <v>30</v>
      </c>
      <c r="B94" s="12" t="s">
        <v>31</v>
      </c>
      <c r="C94" s="12"/>
    </row>
    <row r="95" spans="1:3" x14ac:dyDescent="0.25">
      <c r="A95" s="5" t="s">
        <v>45</v>
      </c>
      <c r="B95" s="13" t="s">
        <v>140</v>
      </c>
      <c r="C95" s="7">
        <f>'Detail RAB'!F960</f>
        <v>4426736</v>
      </c>
    </row>
    <row r="96" spans="1:3" x14ac:dyDescent="0.25">
      <c r="A96" s="5" t="s">
        <v>47</v>
      </c>
      <c r="B96" s="13" t="s">
        <v>141</v>
      </c>
      <c r="C96" s="7">
        <f>'Detail RAB'!F961</f>
        <v>1665880</v>
      </c>
    </row>
    <row r="97" spans="1:3" x14ac:dyDescent="0.25">
      <c r="A97" s="5" t="s">
        <v>49</v>
      </c>
      <c r="B97" s="13" t="s">
        <v>142</v>
      </c>
      <c r="C97" s="7">
        <f>'Detail RAB'!F962</f>
        <v>1402685</v>
      </c>
    </row>
    <row r="98" spans="1:3" x14ac:dyDescent="0.25">
      <c r="A98" s="5" t="s">
        <v>51</v>
      </c>
      <c r="B98" s="13" t="s">
        <v>143</v>
      </c>
      <c r="C98" s="7">
        <f>'Detail RAB'!F963</f>
        <v>1427218</v>
      </c>
    </row>
    <row r="99" spans="1:3" x14ac:dyDescent="0.25">
      <c r="A99" s="5" t="s">
        <v>53</v>
      </c>
      <c r="B99" s="13" t="s">
        <v>144</v>
      </c>
      <c r="C99" s="7">
        <f>'Detail RAB'!F964</f>
        <v>1572667</v>
      </c>
    </row>
    <row r="100" spans="1:3" x14ac:dyDescent="0.25">
      <c r="A100" s="6"/>
      <c r="B100" s="8" t="s">
        <v>145</v>
      </c>
      <c r="C100" s="14">
        <f>C95+C96+C97+C98+C99</f>
        <v>10495186</v>
      </c>
    </row>
    <row r="102" spans="1:3" s="10" customFormat="1" x14ac:dyDescent="0.25">
      <c r="A102" s="11" t="s">
        <v>32</v>
      </c>
      <c r="B102" s="12" t="s">
        <v>33</v>
      </c>
      <c r="C102" s="12"/>
    </row>
    <row r="103" spans="1:3" x14ac:dyDescent="0.25">
      <c r="A103" s="5" t="s">
        <v>45</v>
      </c>
      <c r="B103" s="13" t="s">
        <v>146</v>
      </c>
      <c r="C103" s="7">
        <f>'Detail RAB'!F966</f>
        <v>51120054</v>
      </c>
    </row>
    <row r="104" spans="1:3" x14ac:dyDescent="0.25">
      <c r="A104" s="5" t="s">
        <v>47</v>
      </c>
      <c r="B104" s="13" t="s">
        <v>147</v>
      </c>
      <c r="C104" s="7">
        <f>'Detail RAB'!F967</f>
        <v>64449471</v>
      </c>
    </row>
    <row r="105" spans="1:3" x14ac:dyDescent="0.25">
      <c r="A105" s="6"/>
      <c r="B105" s="8" t="s">
        <v>148</v>
      </c>
      <c r="C105" s="14">
        <f>C103+C104</f>
        <v>115569525</v>
      </c>
    </row>
    <row r="107" spans="1:3" s="10" customFormat="1" x14ac:dyDescent="0.25">
      <c r="A107" s="11" t="s">
        <v>34</v>
      </c>
      <c r="B107" s="12" t="s">
        <v>35</v>
      </c>
      <c r="C107" s="12"/>
    </row>
    <row r="108" spans="1:3" x14ac:dyDescent="0.25">
      <c r="A108" s="5" t="s">
        <v>149</v>
      </c>
      <c r="B108" s="13" t="s">
        <v>85</v>
      </c>
      <c r="C108" s="7">
        <f>'Detail RAB'!F969</f>
        <v>145211050</v>
      </c>
    </row>
    <row r="109" spans="1:3" x14ac:dyDescent="0.25">
      <c r="A109" s="5" t="s">
        <v>150</v>
      </c>
      <c r="B109" s="13" t="s">
        <v>87</v>
      </c>
      <c r="C109" s="7">
        <f>'Detail RAB'!F1059</f>
        <v>155623758</v>
      </c>
    </row>
    <row r="110" spans="1:3" x14ac:dyDescent="0.25">
      <c r="A110" s="5" t="s">
        <v>151</v>
      </c>
      <c r="B110" s="13" t="s">
        <v>89</v>
      </c>
      <c r="C110" s="7">
        <f>'Detail RAB'!F1082</f>
        <v>17452057</v>
      </c>
    </row>
    <row r="111" spans="1:3" x14ac:dyDescent="0.25">
      <c r="A111" s="6"/>
      <c r="B111" s="8" t="s">
        <v>152</v>
      </c>
      <c r="C111" s="14">
        <f>C108+C109+C110</f>
        <v>318286865</v>
      </c>
    </row>
    <row r="113" spans="1:3" s="10" customFormat="1" x14ac:dyDescent="0.25">
      <c r="A113" s="11" t="s">
        <v>36</v>
      </c>
      <c r="B113" s="12" t="s">
        <v>37</v>
      </c>
      <c r="C113" s="12"/>
    </row>
    <row r="114" spans="1:3" x14ac:dyDescent="0.25">
      <c r="A114" s="5" t="s">
        <v>45</v>
      </c>
      <c r="B114" s="13" t="s">
        <v>153</v>
      </c>
      <c r="C114" s="7">
        <f>'Detail RAB'!F1090</f>
        <v>1627897</v>
      </c>
    </row>
    <row r="115" spans="1:3" x14ac:dyDescent="0.25">
      <c r="A115" s="5" t="s">
        <v>47</v>
      </c>
      <c r="B115" s="13" t="s">
        <v>154</v>
      </c>
      <c r="C115" s="7">
        <f>'Detail RAB'!F1091</f>
        <v>1038808</v>
      </c>
    </row>
    <row r="116" spans="1:3" x14ac:dyDescent="0.25">
      <c r="A116" s="5" t="s">
        <v>49</v>
      </c>
      <c r="B116" s="13" t="s">
        <v>155</v>
      </c>
      <c r="C116" s="7">
        <f>'Detail RAB'!F1092</f>
        <v>279761</v>
      </c>
    </row>
    <row r="117" spans="1:3" x14ac:dyDescent="0.25">
      <c r="A117" s="5" t="s">
        <v>51</v>
      </c>
      <c r="B117" s="13" t="s">
        <v>156</v>
      </c>
      <c r="C117" s="7">
        <f>'Detail RAB'!F1093</f>
        <v>2437316</v>
      </c>
    </row>
    <row r="118" spans="1:3" x14ac:dyDescent="0.25">
      <c r="A118" s="5" t="s">
        <v>53</v>
      </c>
      <c r="B118" s="13" t="s">
        <v>157</v>
      </c>
      <c r="C118" s="7">
        <f>'Detail RAB'!F1099</f>
        <v>2204404</v>
      </c>
    </row>
    <row r="119" spans="1:3" x14ac:dyDescent="0.25">
      <c r="A119" s="5" t="s">
        <v>55</v>
      </c>
      <c r="B119" s="13" t="s">
        <v>158</v>
      </c>
      <c r="C119" s="7">
        <f>'Detail RAB'!F1100</f>
        <v>983658</v>
      </c>
    </row>
    <row r="120" spans="1:3" x14ac:dyDescent="0.25">
      <c r="A120" s="5" t="s">
        <v>57</v>
      </c>
      <c r="B120" s="13" t="s">
        <v>159</v>
      </c>
      <c r="C120" s="7">
        <f>'Detail RAB'!F1101</f>
        <v>24912876</v>
      </c>
    </row>
    <row r="121" spans="1:3" x14ac:dyDescent="0.25">
      <c r="A121" s="5" t="s">
        <v>59</v>
      </c>
      <c r="B121" s="13" t="s">
        <v>160</v>
      </c>
      <c r="C121" s="7">
        <f>'Detail RAB'!F1102</f>
        <v>2401385</v>
      </c>
    </row>
    <row r="122" spans="1:3" x14ac:dyDescent="0.25">
      <c r="A122" s="6"/>
      <c r="B122" s="8" t="s">
        <v>161</v>
      </c>
      <c r="C122" s="14">
        <f>C114+C115+C116+C117+C118+C119+C120+C121</f>
        <v>35886105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3" width="12" customWidth="1"/>
    <col min="4" max="4" width="8" customWidth="1"/>
    <col min="5" max="5" width="15" customWidth="1"/>
    <col min="6" max="6" width="17" customWidth="1"/>
  </cols>
  <sheetData>
    <row r="1" spans="1:1" x14ac:dyDescent="0.25">
      <c r="A1" s="1" t="s">
        <v>162</v>
      </c>
    </row>
    <row r="2" spans="1:1" x14ac:dyDescent="0.25">
      <c r="A2" s="2" t="s">
        <v>1</v>
      </c>
    </row>
    <row r="3" spans="1:1" x14ac:dyDescent="0.25">
      <c r="A3" s="3" t="s">
        <v>2</v>
      </c>
    </row>
    <row r="5" spans="1:6" x14ac:dyDescent="0.25">
      <c r="A5" s="4" t="s">
        <v>43</v>
      </c>
      <c r="B5" s="4" t="s">
        <v>4</v>
      </c>
      <c r="C5" s="4" t="s">
        <v>163</v>
      </c>
      <c r="D5" s="4" t="s">
        <v>164</v>
      </c>
      <c r="E5" s="4" t="s">
        <v>165</v>
      </c>
      <c r="F5" s="4" t="s">
        <v>166</v>
      </c>
    </row>
    <row r="6" spans="1:6" s="10" customFormat="1" x14ac:dyDescent="0.25">
      <c r="A6" s="15" t="s">
        <v>6</v>
      </c>
      <c r="B6" s="16" t="s">
        <v>7</v>
      </c>
      <c r="C6" s="12"/>
      <c r="D6" s="11"/>
      <c r="E6" s="12"/>
      <c r="F6" s="14">
        <f>F7+F8+F9+F10+F11+F12+F44+F45+F46+F47+F55+F58+F61+F64+F65</f>
        <v>460697021</v>
      </c>
    </row>
    <row r="7" spans="1:6" x14ac:dyDescent="0.25">
      <c r="A7" s="17" t="s">
        <v>45</v>
      </c>
      <c r="B7" s="18" t="s">
        <v>46</v>
      </c>
      <c r="C7" s="19">
        <v>50</v>
      </c>
      <c r="D7" s="5" t="s">
        <v>167</v>
      </c>
      <c r="E7" s="7">
        <v>1260000</v>
      </c>
      <c r="F7" s="7">
        <v>63000000</v>
      </c>
    </row>
    <row r="8" spans="1:6" x14ac:dyDescent="0.25">
      <c r="A8" s="17" t="s">
        <v>47</v>
      </c>
      <c r="B8" s="18" t="s">
        <v>48</v>
      </c>
      <c r="C8" s="19">
        <v>6</v>
      </c>
      <c r="D8" s="5" t="s">
        <v>168</v>
      </c>
      <c r="E8" s="7">
        <v>2350000</v>
      </c>
      <c r="F8" s="7">
        <v>14100000</v>
      </c>
    </row>
    <row r="9" spans="1:6" x14ac:dyDescent="0.25">
      <c r="A9" s="17" t="s">
        <v>49</v>
      </c>
      <c r="B9" s="18" t="s">
        <v>50</v>
      </c>
      <c r="C9" s="19">
        <v>1</v>
      </c>
      <c r="D9" s="5" t="s">
        <v>169</v>
      </c>
      <c r="E9" s="7">
        <v>1985634.62</v>
      </c>
      <c r="F9" s="7">
        <v>1985634</v>
      </c>
    </row>
    <row r="10" spans="1:6" x14ac:dyDescent="0.25">
      <c r="A10" s="17" t="s">
        <v>51</v>
      </c>
      <c r="B10" s="18" t="s">
        <v>52</v>
      </c>
      <c r="C10" s="19">
        <v>6</v>
      </c>
      <c r="D10" s="5" t="s">
        <v>168</v>
      </c>
      <c r="E10" s="7">
        <v>830000</v>
      </c>
      <c r="F10" s="7">
        <v>4980000</v>
      </c>
    </row>
    <row r="11" spans="1:6" x14ac:dyDescent="0.25">
      <c r="A11" s="17" t="s">
        <v>53</v>
      </c>
      <c r="B11" s="18" t="s">
        <v>54</v>
      </c>
      <c r="C11" s="19">
        <v>150</v>
      </c>
      <c r="D11" s="5" t="s">
        <v>170</v>
      </c>
      <c r="E11" s="7">
        <v>370000</v>
      </c>
      <c r="F11" s="7">
        <v>55500000</v>
      </c>
    </row>
    <row r="12" spans="1:6" s="20" customFormat="1" x14ac:dyDescent="0.25">
      <c r="A12" s="21" t="s">
        <v>55</v>
      </c>
      <c r="B12" s="22" t="s">
        <v>56</v>
      </c>
      <c r="C12" s="23"/>
      <c r="D12" s="24"/>
      <c r="E12" s="23"/>
      <c r="F12" s="9">
        <f>F13+F16+F19+F21+F27+F29+F31+F33+F38</f>
        <v>88974411</v>
      </c>
    </row>
    <row r="13" spans="1:6" s="20" customFormat="1" x14ac:dyDescent="0.25">
      <c r="A13" s="21" t="s">
        <v>171</v>
      </c>
      <c r="B13" s="25" t="s">
        <v>172</v>
      </c>
      <c r="C13" s="23"/>
      <c r="D13" s="24"/>
      <c r="E13" s="23"/>
      <c r="F13" s="9">
        <f>F14+F15</f>
        <v>2471221</v>
      </c>
    </row>
    <row r="14" spans="1:6" x14ac:dyDescent="0.25">
      <c r="A14" s="17" t="s">
        <v>173</v>
      </c>
      <c r="B14" s="26" t="s">
        <v>174</v>
      </c>
      <c r="C14" s="19">
        <v>2</v>
      </c>
      <c r="D14" s="5" t="s">
        <v>175</v>
      </c>
      <c r="E14" s="7">
        <v>972000</v>
      </c>
      <c r="F14" s="7">
        <v>1944000</v>
      </c>
    </row>
    <row r="15" spans="1:6" x14ac:dyDescent="0.25">
      <c r="A15" s="17" t="s">
        <v>176</v>
      </c>
      <c r="B15" s="26" t="s">
        <v>177</v>
      </c>
      <c r="C15" s="19">
        <v>80</v>
      </c>
      <c r="D15" s="5" t="s">
        <v>178</v>
      </c>
      <c r="E15" s="7">
        <v>6590.26</v>
      </c>
      <c r="F15" s="7">
        <v>527221</v>
      </c>
    </row>
    <row r="16" spans="1:6" s="20" customFormat="1" x14ac:dyDescent="0.25">
      <c r="A16" s="21" t="s">
        <v>179</v>
      </c>
      <c r="B16" s="25" t="s">
        <v>180</v>
      </c>
      <c r="C16" s="23"/>
      <c r="D16" s="24"/>
      <c r="E16" s="23"/>
      <c r="F16" s="9">
        <f>F17+F18</f>
        <v>1251204</v>
      </c>
    </row>
    <row r="17" spans="1:6" x14ac:dyDescent="0.25">
      <c r="A17" s="17" t="s">
        <v>181</v>
      </c>
      <c r="B17" s="26" t="s">
        <v>182</v>
      </c>
      <c r="C17" s="19">
        <v>80</v>
      </c>
      <c r="D17" s="5" t="s">
        <v>178</v>
      </c>
      <c r="E17" s="7">
        <v>7746.23</v>
      </c>
      <c r="F17" s="7">
        <v>619698</v>
      </c>
    </row>
    <row r="18" spans="1:6" x14ac:dyDescent="0.25">
      <c r="A18" s="17" t="s">
        <v>183</v>
      </c>
      <c r="B18" s="26" t="s">
        <v>184</v>
      </c>
      <c r="C18" s="19">
        <v>80</v>
      </c>
      <c r="D18" s="5" t="s">
        <v>178</v>
      </c>
      <c r="E18" s="7">
        <v>7893.82</v>
      </c>
      <c r="F18" s="7">
        <v>631506</v>
      </c>
    </row>
    <row r="19" spans="1:6" s="20" customFormat="1" x14ac:dyDescent="0.25">
      <c r="A19" s="21" t="s">
        <v>185</v>
      </c>
      <c r="B19" s="25" t="s">
        <v>186</v>
      </c>
      <c r="C19" s="23"/>
      <c r="D19" s="24"/>
      <c r="E19" s="23"/>
      <c r="F19" s="9">
        <f>F20</f>
        <v>118231</v>
      </c>
    </row>
    <row r="20" spans="1:6" x14ac:dyDescent="0.25">
      <c r="A20" s="17" t="s">
        <v>187</v>
      </c>
      <c r="B20" s="26" t="s">
        <v>188</v>
      </c>
      <c r="C20" s="19">
        <v>1</v>
      </c>
      <c r="D20" s="5" t="s">
        <v>189</v>
      </c>
      <c r="E20" s="7">
        <v>118230.96</v>
      </c>
      <c r="F20" s="7">
        <v>118231</v>
      </c>
    </row>
    <row r="21" spans="1:6" s="20" customFormat="1" x14ac:dyDescent="0.25">
      <c r="A21" s="21" t="s">
        <v>190</v>
      </c>
      <c r="B21" s="25" t="s">
        <v>191</v>
      </c>
      <c r="C21" s="23"/>
      <c r="D21" s="24"/>
      <c r="E21" s="23"/>
      <c r="F21" s="9">
        <f>F22+F23+F24+F25+F26</f>
        <v>19388303</v>
      </c>
    </row>
    <row r="22" spans="1:6" x14ac:dyDescent="0.25">
      <c r="A22" s="17" t="s">
        <v>192</v>
      </c>
      <c r="B22" s="26" t="s">
        <v>193</v>
      </c>
      <c r="C22" s="19">
        <v>80</v>
      </c>
      <c r="D22" s="5" t="s">
        <v>169</v>
      </c>
      <c r="E22" s="7">
        <v>75274.15</v>
      </c>
      <c r="F22" s="7">
        <v>6021932</v>
      </c>
    </row>
    <row r="23" spans="1:6" x14ac:dyDescent="0.25">
      <c r="A23" s="17" t="s">
        <v>194</v>
      </c>
      <c r="B23" s="26" t="s">
        <v>195</v>
      </c>
      <c r="C23" s="19">
        <v>80</v>
      </c>
      <c r="D23" s="5" t="s">
        <v>169</v>
      </c>
      <c r="E23" s="7">
        <v>5268.15</v>
      </c>
      <c r="F23" s="7">
        <v>421452</v>
      </c>
    </row>
    <row r="24" spans="1:6" x14ac:dyDescent="0.25">
      <c r="A24" s="17" t="s">
        <v>196</v>
      </c>
      <c r="B24" s="26" t="s">
        <v>197</v>
      </c>
      <c r="C24" s="19">
        <v>80</v>
      </c>
      <c r="D24" s="5" t="s">
        <v>198</v>
      </c>
      <c r="E24" s="7">
        <v>5138.25</v>
      </c>
      <c r="F24" s="7">
        <v>411060</v>
      </c>
    </row>
    <row r="25" spans="1:6" x14ac:dyDescent="0.25">
      <c r="A25" s="17" t="s">
        <v>199</v>
      </c>
      <c r="B25" s="26" t="s">
        <v>200</v>
      </c>
      <c r="C25" s="19">
        <v>80</v>
      </c>
      <c r="D25" s="5" t="s">
        <v>198</v>
      </c>
      <c r="E25" s="7">
        <v>130000</v>
      </c>
      <c r="F25" s="7">
        <v>10400000</v>
      </c>
    </row>
    <row r="26" spans="1:6" x14ac:dyDescent="0.25">
      <c r="A26" s="17" t="s">
        <v>201</v>
      </c>
      <c r="B26" s="26" t="s">
        <v>202</v>
      </c>
      <c r="C26" s="19">
        <v>80</v>
      </c>
      <c r="D26" s="5" t="s">
        <v>169</v>
      </c>
      <c r="E26" s="7">
        <v>26673.24</v>
      </c>
      <c r="F26" s="7">
        <v>2133859</v>
      </c>
    </row>
    <row r="27" spans="1:6" s="20" customFormat="1" x14ac:dyDescent="0.25">
      <c r="A27" s="21" t="s">
        <v>203</v>
      </c>
      <c r="B27" s="25" t="s">
        <v>204</v>
      </c>
      <c r="C27" s="23"/>
      <c r="D27" s="24"/>
      <c r="E27" s="23"/>
      <c r="F27" s="9">
        <f>F28</f>
        <v>18000000</v>
      </c>
    </row>
    <row r="28" spans="1:6" x14ac:dyDescent="0.25">
      <c r="A28" s="17" t="s">
        <v>205</v>
      </c>
      <c r="B28" s="26" t="s">
        <v>206</v>
      </c>
      <c r="C28" s="19">
        <v>1</v>
      </c>
      <c r="D28" s="5" t="s">
        <v>189</v>
      </c>
      <c r="E28" s="7">
        <v>18000000</v>
      </c>
      <c r="F28" s="7">
        <v>18000000</v>
      </c>
    </row>
    <row r="29" spans="1:6" s="20" customFormat="1" x14ac:dyDescent="0.25">
      <c r="A29" s="21" t="s">
        <v>207</v>
      </c>
      <c r="B29" s="25" t="s">
        <v>208</v>
      </c>
      <c r="C29" s="23"/>
      <c r="D29" s="24"/>
      <c r="E29" s="23"/>
      <c r="F29" s="9">
        <f>F30</f>
        <v>36000000</v>
      </c>
    </row>
    <row r="30" spans="1:6" x14ac:dyDescent="0.25">
      <c r="A30" s="17" t="s">
        <v>209</v>
      </c>
      <c r="B30" s="26" t="s">
        <v>210</v>
      </c>
      <c r="C30" s="19">
        <v>6</v>
      </c>
      <c r="D30" s="5" t="s">
        <v>168</v>
      </c>
      <c r="E30" s="7">
        <v>6000000</v>
      </c>
      <c r="F30" s="7">
        <v>36000000</v>
      </c>
    </row>
    <row r="31" spans="1:6" s="20" customFormat="1" x14ac:dyDescent="0.25">
      <c r="A31" s="21" t="s">
        <v>211</v>
      </c>
      <c r="B31" s="25" t="s">
        <v>212</v>
      </c>
      <c r="C31" s="23"/>
      <c r="D31" s="24"/>
      <c r="E31" s="23"/>
      <c r="F31" s="9">
        <f>F32</f>
        <v>5000000</v>
      </c>
    </row>
    <row r="32" spans="1:6" x14ac:dyDescent="0.25">
      <c r="A32" s="17" t="s">
        <v>213</v>
      </c>
      <c r="B32" s="26" t="s">
        <v>214</v>
      </c>
      <c r="C32" s="19">
        <v>1</v>
      </c>
      <c r="D32" s="5" t="s">
        <v>189</v>
      </c>
      <c r="E32" s="7">
        <v>5000000</v>
      </c>
      <c r="F32" s="7">
        <v>5000000</v>
      </c>
    </row>
    <row r="33" spans="1:6" s="20" customFormat="1" x14ac:dyDescent="0.25">
      <c r="A33" s="21" t="s">
        <v>215</v>
      </c>
      <c r="B33" s="25" t="s">
        <v>216</v>
      </c>
      <c r="C33" s="23"/>
      <c r="D33" s="24"/>
      <c r="E33" s="23"/>
      <c r="F33" s="9">
        <f>F34+F35+F36+F37</f>
        <v>1242563</v>
      </c>
    </row>
    <row r="34" spans="1:6" x14ac:dyDescent="0.25">
      <c r="A34" s="17" t="s">
        <v>217</v>
      </c>
      <c r="B34" s="26" t="s">
        <v>218</v>
      </c>
      <c r="C34" s="19">
        <v>5</v>
      </c>
      <c r="D34" s="5" t="s">
        <v>169</v>
      </c>
      <c r="E34" s="7">
        <v>70798.25</v>
      </c>
      <c r="F34" s="7">
        <v>353991</v>
      </c>
    </row>
    <row r="35" spans="1:6" x14ac:dyDescent="0.25">
      <c r="A35" s="17" t="s">
        <v>219</v>
      </c>
      <c r="B35" s="26" t="s">
        <v>220</v>
      </c>
      <c r="C35" s="19">
        <v>2</v>
      </c>
      <c r="D35" s="5" t="s">
        <v>169</v>
      </c>
      <c r="E35" s="7">
        <v>74587.22</v>
      </c>
      <c r="F35" s="7">
        <v>149174</v>
      </c>
    </row>
    <row r="36" spans="1:6" x14ac:dyDescent="0.25">
      <c r="A36" s="17" t="s">
        <v>221</v>
      </c>
      <c r="B36" s="26" t="s">
        <v>222</v>
      </c>
      <c r="C36" s="19">
        <v>5</v>
      </c>
      <c r="D36" s="5" t="s">
        <v>169</v>
      </c>
      <c r="E36" s="7">
        <v>74901.01</v>
      </c>
      <c r="F36" s="7">
        <v>374505</v>
      </c>
    </row>
    <row r="37" spans="1:6" x14ac:dyDescent="0.25">
      <c r="A37" s="17" t="s">
        <v>223</v>
      </c>
      <c r="B37" s="26" t="s">
        <v>224</v>
      </c>
      <c r="C37" s="19">
        <v>5</v>
      </c>
      <c r="D37" s="5" t="s">
        <v>169</v>
      </c>
      <c r="E37" s="7">
        <v>72978.5</v>
      </c>
      <c r="F37" s="7">
        <v>364893</v>
      </c>
    </row>
    <row r="38" spans="1:6" s="20" customFormat="1" x14ac:dyDescent="0.25">
      <c r="A38" s="21" t="s">
        <v>225</v>
      </c>
      <c r="B38" s="25" t="s">
        <v>226</v>
      </c>
      <c r="C38" s="23"/>
      <c r="D38" s="24"/>
      <c r="E38" s="23"/>
      <c r="F38" s="9">
        <f>F39+F40+F41+F42+F43</f>
        <v>5502889</v>
      </c>
    </row>
    <row r="39" spans="1:6" x14ac:dyDescent="0.25">
      <c r="A39" s="17" t="s">
        <v>227</v>
      </c>
      <c r="B39" s="26" t="s">
        <v>228</v>
      </c>
      <c r="C39" s="19">
        <v>2</v>
      </c>
      <c r="D39" s="5" t="s">
        <v>169</v>
      </c>
      <c r="E39" s="7">
        <v>681797.36</v>
      </c>
      <c r="F39" s="7">
        <v>1363595</v>
      </c>
    </row>
    <row r="40" spans="1:6" x14ac:dyDescent="0.25">
      <c r="A40" s="17" t="s">
        <v>229</v>
      </c>
      <c r="B40" s="26" t="s">
        <v>230</v>
      </c>
      <c r="C40" s="19">
        <v>2</v>
      </c>
      <c r="D40" s="5" t="s">
        <v>169</v>
      </c>
      <c r="E40" s="7">
        <v>41466.95</v>
      </c>
      <c r="F40" s="7">
        <v>82934</v>
      </c>
    </row>
    <row r="41" spans="1:6" x14ac:dyDescent="0.25">
      <c r="A41" s="17" t="s">
        <v>231</v>
      </c>
      <c r="B41" s="26" t="s">
        <v>232</v>
      </c>
      <c r="C41" s="19">
        <v>3</v>
      </c>
      <c r="D41" s="5" t="s">
        <v>189</v>
      </c>
      <c r="E41" s="7">
        <v>511960.33</v>
      </c>
      <c r="F41" s="7">
        <v>1535881</v>
      </c>
    </row>
    <row r="42" spans="1:6" x14ac:dyDescent="0.25">
      <c r="A42" s="17" t="s">
        <v>233</v>
      </c>
      <c r="B42" s="26" t="s">
        <v>234</v>
      </c>
      <c r="C42" s="19">
        <v>2</v>
      </c>
      <c r="D42" s="5" t="s">
        <v>169</v>
      </c>
      <c r="E42" s="7">
        <v>74638.88</v>
      </c>
      <c r="F42" s="7">
        <v>149278</v>
      </c>
    </row>
    <row r="43" spans="1:6" x14ac:dyDescent="0.25">
      <c r="A43" s="17" t="s">
        <v>235</v>
      </c>
      <c r="B43" s="26" t="s">
        <v>236</v>
      </c>
      <c r="C43" s="19">
        <v>1</v>
      </c>
      <c r="D43" s="5" t="s">
        <v>189</v>
      </c>
      <c r="E43" s="7">
        <v>2371201.06</v>
      </c>
      <c r="F43" s="7">
        <v>2371201</v>
      </c>
    </row>
    <row r="44" spans="1:6" x14ac:dyDescent="0.25">
      <c r="A44" s="17" t="s">
        <v>57</v>
      </c>
      <c r="B44" s="18" t="s">
        <v>58</v>
      </c>
      <c r="C44" s="19">
        <v>1678</v>
      </c>
      <c r="D44" s="5" t="s">
        <v>167</v>
      </c>
      <c r="E44" s="7">
        <v>5900</v>
      </c>
      <c r="F44" s="7">
        <v>9900200</v>
      </c>
    </row>
    <row r="45" spans="1:6" x14ac:dyDescent="0.25">
      <c r="A45" s="17" t="s">
        <v>59</v>
      </c>
      <c r="B45" s="18" t="s">
        <v>60</v>
      </c>
      <c r="C45" s="19">
        <v>1678</v>
      </c>
      <c r="D45" s="5" t="s">
        <v>167</v>
      </c>
      <c r="E45" s="7">
        <v>3000</v>
      </c>
      <c r="F45" s="7">
        <v>5034000</v>
      </c>
    </row>
    <row r="46" spans="1:6" x14ac:dyDescent="0.25">
      <c r="A46" s="17" t="s">
        <v>61</v>
      </c>
      <c r="B46" s="18" t="s">
        <v>62</v>
      </c>
      <c r="C46" s="19">
        <v>3</v>
      </c>
      <c r="D46" s="5" t="s">
        <v>237</v>
      </c>
      <c r="E46" s="7">
        <v>11100000</v>
      </c>
      <c r="F46" s="7">
        <v>33300000</v>
      </c>
    </row>
    <row r="47" spans="1:6" s="20" customFormat="1" x14ac:dyDescent="0.25">
      <c r="A47" s="21" t="s">
        <v>63</v>
      </c>
      <c r="B47" s="22" t="s">
        <v>64</v>
      </c>
      <c r="C47" s="23"/>
      <c r="D47" s="24"/>
      <c r="E47" s="23"/>
      <c r="F47" s="9">
        <f>F48+F49+F50+F51+F52+F53+F54</f>
        <v>55378468</v>
      </c>
    </row>
    <row r="48" spans="1:6" x14ac:dyDescent="0.25">
      <c r="A48" s="17" t="s">
        <v>238</v>
      </c>
      <c r="B48" s="27" t="s">
        <v>239</v>
      </c>
      <c r="C48" s="19">
        <v>2</v>
      </c>
      <c r="D48" s="5" t="s">
        <v>240</v>
      </c>
      <c r="E48" s="7">
        <v>7158195.51</v>
      </c>
      <c r="F48" s="7">
        <v>14316391</v>
      </c>
    </row>
    <row r="49" spans="1:6" x14ac:dyDescent="0.25">
      <c r="A49" s="17" t="s">
        <v>241</v>
      </c>
      <c r="B49" s="27" t="s">
        <v>242</v>
      </c>
      <c r="C49" s="19">
        <v>1</v>
      </c>
      <c r="D49" s="5" t="s">
        <v>240</v>
      </c>
      <c r="E49" s="7">
        <v>7165941.34</v>
      </c>
      <c r="F49" s="7">
        <v>7165941</v>
      </c>
    </row>
    <row r="50" spans="1:6" x14ac:dyDescent="0.25">
      <c r="A50" s="17" t="s">
        <v>243</v>
      </c>
      <c r="B50" s="27" t="s">
        <v>244</v>
      </c>
      <c r="C50" s="19">
        <v>1</v>
      </c>
      <c r="D50" s="5" t="s">
        <v>240</v>
      </c>
      <c r="E50" s="7">
        <v>6982055.14</v>
      </c>
      <c r="F50" s="7">
        <v>6982055</v>
      </c>
    </row>
    <row r="51" spans="1:6" x14ac:dyDescent="0.25">
      <c r="A51" s="17" t="s">
        <v>245</v>
      </c>
      <c r="B51" s="27" t="s">
        <v>246</v>
      </c>
      <c r="C51" s="19">
        <v>10</v>
      </c>
      <c r="D51" s="5" t="s">
        <v>169</v>
      </c>
      <c r="E51" s="7">
        <v>1060184.54</v>
      </c>
      <c r="F51" s="7">
        <v>10601845</v>
      </c>
    </row>
    <row r="52" spans="1:6" x14ac:dyDescent="0.25">
      <c r="A52" s="17" t="s">
        <v>247</v>
      </c>
      <c r="B52" s="27" t="s">
        <v>248</v>
      </c>
      <c r="C52" s="19">
        <v>1</v>
      </c>
      <c r="D52" s="5" t="s">
        <v>240</v>
      </c>
      <c r="E52" s="7">
        <v>10361560.79</v>
      </c>
      <c r="F52" s="7">
        <v>10361561</v>
      </c>
    </row>
    <row r="53" spans="1:6" x14ac:dyDescent="0.25">
      <c r="A53" s="17" t="s">
        <v>249</v>
      </c>
      <c r="B53" s="27" t="s">
        <v>250</v>
      </c>
      <c r="C53" s="19">
        <v>5</v>
      </c>
      <c r="D53" s="5" t="s">
        <v>169</v>
      </c>
      <c r="E53" s="7">
        <v>475894.17</v>
      </c>
      <c r="F53" s="7">
        <v>2379471</v>
      </c>
    </row>
    <row r="54" spans="1:6" x14ac:dyDescent="0.25">
      <c r="A54" s="17" t="s">
        <v>251</v>
      </c>
      <c r="B54" s="27" t="s">
        <v>252</v>
      </c>
      <c r="C54" s="19">
        <v>5</v>
      </c>
      <c r="D54" s="5" t="s">
        <v>169</v>
      </c>
      <c r="E54" s="7">
        <v>714240.71</v>
      </c>
      <c r="F54" s="7">
        <v>3571204</v>
      </c>
    </row>
    <row r="55" spans="1:6" s="20" customFormat="1" x14ac:dyDescent="0.25">
      <c r="A55" s="21" t="s">
        <v>65</v>
      </c>
      <c r="B55" s="22" t="s">
        <v>66</v>
      </c>
      <c r="C55" s="23"/>
      <c r="D55" s="24"/>
      <c r="E55" s="23"/>
      <c r="F55" s="9">
        <f>F56+F57</f>
        <v>48144573</v>
      </c>
    </row>
    <row r="56" spans="1:6" x14ac:dyDescent="0.25">
      <c r="A56" s="17" t="s">
        <v>253</v>
      </c>
      <c r="B56" s="27" t="s">
        <v>254</v>
      </c>
      <c r="C56" s="19">
        <v>1</v>
      </c>
      <c r="D56" s="5" t="s">
        <v>189</v>
      </c>
      <c r="E56" s="7">
        <v>4742985.56</v>
      </c>
      <c r="F56" s="7">
        <v>4742986</v>
      </c>
    </row>
    <row r="57" spans="1:6" x14ac:dyDescent="0.25">
      <c r="A57" s="17" t="s">
        <v>255</v>
      </c>
      <c r="B57" s="27" t="s">
        <v>256</v>
      </c>
      <c r="C57" s="19">
        <v>1</v>
      </c>
      <c r="D57" s="5" t="s">
        <v>189</v>
      </c>
      <c r="E57" s="7">
        <v>43401587.31</v>
      </c>
      <c r="F57" s="7">
        <v>43401587</v>
      </c>
    </row>
    <row r="58" spans="1:6" s="20" customFormat="1" x14ac:dyDescent="0.25">
      <c r="A58" s="21" t="s">
        <v>67</v>
      </c>
      <c r="B58" s="22" t="s">
        <v>68</v>
      </c>
      <c r="C58" s="23"/>
      <c r="D58" s="24"/>
      <c r="E58" s="23"/>
      <c r="F58" s="9">
        <f>F59+F60</f>
        <v>25060267</v>
      </c>
    </row>
    <row r="59" spans="1:6" x14ac:dyDescent="0.25">
      <c r="A59" s="17" t="s">
        <v>257</v>
      </c>
      <c r="B59" s="27" t="s">
        <v>258</v>
      </c>
      <c r="C59" s="19">
        <v>1</v>
      </c>
      <c r="D59" s="5" t="s">
        <v>189</v>
      </c>
      <c r="E59" s="7">
        <v>2560267.18</v>
      </c>
      <c r="F59" s="7">
        <v>2560267</v>
      </c>
    </row>
    <row r="60" spans="1:6" x14ac:dyDescent="0.25">
      <c r="A60" s="17" t="s">
        <v>259</v>
      </c>
      <c r="B60" s="27" t="s">
        <v>260</v>
      </c>
      <c r="C60" s="19">
        <v>1</v>
      </c>
      <c r="D60" s="5" t="s">
        <v>189</v>
      </c>
      <c r="E60" s="7">
        <v>22500000</v>
      </c>
      <c r="F60" s="7">
        <v>22500000</v>
      </c>
    </row>
    <row r="61" spans="1:6" s="20" customFormat="1" x14ac:dyDescent="0.25">
      <c r="A61" s="21" t="s">
        <v>69</v>
      </c>
      <c r="B61" s="22" t="s">
        <v>70</v>
      </c>
      <c r="C61" s="23"/>
      <c r="D61" s="24"/>
      <c r="E61" s="23"/>
      <c r="F61" s="9">
        <f>F62+F63</f>
        <v>16449468</v>
      </c>
    </row>
    <row r="62" spans="1:6" x14ac:dyDescent="0.25">
      <c r="A62" s="17" t="s">
        <v>261</v>
      </c>
      <c r="B62" s="27" t="s">
        <v>262</v>
      </c>
      <c r="C62" s="19">
        <v>1</v>
      </c>
      <c r="D62" s="5" t="s">
        <v>189</v>
      </c>
      <c r="E62" s="7">
        <v>1549467.72</v>
      </c>
      <c r="F62" s="7">
        <v>1549468</v>
      </c>
    </row>
    <row r="63" spans="1:6" x14ac:dyDescent="0.25">
      <c r="A63" s="17" t="s">
        <v>263</v>
      </c>
      <c r="B63" s="27" t="s">
        <v>264</v>
      </c>
      <c r="C63" s="19">
        <v>1</v>
      </c>
      <c r="D63" s="5" t="s">
        <v>189</v>
      </c>
      <c r="E63" s="7">
        <v>14900000</v>
      </c>
      <c r="F63" s="7">
        <v>14900000</v>
      </c>
    </row>
    <row r="64" spans="1:6" x14ac:dyDescent="0.25">
      <c r="A64" s="17" t="s">
        <v>71</v>
      </c>
      <c r="B64" s="18" t="s">
        <v>72</v>
      </c>
      <c r="C64" s="19">
        <v>1</v>
      </c>
      <c r="D64" s="5" t="s">
        <v>240</v>
      </c>
      <c r="E64" s="7">
        <v>17890000</v>
      </c>
      <c r="F64" s="7">
        <v>17890000</v>
      </c>
    </row>
    <row r="65" spans="1:6" x14ac:dyDescent="0.25">
      <c r="A65" s="17" t="s">
        <v>73</v>
      </c>
      <c r="B65" s="18" t="s">
        <v>74</v>
      </c>
      <c r="C65" s="19">
        <v>3</v>
      </c>
      <c r="D65" s="5" t="s">
        <v>240</v>
      </c>
      <c r="E65" s="7">
        <v>7000000</v>
      </c>
      <c r="F65" s="7">
        <v>21000000</v>
      </c>
    </row>
    <row r="66" spans="1:6" s="10" customFormat="1" x14ac:dyDescent="0.25">
      <c r="A66" s="15" t="s">
        <v>8</v>
      </c>
      <c r="B66" s="16" t="s">
        <v>9</v>
      </c>
      <c r="C66" s="12"/>
      <c r="D66" s="11"/>
      <c r="E66" s="12"/>
      <c r="F66" s="14">
        <f>F67+F71+F76+F83+F88+F93+F101</f>
        <v>307935896</v>
      </c>
    </row>
    <row r="67" spans="1:6" s="20" customFormat="1" x14ac:dyDescent="0.25">
      <c r="A67" s="21" t="s">
        <v>45</v>
      </c>
      <c r="B67" s="22" t="s">
        <v>76</v>
      </c>
      <c r="C67" s="23"/>
      <c r="D67" s="24"/>
      <c r="E67" s="23"/>
      <c r="F67" s="9">
        <f>F68+F69+F70</f>
        <v>114379316</v>
      </c>
    </row>
    <row r="68" spans="1:6" x14ac:dyDescent="0.25">
      <c r="A68" s="17" t="s">
        <v>265</v>
      </c>
      <c r="B68" s="27" t="s">
        <v>266</v>
      </c>
      <c r="C68" s="19">
        <v>45</v>
      </c>
      <c r="D68" s="5" t="s">
        <v>267</v>
      </c>
      <c r="E68" s="7">
        <v>56660.36</v>
      </c>
      <c r="F68" s="7">
        <v>2549716</v>
      </c>
    </row>
    <row r="69" spans="1:6" x14ac:dyDescent="0.25">
      <c r="A69" s="17" t="s">
        <v>268</v>
      </c>
      <c r="B69" s="27" t="s">
        <v>269</v>
      </c>
      <c r="C69" s="19">
        <v>45</v>
      </c>
      <c r="D69" s="5" t="s">
        <v>267</v>
      </c>
      <c r="E69" s="7">
        <v>500000</v>
      </c>
      <c r="F69" s="7">
        <v>22500000</v>
      </c>
    </row>
    <row r="70" spans="1:6" x14ac:dyDescent="0.25">
      <c r="A70" s="17" t="s">
        <v>270</v>
      </c>
      <c r="B70" s="27" t="s">
        <v>271</v>
      </c>
      <c r="C70" s="19">
        <v>99.2</v>
      </c>
      <c r="D70" s="5" t="s">
        <v>267</v>
      </c>
      <c r="E70" s="7">
        <v>900500</v>
      </c>
      <c r="F70" s="7">
        <v>89329600</v>
      </c>
    </row>
    <row r="71" spans="1:6" s="20" customFormat="1" x14ac:dyDescent="0.25">
      <c r="A71" s="21" t="s">
        <v>47</v>
      </c>
      <c r="B71" s="22" t="s">
        <v>77</v>
      </c>
      <c r="C71" s="23"/>
      <c r="D71" s="24"/>
      <c r="E71" s="23"/>
      <c r="F71" s="9">
        <f>F72+F73+F74+F75</f>
        <v>45800313</v>
      </c>
    </row>
    <row r="72" spans="1:6" x14ac:dyDescent="0.25">
      <c r="A72" s="17" t="s">
        <v>272</v>
      </c>
      <c r="B72" s="27" t="s">
        <v>273</v>
      </c>
      <c r="C72" s="19">
        <v>49.2</v>
      </c>
      <c r="D72" s="5" t="s">
        <v>167</v>
      </c>
      <c r="E72" s="7">
        <v>209675.01</v>
      </c>
      <c r="F72" s="7">
        <v>10316011</v>
      </c>
    </row>
    <row r="73" spans="1:6" x14ac:dyDescent="0.25">
      <c r="A73" s="17" t="s">
        <v>274</v>
      </c>
      <c r="B73" s="27" t="s">
        <v>275</v>
      </c>
      <c r="C73" s="19">
        <v>875.18</v>
      </c>
      <c r="D73" s="5" t="s">
        <v>276</v>
      </c>
      <c r="E73" s="7">
        <v>18000</v>
      </c>
      <c r="F73" s="7">
        <v>15753240</v>
      </c>
    </row>
    <row r="74" spans="1:6" x14ac:dyDescent="0.25">
      <c r="A74" s="17" t="s">
        <v>277</v>
      </c>
      <c r="B74" s="27" t="s">
        <v>278</v>
      </c>
      <c r="C74" s="19">
        <v>495.67</v>
      </c>
      <c r="D74" s="5" t="s">
        <v>276</v>
      </c>
      <c r="E74" s="7">
        <v>13176.23</v>
      </c>
      <c r="F74" s="7">
        <v>6531062</v>
      </c>
    </row>
    <row r="75" spans="1:6" x14ac:dyDescent="0.25">
      <c r="A75" s="17" t="s">
        <v>279</v>
      </c>
      <c r="B75" s="27" t="s">
        <v>280</v>
      </c>
      <c r="C75" s="19">
        <v>12</v>
      </c>
      <c r="D75" s="5" t="s">
        <v>267</v>
      </c>
      <c r="E75" s="7">
        <v>1100000</v>
      </c>
      <c r="F75" s="7">
        <v>13200000</v>
      </c>
    </row>
    <row r="76" spans="1:6" s="20" customFormat="1" x14ac:dyDescent="0.25">
      <c r="A76" s="21" t="s">
        <v>49</v>
      </c>
      <c r="B76" s="22" t="s">
        <v>78</v>
      </c>
      <c r="C76" s="23"/>
      <c r="D76" s="24"/>
      <c r="E76" s="23"/>
      <c r="F76" s="9">
        <f>F77+F78+F79+F80+F81+F82</f>
        <v>3358058</v>
      </c>
    </row>
    <row r="77" spans="1:6" x14ac:dyDescent="0.25">
      <c r="A77" s="17" t="s">
        <v>281</v>
      </c>
      <c r="B77" s="27" t="s">
        <v>273</v>
      </c>
      <c r="C77" s="19">
        <v>3</v>
      </c>
      <c r="D77" s="5" t="s">
        <v>167</v>
      </c>
      <c r="E77" s="7">
        <v>209675.01</v>
      </c>
      <c r="F77" s="7">
        <v>629025</v>
      </c>
    </row>
    <row r="78" spans="1:6" x14ac:dyDescent="0.25">
      <c r="A78" s="17" t="s">
        <v>282</v>
      </c>
      <c r="B78" s="27" t="s">
        <v>283</v>
      </c>
      <c r="C78" s="19">
        <v>70.85</v>
      </c>
      <c r="D78" s="5" t="s">
        <v>276</v>
      </c>
      <c r="E78" s="7">
        <v>19248.5</v>
      </c>
      <c r="F78" s="7">
        <v>1363756</v>
      </c>
    </row>
    <row r="79" spans="1:6" x14ac:dyDescent="0.25">
      <c r="A79" s="17" t="s">
        <v>284</v>
      </c>
      <c r="B79" s="27" t="s">
        <v>285</v>
      </c>
      <c r="C79" s="19">
        <v>21.58</v>
      </c>
      <c r="D79" s="5" t="s">
        <v>276</v>
      </c>
      <c r="E79" s="7">
        <v>13176.23</v>
      </c>
      <c r="F79" s="7">
        <v>284343</v>
      </c>
    </row>
    <row r="80" spans="1:6" x14ac:dyDescent="0.25">
      <c r="A80" s="17" t="s">
        <v>286</v>
      </c>
      <c r="B80" s="27" t="s">
        <v>280</v>
      </c>
      <c r="C80" s="19">
        <v>0.45</v>
      </c>
      <c r="D80" s="5" t="s">
        <v>267</v>
      </c>
      <c r="E80" s="7">
        <v>1100000</v>
      </c>
      <c r="F80" s="7">
        <v>495000</v>
      </c>
    </row>
    <row r="81" spans="1:6" x14ac:dyDescent="0.25">
      <c r="A81" s="17" t="s">
        <v>287</v>
      </c>
      <c r="B81" s="27" t="s">
        <v>288</v>
      </c>
      <c r="C81" s="19">
        <v>3.87</v>
      </c>
      <c r="D81" s="5" t="s">
        <v>167</v>
      </c>
      <c r="E81" s="7">
        <v>45520.53</v>
      </c>
      <c r="F81" s="7">
        <v>176164</v>
      </c>
    </row>
    <row r="82" spans="1:6" x14ac:dyDescent="0.25">
      <c r="A82" s="17" t="s">
        <v>289</v>
      </c>
      <c r="B82" s="27" t="s">
        <v>290</v>
      </c>
      <c r="C82" s="19">
        <v>7.5</v>
      </c>
      <c r="D82" s="5" t="s">
        <v>170</v>
      </c>
      <c r="E82" s="7">
        <v>54635.94</v>
      </c>
      <c r="F82" s="7">
        <v>409770</v>
      </c>
    </row>
    <row r="83" spans="1:6" s="20" customFormat="1" x14ac:dyDescent="0.25">
      <c r="A83" s="21" t="s">
        <v>51</v>
      </c>
      <c r="B83" s="22" t="s">
        <v>79</v>
      </c>
      <c r="C83" s="23"/>
      <c r="D83" s="24"/>
      <c r="E83" s="23"/>
      <c r="F83" s="9">
        <f>F84+F85+F86+F87</f>
        <v>10255955</v>
      </c>
    </row>
    <row r="84" spans="1:6" x14ac:dyDescent="0.25">
      <c r="A84" s="17" t="s">
        <v>291</v>
      </c>
      <c r="B84" s="27" t="s">
        <v>292</v>
      </c>
      <c r="C84" s="19">
        <v>11.78</v>
      </c>
      <c r="D84" s="5" t="s">
        <v>167</v>
      </c>
      <c r="E84" s="7">
        <v>246976.42</v>
      </c>
      <c r="F84" s="7">
        <v>2909382</v>
      </c>
    </row>
    <row r="85" spans="1:6" x14ac:dyDescent="0.25">
      <c r="A85" s="17" t="s">
        <v>293</v>
      </c>
      <c r="B85" s="27" t="s">
        <v>275</v>
      </c>
      <c r="C85" s="19">
        <v>227.55</v>
      </c>
      <c r="D85" s="5" t="s">
        <v>276</v>
      </c>
      <c r="E85" s="7">
        <v>19248.5</v>
      </c>
      <c r="F85" s="7">
        <v>4379996</v>
      </c>
    </row>
    <row r="86" spans="1:6" x14ac:dyDescent="0.25">
      <c r="A86" s="17" t="s">
        <v>294</v>
      </c>
      <c r="B86" s="27" t="s">
        <v>295</v>
      </c>
      <c r="C86" s="19">
        <v>60.66</v>
      </c>
      <c r="D86" s="5" t="s">
        <v>276</v>
      </c>
      <c r="E86" s="7">
        <v>13176.23</v>
      </c>
      <c r="F86" s="7">
        <v>799270</v>
      </c>
    </row>
    <row r="87" spans="1:6" x14ac:dyDescent="0.25">
      <c r="A87" s="17" t="s">
        <v>296</v>
      </c>
      <c r="B87" s="27" t="s">
        <v>280</v>
      </c>
      <c r="C87" s="19">
        <v>1.77</v>
      </c>
      <c r="D87" s="5" t="s">
        <v>267</v>
      </c>
      <c r="E87" s="7">
        <v>1224466.96</v>
      </c>
      <c r="F87" s="7">
        <v>2167307</v>
      </c>
    </row>
    <row r="88" spans="1:6" s="20" customFormat="1" x14ac:dyDescent="0.25">
      <c r="A88" s="21" t="s">
        <v>53</v>
      </c>
      <c r="B88" s="22" t="s">
        <v>80</v>
      </c>
      <c r="C88" s="23"/>
      <c r="D88" s="24"/>
      <c r="E88" s="23"/>
      <c r="F88" s="9">
        <f>F89+F90+F91+F92</f>
        <v>9664197</v>
      </c>
    </row>
    <row r="89" spans="1:6" x14ac:dyDescent="0.25">
      <c r="A89" s="17" t="s">
        <v>297</v>
      </c>
      <c r="B89" s="27" t="s">
        <v>298</v>
      </c>
      <c r="C89" s="19">
        <v>176</v>
      </c>
      <c r="D89" s="5" t="s">
        <v>170</v>
      </c>
      <c r="E89" s="7">
        <v>26681.29</v>
      </c>
      <c r="F89" s="7">
        <v>4695907</v>
      </c>
    </row>
    <row r="90" spans="1:6" x14ac:dyDescent="0.25">
      <c r="A90" s="17" t="s">
        <v>299</v>
      </c>
      <c r="B90" s="27" t="s">
        <v>300</v>
      </c>
      <c r="C90" s="19">
        <v>7.48</v>
      </c>
      <c r="D90" s="5" t="s">
        <v>167</v>
      </c>
      <c r="E90" s="7">
        <v>232493.59</v>
      </c>
      <c r="F90" s="7">
        <v>1739052</v>
      </c>
    </row>
    <row r="91" spans="1:6" x14ac:dyDescent="0.25">
      <c r="A91" s="17" t="s">
        <v>301</v>
      </c>
      <c r="B91" s="27" t="s">
        <v>275</v>
      </c>
      <c r="C91" s="19">
        <v>38.63</v>
      </c>
      <c r="D91" s="5" t="s">
        <v>276</v>
      </c>
      <c r="E91" s="7">
        <v>19248.5</v>
      </c>
      <c r="F91" s="7">
        <v>743570</v>
      </c>
    </row>
    <row r="92" spans="1:6" x14ac:dyDescent="0.25">
      <c r="A92" s="17" t="s">
        <v>302</v>
      </c>
      <c r="B92" s="27" t="s">
        <v>280</v>
      </c>
      <c r="C92" s="19">
        <v>2.03</v>
      </c>
      <c r="D92" s="5" t="s">
        <v>267</v>
      </c>
      <c r="E92" s="7">
        <v>1224466.96</v>
      </c>
      <c r="F92" s="7">
        <v>2485668</v>
      </c>
    </row>
    <row r="93" spans="1:6" s="20" customFormat="1" x14ac:dyDescent="0.25">
      <c r="A93" s="21" t="s">
        <v>55</v>
      </c>
      <c r="B93" s="22" t="s">
        <v>81</v>
      </c>
      <c r="C93" s="23"/>
      <c r="D93" s="24"/>
      <c r="E93" s="23"/>
      <c r="F93" s="9">
        <f>F94+F95+F96+F97+F98+F99+F100</f>
        <v>46003576</v>
      </c>
    </row>
    <row r="94" spans="1:6" x14ac:dyDescent="0.25">
      <c r="A94" s="17" t="s">
        <v>303</v>
      </c>
      <c r="B94" s="27" t="s">
        <v>304</v>
      </c>
      <c r="C94" s="19">
        <v>12</v>
      </c>
      <c r="D94" s="5" t="s">
        <v>267</v>
      </c>
      <c r="E94" s="7">
        <v>56660.36</v>
      </c>
      <c r="F94" s="7">
        <v>679924</v>
      </c>
    </row>
    <row r="95" spans="1:6" x14ac:dyDescent="0.25">
      <c r="A95" s="17" t="s">
        <v>305</v>
      </c>
      <c r="B95" s="27" t="s">
        <v>298</v>
      </c>
      <c r="C95" s="19">
        <v>492</v>
      </c>
      <c r="D95" s="5" t="s">
        <v>170</v>
      </c>
      <c r="E95" s="7">
        <v>26681.29</v>
      </c>
      <c r="F95" s="7">
        <v>13127195</v>
      </c>
    </row>
    <row r="96" spans="1:6" x14ac:dyDescent="0.25">
      <c r="A96" s="17" t="s">
        <v>306</v>
      </c>
      <c r="B96" s="27" t="s">
        <v>300</v>
      </c>
      <c r="C96" s="19">
        <v>6.6</v>
      </c>
      <c r="D96" s="5" t="s">
        <v>167</v>
      </c>
      <c r="E96" s="7">
        <v>232493.59</v>
      </c>
      <c r="F96" s="7">
        <v>1534458</v>
      </c>
    </row>
    <row r="97" spans="1:6" x14ac:dyDescent="0.25">
      <c r="A97" s="17" t="s">
        <v>307</v>
      </c>
      <c r="B97" s="27" t="s">
        <v>308</v>
      </c>
      <c r="C97" s="19">
        <v>642.22</v>
      </c>
      <c r="D97" s="5" t="s">
        <v>276</v>
      </c>
      <c r="E97" s="7">
        <v>19248.5</v>
      </c>
      <c r="F97" s="7">
        <v>12361772</v>
      </c>
    </row>
    <row r="98" spans="1:6" x14ac:dyDescent="0.25">
      <c r="A98" s="17" t="s">
        <v>309</v>
      </c>
      <c r="B98" s="27" t="s">
        <v>310</v>
      </c>
      <c r="C98" s="19">
        <v>350.42</v>
      </c>
      <c r="D98" s="5" t="s">
        <v>276</v>
      </c>
      <c r="E98" s="7">
        <v>13176.23</v>
      </c>
      <c r="F98" s="7">
        <v>4617214</v>
      </c>
    </row>
    <row r="99" spans="1:6" x14ac:dyDescent="0.25">
      <c r="A99" s="17" t="s">
        <v>311</v>
      </c>
      <c r="B99" s="27" t="s">
        <v>280</v>
      </c>
      <c r="C99" s="19">
        <v>12</v>
      </c>
      <c r="D99" s="5" t="s">
        <v>267</v>
      </c>
      <c r="E99" s="7">
        <v>1100000</v>
      </c>
      <c r="F99" s="7">
        <v>13200000</v>
      </c>
    </row>
    <row r="100" spans="1:6" x14ac:dyDescent="0.25">
      <c r="A100" s="17" t="s">
        <v>312</v>
      </c>
      <c r="B100" s="27" t="s">
        <v>313</v>
      </c>
      <c r="C100" s="19">
        <v>12</v>
      </c>
      <c r="D100" s="5" t="s">
        <v>267</v>
      </c>
      <c r="E100" s="7">
        <v>40251.08</v>
      </c>
      <c r="F100" s="7">
        <v>483013</v>
      </c>
    </row>
    <row r="101" spans="1:6" s="20" customFormat="1" x14ac:dyDescent="0.25">
      <c r="A101" s="21" t="s">
        <v>57</v>
      </c>
      <c r="B101" s="22" t="s">
        <v>82</v>
      </c>
      <c r="C101" s="23"/>
      <c r="D101" s="24"/>
      <c r="E101" s="23"/>
      <c r="F101" s="9">
        <f>F102+F103+F104+F105+F106</f>
        <v>78474481</v>
      </c>
    </row>
    <row r="102" spans="1:6" x14ac:dyDescent="0.25">
      <c r="A102" s="17" t="s">
        <v>314</v>
      </c>
      <c r="B102" s="27" t="s">
        <v>315</v>
      </c>
      <c r="C102" s="19">
        <v>96</v>
      </c>
      <c r="D102" s="5" t="s">
        <v>167</v>
      </c>
      <c r="E102" s="7">
        <v>371126.23</v>
      </c>
      <c r="F102" s="7">
        <v>35628118</v>
      </c>
    </row>
    <row r="103" spans="1:6" x14ac:dyDescent="0.25">
      <c r="A103" s="17" t="s">
        <v>316</v>
      </c>
      <c r="B103" s="27" t="s">
        <v>317</v>
      </c>
      <c r="C103" s="19">
        <v>1010.21</v>
      </c>
      <c r="D103" s="5" t="s">
        <v>276</v>
      </c>
      <c r="E103" s="7">
        <v>19248.5</v>
      </c>
      <c r="F103" s="7">
        <v>19445027</v>
      </c>
    </row>
    <row r="104" spans="1:6" x14ac:dyDescent="0.25">
      <c r="A104" s="17" t="s">
        <v>318</v>
      </c>
      <c r="B104" s="27" t="s">
        <v>319</v>
      </c>
      <c r="C104" s="19">
        <v>322.18</v>
      </c>
      <c r="D104" s="5" t="s">
        <v>276</v>
      </c>
      <c r="E104" s="7">
        <v>13176.23</v>
      </c>
      <c r="F104" s="7">
        <v>4245118</v>
      </c>
    </row>
    <row r="105" spans="1:6" x14ac:dyDescent="0.25">
      <c r="A105" s="17" t="s">
        <v>320</v>
      </c>
      <c r="B105" s="27" t="s">
        <v>280</v>
      </c>
      <c r="C105" s="19">
        <v>16.8</v>
      </c>
      <c r="D105" s="5" t="s">
        <v>267</v>
      </c>
      <c r="E105" s="7">
        <v>1100000</v>
      </c>
      <c r="F105" s="7">
        <v>18480000</v>
      </c>
    </row>
    <row r="106" spans="1:6" x14ac:dyDescent="0.25">
      <c r="A106" s="17" t="s">
        <v>321</v>
      </c>
      <c r="B106" s="27" t="s">
        <v>313</v>
      </c>
      <c r="C106" s="19">
        <v>16.8</v>
      </c>
      <c r="D106" s="5" t="s">
        <v>267</v>
      </c>
      <c r="E106" s="7">
        <v>40251.08</v>
      </c>
      <c r="F106" s="7">
        <v>676218</v>
      </c>
    </row>
    <row r="107" spans="1:6" s="10" customFormat="1" x14ac:dyDescent="0.25">
      <c r="A107" s="15" t="s">
        <v>10</v>
      </c>
      <c r="B107" s="16" t="s">
        <v>11</v>
      </c>
      <c r="C107" s="12"/>
      <c r="D107" s="11"/>
      <c r="E107" s="12"/>
      <c r="F107" s="14">
        <f>F108+F171+F198</f>
        <v>229436307</v>
      </c>
    </row>
    <row r="108" spans="1:6" s="20" customFormat="1" x14ac:dyDescent="0.25">
      <c r="A108" s="21" t="s">
        <v>84</v>
      </c>
      <c r="B108" s="22" t="s">
        <v>85</v>
      </c>
      <c r="C108" s="23"/>
      <c r="D108" s="24"/>
      <c r="E108" s="23"/>
      <c r="F108" s="9">
        <f>F109+F110+F118+F123+F124+F129+F135+F140+F145+F150+F155+F160</f>
        <v>87667627</v>
      </c>
    </row>
    <row r="109" spans="1:6" x14ac:dyDescent="0.25">
      <c r="A109" s="17" t="s">
        <v>45</v>
      </c>
      <c r="B109" s="27" t="s">
        <v>153</v>
      </c>
      <c r="C109" s="19">
        <v>38</v>
      </c>
      <c r="D109" s="5" t="s">
        <v>170</v>
      </c>
      <c r="E109" s="7">
        <v>147990.68</v>
      </c>
      <c r="F109" s="7">
        <v>5623646</v>
      </c>
    </row>
    <row r="110" spans="1:6" s="20" customFormat="1" x14ac:dyDescent="0.25">
      <c r="A110" s="21" t="s">
        <v>47</v>
      </c>
      <c r="B110" s="25" t="s">
        <v>322</v>
      </c>
      <c r="C110" s="23"/>
      <c r="D110" s="24"/>
      <c r="E110" s="23"/>
      <c r="F110" s="9">
        <f>F111+F112+F113+F114+F115+F116+F117</f>
        <v>10064533</v>
      </c>
    </row>
    <row r="111" spans="1:6" x14ac:dyDescent="0.25">
      <c r="A111" s="17" t="s">
        <v>272</v>
      </c>
      <c r="B111" s="26" t="s">
        <v>266</v>
      </c>
      <c r="C111" s="19">
        <v>9.6</v>
      </c>
      <c r="D111" s="5" t="s">
        <v>267</v>
      </c>
      <c r="E111" s="7">
        <v>56660.36</v>
      </c>
      <c r="F111" s="7">
        <v>543940</v>
      </c>
    </row>
    <row r="112" spans="1:6" x14ac:dyDescent="0.25">
      <c r="A112" s="17" t="s">
        <v>274</v>
      </c>
      <c r="B112" s="26" t="s">
        <v>323</v>
      </c>
      <c r="C112" s="19">
        <v>0.56</v>
      </c>
      <c r="D112" s="5" t="s">
        <v>267</v>
      </c>
      <c r="E112" s="7">
        <v>345522.98</v>
      </c>
      <c r="F112" s="7">
        <v>193493</v>
      </c>
    </row>
    <row r="113" spans="1:6" x14ac:dyDescent="0.25">
      <c r="A113" s="17" t="s">
        <v>277</v>
      </c>
      <c r="B113" s="26" t="s">
        <v>324</v>
      </c>
      <c r="C113" s="19">
        <v>0.24</v>
      </c>
      <c r="D113" s="5" t="s">
        <v>267</v>
      </c>
      <c r="E113" s="7">
        <v>1016530.97</v>
      </c>
      <c r="F113" s="7">
        <v>243967</v>
      </c>
    </row>
    <row r="114" spans="1:6" x14ac:dyDescent="0.25">
      <c r="A114" s="17" t="s">
        <v>279</v>
      </c>
      <c r="B114" s="26" t="s">
        <v>325</v>
      </c>
      <c r="C114" s="19">
        <v>9.6</v>
      </c>
      <c r="D114" s="5" t="s">
        <v>267</v>
      </c>
      <c r="E114" s="7">
        <v>130392.01</v>
      </c>
      <c r="F114" s="7">
        <v>1251763</v>
      </c>
    </row>
    <row r="115" spans="1:6" x14ac:dyDescent="0.25">
      <c r="A115" s="17" t="s">
        <v>326</v>
      </c>
      <c r="B115" s="26" t="s">
        <v>327</v>
      </c>
      <c r="C115" s="19">
        <v>136.123</v>
      </c>
      <c r="D115" s="5" t="s">
        <v>276</v>
      </c>
      <c r="E115" s="7">
        <v>13176.23</v>
      </c>
      <c r="F115" s="7">
        <v>1793591</v>
      </c>
    </row>
    <row r="116" spans="1:6" x14ac:dyDescent="0.25">
      <c r="A116" s="17" t="s">
        <v>328</v>
      </c>
      <c r="B116" s="26" t="s">
        <v>329</v>
      </c>
      <c r="C116" s="19">
        <v>1.536</v>
      </c>
      <c r="D116" s="5" t="s">
        <v>267</v>
      </c>
      <c r="E116" s="7">
        <v>1151545.01</v>
      </c>
      <c r="F116" s="7">
        <v>1768773</v>
      </c>
    </row>
    <row r="117" spans="1:6" x14ac:dyDescent="0.25">
      <c r="A117" s="17" t="s">
        <v>330</v>
      </c>
      <c r="B117" s="26" t="s">
        <v>298</v>
      </c>
      <c r="C117" s="19">
        <v>160</v>
      </c>
      <c r="D117" s="5" t="s">
        <v>170</v>
      </c>
      <c r="E117" s="7">
        <v>26681.29</v>
      </c>
      <c r="F117" s="7">
        <v>4269006</v>
      </c>
    </row>
    <row r="118" spans="1:6" s="20" customFormat="1" x14ac:dyDescent="0.25">
      <c r="A118" s="21" t="s">
        <v>49</v>
      </c>
      <c r="B118" s="25" t="s">
        <v>331</v>
      </c>
      <c r="C118" s="23"/>
      <c r="D118" s="24"/>
      <c r="E118" s="23"/>
      <c r="F118" s="9">
        <f>F119+F120+F121+F122</f>
        <v>16524127</v>
      </c>
    </row>
    <row r="119" spans="1:6" x14ac:dyDescent="0.25">
      <c r="A119" s="17" t="s">
        <v>281</v>
      </c>
      <c r="B119" s="26" t="s">
        <v>332</v>
      </c>
      <c r="C119" s="19">
        <v>30.62</v>
      </c>
      <c r="D119" s="5" t="s">
        <v>267</v>
      </c>
      <c r="E119" s="7">
        <v>56660.36</v>
      </c>
      <c r="F119" s="7">
        <v>1734940</v>
      </c>
    </row>
    <row r="120" spans="1:6" x14ac:dyDescent="0.25">
      <c r="A120" s="17" t="s">
        <v>282</v>
      </c>
      <c r="B120" s="26" t="s">
        <v>333</v>
      </c>
      <c r="C120" s="19">
        <v>0</v>
      </c>
      <c r="D120" s="5" t="s">
        <v>170</v>
      </c>
      <c r="E120" s="7">
        <v>26681.29</v>
      </c>
      <c r="F120" s="7">
        <v>0</v>
      </c>
    </row>
    <row r="121" spans="1:6" x14ac:dyDescent="0.25">
      <c r="A121" s="17" t="s">
        <v>284</v>
      </c>
      <c r="B121" s="26" t="s">
        <v>334</v>
      </c>
      <c r="C121" s="19">
        <v>2.46</v>
      </c>
      <c r="D121" s="5" t="s">
        <v>267</v>
      </c>
      <c r="E121" s="7">
        <v>345522.98</v>
      </c>
      <c r="F121" s="7">
        <v>849987</v>
      </c>
    </row>
    <row r="122" spans="1:6" x14ac:dyDescent="0.25">
      <c r="A122" s="17" t="s">
        <v>286</v>
      </c>
      <c r="B122" s="26" t="s">
        <v>335</v>
      </c>
      <c r="C122" s="19">
        <v>19.36</v>
      </c>
      <c r="D122" s="5" t="s">
        <v>267</v>
      </c>
      <c r="E122" s="7">
        <v>720000</v>
      </c>
      <c r="F122" s="7">
        <v>13939200</v>
      </c>
    </row>
    <row r="123" spans="1:6" x14ac:dyDescent="0.25">
      <c r="A123" s="17" t="s">
        <v>51</v>
      </c>
      <c r="B123" s="27" t="s">
        <v>336</v>
      </c>
      <c r="C123" s="19">
        <v>13.56</v>
      </c>
      <c r="D123" s="5" t="s">
        <v>276</v>
      </c>
      <c r="E123" s="7">
        <v>13176.23</v>
      </c>
      <c r="F123" s="7">
        <v>178670</v>
      </c>
    </row>
    <row r="124" spans="1:6" s="20" customFormat="1" x14ac:dyDescent="0.25">
      <c r="A124" s="21" t="s">
        <v>53</v>
      </c>
      <c r="B124" s="25" t="s">
        <v>337</v>
      </c>
      <c r="C124" s="23"/>
      <c r="D124" s="24"/>
      <c r="E124" s="23"/>
      <c r="F124" s="9">
        <f>F125+F126+F127+F128</f>
        <v>13717767</v>
      </c>
    </row>
    <row r="125" spans="1:6" x14ac:dyDescent="0.25">
      <c r="A125" s="17" t="s">
        <v>297</v>
      </c>
      <c r="B125" s="26" t="s">
        <v>292</v>
      </c>
      <c r="C125" s="19">
        <v>26.4</v>
      </c>
      <c r="D125" s="5" t="s">
        <v>167</v>
      </c>
      <c r="E125" s="7">
        <v>246976.42</v>
      </c>
      <c r="F125" s="7">
        <v>6520177</v>
      </c>
    </row>
    <row r="126" spans="1:6" x14ac:dyDescent="0.25">
      <c r="A126" s="17" t="s">
        <v>299</v>
      </c>
      <c r="B126" s="26" t="s">
        <v>338</v>
      </c>
      <c r="C126" s="19">
        <v>135.63</v>
      </c>
      <c r="D126" s="5" t="s">
        <v>276</v>
      </c>
      <c r="E126" s="7">
        <v>13176.23</v>
      </c>
      <c r="F126" s="7">
        <v>1787092</v>
      </c>
    </row>
    <row r="127" spans="1:6" x14ac:dyDescent="0.25">
      <c r="A127" s="17" t="s">
        <v>301</v>
      </c>
      <c r="B127" s="26" t="s">
        <v>339</v>
      </c>
      <c r="C127" s="19">
        <v>122.22</v>
      </c>
      <c r="D127" s="5" t="s">
        <v>276</v>
      </c>
      <c r="E127" s="7">
        <v>13176.23</v>
      </c>
      <c r="F127" s="7">
        <v>1610399</v>
      </c>
    </row>
    <row r="128" spans="1:6" x14ac:dyDescent="0.25">
      <c r="A128" s="17" t="s">
        <v>302</v>
      </c>
      <c r="B128" s="26" t="s">
        <v>329</v>
      </c>
      <c r="C128" s="19">
        <v>3.3</v>
      </c>
      <c r="D128" s="5" t="s">
        <v>267</v>
      </c>
      <c r="E128" s="7">
        <v>1151545.01</v>
      </c>
      <c r="F128" s="7">
        <v>3800099</v>
      </c>
    </row>
    <row r="129" spans="1:6" s="20" customFormat="1" x14ac:dyDescent="0.25">
      <c r="A129" s="21" t="s">
        <v>55</v>
      </c>
      <c r="B129" s="25" t="s">
        <v>340</v>
      </c>
      <c r="C129" s="23"/>
      <c r="D129" s="24"/>
      <c r="E129" s="23"/>
      <c r="F129" s="9">
        <f>F130+F131+F132+F133+F134</f>
        <v>9268204</v>
      </c>
    </row>
    <row r="130" spans="1:6" x14ac:dyDescent="0.25">
      <c r="A130" s="17" t="s">
        <v>303</v>
      </c>
      <c r="B130" s="26" t="s">
        <v>341</v>
      </c>
      <c r="C130" s="19">
        <v>10.05</v>
      </c>
      <c r="D130" s="5" t="s">
        <v>267</v>
      </c>
      <c r="E130" s="7">
        <v>124258.76</v>
      </c>
      <c r="F130" s="7">
        <v>1248800</v>
      </c>
    </row>
    <row r="131" spans="1:6" x14ac:dyDescent="0.25">
      <c r="A131" s="17" t="s">
        <v>305</v>
      </c>
      <c r="B131" s="26" t="s">
        <v>342</v>
      </c>
      <c r="C131" s="19">
        <v>10.05</v>
      </c>
      <c r="D131" s="5" t="s">
        <v>267</v>
      </c>
      <c r="E131" s="7">
        <v>53756.99</v>
      </c>
      <c r="F131" s="7">
        <v>540258</v>
      </c>
    </row>
    <row r="132" spans="1:6" x14ac:dyDescent="0.25">
      <c r="A132" s="17" t="s">
        <v>306</v>
      </c>
      <c r="B132" s="26" t="s">
        <v>102</v>
      </c>
      <c r="C132" s="19">
        <v>2.79</v>
      </c>
      <c r="D132" s="5" t="s">
        <v>267</v>
      </c>
      <c r="E132" s="7">
        <v>345522.98</v>
      </c>
      <c r="F132" s="7">
        <v>964009</v>
      </c>
    </row>
    <row r="133" spans="1:6" x14ac:dyDescent="0.25">
      <c r="A133" s="17" t="s">
        <v>307</v>
      </c>
      <c r="B133" s="26" t="s">
        <v>343</v>
      </c>
      <c r="C133" s="19">
        <v>3.91</v>
      </c>
      <c r="D133" s="5" t="s">
        <v>267</v>
      </c>
      <c r="E133" s="7">
        <v>1016530.97</v>
      </c>
      <c r="F133" s="7">
        <v>3974636</v>
      </c>
    </row>
    <row r="134" spans="1:6" x14ac:dyDescent="0.25">
      <c r="A134" s="17" t="s">
        <v>309</v>
      </c>
      <c r="B134" s="26" t="s">
        <v>288</v>
      </c>
      <c r="C134" s="19">
        <v>55.81</v>
      </c>
      <c r="D134" s="5" t="s">
        <v>167</v>
      </c>
      <c r="E134" s="7">
        <v>45520.53</v>
      </c>
      <c r="F134" s="7">
        <v>2540501</v>
      </c>
    </row>
    <row r="135" spans="1:6" s="20" customFormat="1" x14ac:dyDescent="0.25">
      <c r="A135" s="21" t="s">
        <v>57</v>
      </c>
      <c r="B135" s="25" t="s">
        <v>344</v>
      </c>
      <c r="C135" s="23"/>
      <c r="D135" s="24"/>
      <c r="E135" s="23"/>
      <c r="F135" s="9">
        <f>F136+F137+F138+F139</f>
        <v>2501131</v>
      </c>
    </row>
    <row r="136" spans="1:6" x14ac:dyDescent="0.25">
      <c r="A136" s="17" t="s">
        <v>314</v>
      </c>
      <c r="B136" s="26" t="s">
        <v>345</v>
      </c>
      <c r="C136" s="19">
        <v>6.4</v>
      </c>
      <c r="D136" s="5" t="s">
        <v>167</v>
      </c>
      <c r="E136" s="7">
        <v>208190.98</v>
      </c>
      <c r="F136" s="7">
        <v>1332422</v>
      </c>
    </row>
    <row r="137" spans="1:6" x14ac:dyDescent="0.25">
      <c r="A137" s="17" t="s">
        <v>316</v>
      </c>
      <c r="B137" s="26" t="s">
        <v>346</v>
      </c>
      <c r="C137" s="19">
        <v>41.43</v>
      </c>
      <c r="D137" s="5" t="s">
        <v>276</v>
      </c>
      <c r="E137" s="7">
        <v>13176.23</v>
      </c>
      <c r="F137" s="7">
        <v>545891</v>
      </c>
    </row>
    <row r="138" spans="1:6" x14ac:dyDescent="0.25">
      <c r="A138" s="17" t="s">
        <v>318</v>
      </c>
      <c r="B138" s="26" t="s">
        <v>347</v>
      </c>
      <c r="C138" s="19">
        <v>12.31</v>
      </c>
      <c r="D138" s="5" t="s">
        <v>276</v>
      </c>
      <c r="E138" s="7">
        <v>13176.23</v>
      </c>
      <c r="F138" s="7">
        <v>162200</v>
      </c>
    </row>
    <row r="139" spans="1:6" x14ac:dyDescent="0.25">
      <c r="A139" s="17" t="s">
        <v>320</v>
      </c>
      <c r="B139" s="26" t="s">
        <v>348</v>
      </c>
      <c r="C139" s="19">
        <v>0.4</v>
      </c>
      <c r="D139" s="5" t="s">
        <v>267</v>
      </c>
      <c r="E139" s="7">
        <v>1151545.01</v>
      </c>
      <c r="F139" s="7">
        <v>460618</v>
      </c>
    </row>
    <row r="140" spans="1:6" s="20" customFormat="1" x14ac:dyDescent="0.25">
      <c r="A140" s="21" t="s">
        <v>59</v>
      </c>
      <c r="B140" s="25" t="s">
        <v>349</v>
      </c>
      <c r="C140" s="23"/>
      <c r="D140" s="24"/>
      <c r="E140" s="23"/>
      <c r="F140" s="9">
        <f>F141+F142+F143+F144</f>
        <v>10761217</v>
      </c>
    </row>
    <row r="141" spans="1:6" x14ac:dyDescent="0.25">
      <c r="A141" s="17" t="s">
        <v>350</v>
      </c>
      <c r="B141" s="26" t="s">
        <v>345</v>
      </c>
      <c r="C141" s="19">
        <v>28.64</v>
      </c>
      <c r="D141" s="5" t="s">
        <v>167</v>
      </c>
      <c r="E141" s="7">
        <v>208190.98</v>
      </c>
      <c r="F141" s="7">
        <v>5962590</v>
      </c>
    </row>
    <row r="142" spans="1:6" x14ac:dyDescent="0.25">
      <c r="A142" s="17" t="s">
        <v>351</v>
      </c>
      <c r="B142" s="26" t="s">
        <v>346</v>
      </c>
      <c r="C142" s="19">
        <v>151.12</v>
      </c>
      <c r="D142" s="5" t="s">
        <v>276</v>
      </c>
      <c r="E142" s="7">
        <v>13176.23</v>
      </c>
      <c r="F142" s="7">
        <v>1991192</v>
      </c>
    </row>
    <row r="143" spans="1:6" x14ac:dyDescent="0.25">
      <c r="A143" s="17" t="s">
        <v>352</v>
      </c>
      <c r="B143" s="26" t="s">
        <v>347</v>
      </c>
      <c r="C143" s="19">
        <v>56.63</v>
      </c>
      <c r="D143" s="5" t="s">
        <v>276</v>
      </c>
      <c r="E143" s="7">
        <v>13176.23</v>
      </c>
      <c r="F143" s="7">
        <v>746170</v>
      </c>
    </row>
    <row r="144" spans="1:6" x14ac:dyDescent="0.25">
      <c r="A144" s="17" t="s">
        <v>353</v>
      </c>
      <c r="B144" s="26" t="s">
        <v>329</v>
      </c>
      <c r="C144" s="19">
        <v>1.79</v>
      </c>
      <c r="D144" s="5" t="s">
        <v>267</v>
      </c>
      <c r="E144" s="7">
        <v>1151545.01</v>
      </c>
      <c r="F144" s="7">
        <v>2061265</v>
      </c>
    </row>
    <row r="145" spans="1:6" s="20" customFormat="1" x14ac:dyDescent="0.25">
      <c r="A145" s="21" t="s">
        <v>61</v>
      </c>
      <c r="B145" s="25" t="s">
        <v>354</v>
      </c>
      <c r="C145" s="23"/>
      <c r="D145" s="24"/>
      <c r="E145" s="23"/>
      <c r="F145" s="9">
        <f>F146+F147+F148+F149</f>
        <v>8654401</v>
      </c>
    </row>
    <row r="146" spans="1:6" x14ac:dyDescent="0.25">
      <c r="A146" s="17" t="s">
        <v>355</v>
      </c>
      <c r="B146" s="26" t="s">
        <v>356</v>
      </c>
      <c r="C146" s="19">
        <v>15.3</v>
      </c>
      <c r="D146" s="5" t="s">
        <v>167</v>
      </c>
      <c r="E146" s="7">
        <v>214925.5</v>
      </c>
      <c r="F146" s="7">
        <v>3288360</v>
      </c>
    </row>
    <row r="147" spans="1:6" x14ac:dyDescent="0.25">
      <c r="A147" s="17" t="s">
        <v>357</v>
      </c>
      <c r="B147" s="26" t="s">
        <v>338</v>
      </c>
      <c r="C147" s="19">
        <v>104.81</v>
      </c>
      <c r="D147" s="5" t="s">
        <v>276</v>
      </c>
      <c r="E147" s="7">
        <v>13176.23</v>
      </c>
      <c r="F147" s="7">
        <v>1381001</v>
      </c>
    </row>
    <row r="148" spans="1:6" x14ac:dyDescent="0.25">
      <c r="A148" s="17" t="s">
        <v>358</v>
      </c>
      <c r="B148" s="26" t="s">
        <v>339</v>
      </c>
      <c r="C148" s="19">
        <v>94.44</v>
      </c>
      <c r="D148" s="5" t="s">
        <v>276</v>
      </c>
      <c r="E148" s="7">
        <v>13176.23</v>
      </c>
      <c r="F148" s="7">
        <v>1244363</v>
      </c>
    </row>
    <row r="149" spans="1:6" x14ac:dyDescent="0.25">
      <c r="A149" s="17" t="s">
        <v>359</v>
      </c>
      <c r="B149" s="26" t="s">
        <v>329</v>
      </c>
      <c r="C149" s="19">
        <v>2.38</v>
      </c>
      <c r="D149" s="5" t="s">
        <v>267</v>
      </c>
      <c r="E149" s="7">
        <v>1151545.01</v>
      </c>
      <c r="F149" s="7">
        <v>2740677</v>
      </c>
    </row>
    <row r="150" spans="1:6" s="20" customFormat="1" x14ac:dyDescent="0.25">
      <c r="A150" s="21" t="s">
        <v>63</v>
      </c>
      <c r="B150" s="25" t="s">
        <v>360</v>
      </c>
      <c r="C150" s="23"/>
      <c r="D150" s="24"/>
      <c r="E150" s="23"/>
      <c r="F150" s="9">
        <f>F151+F152+F153+F154</f>
        <v>3512631</v>
      </c>
    </row>
    <row r="151" spans="1:6" x14ac:dyDescent="0.25">
      <c r="A151" s="17" t="s">
        <v>238</v>
      </c>
      <c r="B151" s="26" t="s">
        <v>356</v>
      </c>
      <c r="C151" s="19">
        <v>9</v>
      </c>
      <c r="D151" s="5" t="s">
        <v>167</v>
      </c>
      <c r="E151" s="7">
        <v>214925.5</v>
      </c>
      <c r="F151" s="7">
        <v>1934330</v>
      </c>
    </row>
    <row r="152" spans="1:6" x14ac:dyDescent="0.25">
      <c r="A152" s="17" t="s">
        <v>241</v>
      </c>
      <c r="B152" s="26" t="s">
        <v>338</v>
      </c>
      <c r="C152" s="19">
        <v>30.83</v>
      </c>
      <c r="D152" s="5" t="s">
        <v>276</v>
      </c>
      <c r="E152" s="7">
        <v>13176.23</v>
      </c>
      <c r="F152" s="7">
        <v>406223</v>
      </c>
    </row>
    <row r="153" spans="1:6" x14ac:dyDescent="0.25">
      <c r="A153" s="17" t="s">
        <v>243</v>
      </c>
      <c r="B153" s="26" t="s">
        <v>339</v>
      </c>
      <c r="C153" s="19">
        <v>27.777</v>
      </c>
      <c r="D153" s="5" t="s">
        <v>276</v>
      </c>
      <c r="E153" s="7">
        <v>13176.23</v>
      </c>
      <c r="F153" s="7">
        <v>365996</v>
      </c>
    </row>
    <row r="154" spans="1:6" x14ac:dyDescent="0.25">
      <c r="A154" s="17" t="s">
        <v>245</v>
      </c>
      <c r="B154" s="26" t="s">
        <v>329</v>
      </c>
      <c r="C154" s="19">
        <v>0.7</v>
      </c>
      <c r="D154" s="5" t="s">
        <v>267</v>
      </c>
      <c r="E154" s="7">
        <v>1151545.01</v>
      </c>
      <c r="F154" s="7">
        <v>806082</v>
      </c>
    </row>
    <row r="155" spans="1:6" s="20" customFormat="1" x14ac:dyDescent="0.25">
      <c r="A155" s="21" t="s">
        <v>65</v>
      </c>
      <c r="B155" s="25" t="s">
        <v>361</v>
      </c>
      <c r="C155" s="23"/>
      <c r="D155" s="24"/>
      <c r="E155" s="23"/>
      <c r="F155" s="9">
        <f>F156+F157+F158+F159</f>
        <v>703564</v>
      </c>
    </row>
    <row r="156" spans="1:6" x14ac:dyDescent="0.25">
      <c r="A156" s="17" t="s">
        <v>253</v>
      </c>
      <c r="B156" s="26" t="s">
        <v>356</v>
      </c>
      <c r="C156" s="19">
        <v>1.8</v>
      </c>
      <c r="D156" s="5" t="s">
        <v>167</v>
      </c>
      <c r="E156" s="7">
        <v>214925.5</v>
      </c>
      <c r="F156" s="7">
        <v>386866</v>
      </c>
    </row>
    <row r="157" spans="1:6" x14ac:dyDescent="0.25">
      <c r="A157" s="17" t="s">
        <v>255</v>
      </c>
      <c r="B157" s="26" t="s">
        <v>362</v>
      </c>
      <c r="C157" s="19">
        <v>9.86</v>
      </c>
      <c r="D157" s="5" t="s">
        <v>276</v>
      </c>
      <c r="E157" s="7">
        <v>13176.23</v>
      </c>
      <c r="F157" s="7">
        <v>129917</v>
      </c>
    </row>
    <row r="158" spans="1:6" x14ac:dyDescent="0.25">
      <c r="A158" s="17" t="s">
        <v>363</v>
      </c>
      <c r="B158" s="26" t="s">
        <v>339</v>
      </c>
      <c r="C158" s="19">
        <v>6.31</v>
      </c>
      <c r="D158" s="5" t="s">
        <v>276</v>
      </c>
      <c r="E158" s="7">
        <v>13176.23</v>
      </c>
      <c r="F158" s="7">
        <v>83142</v>
      </c>
    </row>
    <row r="159" spans="1:6" x14ac:dyDescent="0.25">
      <c r="A159" s="17" t="s">
        <v>364</v>
      </c>
      <c r="B159" s="26" t="s">
        <v>329</v>
      </c>
      <c r="C159" s="19">
        <v>0.09</v>
      </c>
      <c r="D159" s="5" t="s">
        <v>267</v>
      </c>
      <c r="E159" s="7">
        <v>1151545.01</v>
      </c>
      <c r="F159" s="7">
        <v>103639</v>
      </c>
    </row>
    <row r="160" spans="1:6" s="20" customFormat="1" x14ac:dyDescent="0.25">
      <c r="A160" s="21" t="s">
        <v>67</v>
      </c>
      <c r="B160" s="25" t="s">
        <v>365</v>
      </c>
      <c r="C160" s="23"/>
      <c r="D160" s="24"/>
      <c r="E160" s="23"/>
      <c r="F160" s="9">
        <f>F161+F166</f>
        <v>6157736</v>
      </c>
    </row>
    <row r="161" spans="1:6" s="20" customFormat="1" x14ac:dyDescent="0.25">
      <c r="A161" s="21" t="s">
        <v>366</v>
      </c>
      <c r="B161" s="28" t="s">
        <v>367</v>
      </c>
      <c r="C161" s="23"/>
      <c r="D161" s="24"/>
      <c r="E161" s="23"/>
      <c r="F161" s="9">
        <f>F162+F163+F164+F165</f>
        <v>4736768</v>
      </c>
    </row>
    <row r="162" spans="1:6" x14ac:dyDescent="0.25">
      <c r="A162" s="17" t="s">
        <v>368</v>
      </c>
      <c r="B162" s="29" t="s">
        <v>356</v>
      </c>
      <c r="C162" s="19">
        <v>12.35</v>
      </c>
      <c r="D162" s="5" t="s">
        <v>167</v>
      </c>
      <c r="E162" s="7">
        <v>214925.5</v>
      </c>
      <c r="F162" s="7">
        <v>2654330</v>
      </c>
    </row>
    <row r="163" spans="1:6" x14ac:dyDescent="0.25">
      <c r="A163" s="17" t="s">
        <v>369</v>
      </c>
      <c r="B163" s="29" t="s">
        <v>370</v>
      </c>
      <c r="C163" s="19">
        <v>57.82</v>
      </c>
      <c r="D163" s="5" t="s">
        <v>276</v>
      </c>
      <c r="E163" s="7">
        <v>13176.23</v>
      </c>
      <c r="F163" s="7">
        <v>761850</v>
      </c>
    </row>
    <row r="164" spans="1:6" x14ac:dyDescent="0.25">
      <c r="A164" s="17" t="s">
        <v>371</v>
      </c>
      <c r="B164" s="29" t="s">
        <v>372</v>
      </c>
      <c r="C164" s="19">
        <v>41.67</v>
      </c>
      <c r="D164" s="5" t="s">
        <v>276</v>
      </c>
      <c r="E164" s="7">
        <v>13176.23</v>
      </c>
      <c r="F164" s="7">
        <v>549053</v>
      </c>
    </row>
    <row r="165" spans="1:6" x14ac:dyDescent="0.25">
      <c r="A165" s="17" t="s">
        <v>373</v>
      </c>
      <c r="B165" s="29" t="s">
        <v>374</v>
      </c>
      <c r="C165" s="19">
        <v>0.67</v>
      </c>
      <c r="D165" s="5" t="s">
        <v>267</v>
      </c>
      <c r="E165" s="7">
        <v>1151545.01</v>
      </c>
      <c r="F165" s="7">
        <v>771535</v>
      </c>
    </row>
    <row r="166" spans="1:6" s="20" customFormat="1" x14ac:dyDescent="0.25">
      <c r="A166" s="21" t="s">
        <v>375</v>
      </c>
      <c r="B166" s="28" t="s">
        <v>376</v>
      </c>
      <c r="C166" s="23"/>
      <c r="D166" s="24"/>
      <c r="E166" s="23"/>
      <c r="F166" s="9">
        <f>F167+F168+F169+F170</f>
        <v>1420968</v>
      </c>
    </row>
    <row r="167" spans="1:6" x14ac:dyDescent="0.25">
      <c r="A167" s="17" t="s">
        <v>377</v>
      </c>
      <c r="B167" s="29" t="s">
        <v>345</v>
      </c>
      <c r="C167" s="19">
        <v>4.2</v>
      </c>
      <c r="D167" s="5" t="s">
        <v>167</v>
      </c>
      <c r="E167" s="7">
        <v>208190.98</v>
      </c>
      <c r="F167" s="7">
        <v>874402</v>
      </c>
    </row>
    <row r="168" spans="1:6" x14ac:dyDescent="0.25">
      <c r="A168" s="17" t="s">
        <v>378</v>
      </c>
      <c r="B168" s="29" t="s">
        <v>362</v>
      </c>
      <c r="C168" s="19">
        <v>16.28</v>
      </c>
      <c r="D168" s="5" t="s">
        <v>276</v>
      </c>
      <c r="E168" s="7">
        <v>13176.23</v>
      </c>
      <c r="F168" s="7">
        <v>214509</v>
      </c>
    </row>
    <row r="169" spans="1:6" x14ac:dyDescent="0.25">
      <c r="A169" s="17" t="s">
        <v>379</v>
      </c>
      <c r="B169" s="29" t="s">
        <v>372</v>
      </c>
      <c r="C169" s="19">
        <v>9.47</v>
      </c>
      <c r="D169" s="5" t="s">
        <v>276</v>
      </c>
      <c r="E169" s="7">
        <v>13176.23</v>
      </c>
      <c r="F169" s="7">
        <v>124779</v>
      </c>
    </row>
    <row r="170" spans="1:6" x14ac:dyDescent="0.25">
      <c r="A170" s="17" t="s">
        <v>380</v>
      </c>
      <c r="B170" s="29" t="s">
        <v>374</v>
      </c>
      <c r="C170" s="19">
        <v>0.18</v>
      </c>
      <c r="D170" s="5" t="s">
        <v>267</v>
      </c>
      <c r="E170" s="7">
        <v>1151545.01</v>
      </c>
      <c r="F170" s="7">
        <v>207278</v>
      </c>
    </row>
    <row r="171" spans="1:6" s="20" customFormat="1" x14ac:dyDescent="0.25">
      <c r="A171" s="21" t="s">
        <v>86</v>
      </c>
      <c r="B171" s="22" t="s">
        <v>87</v>
      </c>
      <c r="C171" s="23"/>
      <c r="D171" s="24"/>
      <c r="E171" s="23"/>
      <c r="F171" s="9">
        <f>F172+F173+F174+F175+F176+F177+F185+F190+F191+F192+F193+F194+F195+F196+F197</f>
        <v>127415915</v>
      </c>
    </row>
    <row r="172" spans="1:6" x14ac:dyDescent="0.25">
      <c r="A172" s="17" t="s">
        <v>45</v>
      </c>
      <c r="B172" s="27" t="s">
        <v>381</v>
      </c>
      <c r="C172" s="19">
        <v>3.2</v>
      </c>
      <c r="D172" s="5" t="s">
        <v>167</v>
      </c>
      <c r="E172" s="7">
        <v>122466.89</v>
      </c>
      <c r="F172" s="7">
        <v>391894</v>
      </c>
    </row>
    <row r="173" spans="1:6" x14ac:dyDescent="0.25">
      <c r="A173" s="17" t="s">
        <v>47</v>
      </c>
      <c r="B173" s="27" t="s">
        <v>158</v>
      </c>
      <c r="C173" s="19">
        <v>6.4</v>
      </c>
      <c r="D173" s="5" t="s">
        <v>167</v>
      </c>
      <c r="E173" s="7">
        <v>54647.67</v>
      </c>
      <c r="F173" s="7">
        <v>349745</v>
      </c>
    </row>
    <row r="174" spans="1:6" x14ac:dyDescent="0.25">
      <c r="A174" s="17" t="s">
        <v>49</v>
      </c>
      <c r="B174" s="27" t="s">
        <v>288</v>
      </c>
      <c r="C174" s="19">
        <v>6.4</v>
      </c>
      <c r="D174" s="5" t="s">
        <v>167</v>
      </c>
      <c r="E174" s="7">
        <v>45520.53</v>
      </c>
      <c r="F174" s="7">
        <v>291331</v>
      </c>
    </row>
    <row r="175" spans="1:6" x14ac:dyDescent="0.25">
      <c r="A175" s="17" t="s">
        <v>51</v>
      </c>
      <c r="B175" s="27" t="s">
        <v>382</v>
      </c>
      <c r="C175" s="19">
        <v>135.96</v>
      </c>
      <c r="D175" s="5" t="s">
        <v>167</v>
      </c>
      <c r="E175" s="7">
        <v>45520.53</v>
      </c>
      <c r="F175" s="7">
        <v>6188971</v>
      </c>
    </row>
    <row r="176" spans="1:6" x14ac:dyDescent="0.25">
      <c r="A176" s="17" t="s">
        <v>53</v>
      </c>
      <c r="B176" s="27" t="s">
        <v>383</v>
      </c>
      <c r="C176" s="19">
        <v>13.11</v>
      </c>
      <c r="D176" s="5" t="s">
        <v>167</v>
      </c>
      <c r="E176" s="7">
        <v>56201.8</v>
      </c>
      <c r="F176" s="7">
        <v>736806</v>
      </c>
    </row>
    <row r="177" spans="1:6" s="20" customFormat="1" x14ac:dyDescent="0.25">
      <c r="A177" s="21" t="s">
        <v>55</v>
      </c>
      <c r="B177" s="25" t="s">
        <v>384</v>
      </c>
      <c r="C177" s="23"/>
      <c r="D177" s="24"/>
      <c r="E177" s="23"/>
      <c r="F177" s="9">
        <f>F178+F179+F180+F181+F182+F183+F184</f>
        <v>8615677</v>
      </c>
    </row>
    <row r="178" spans="1:6" x14ac:dyDescent="0.25">
      <c r="A178" s="17" t="s">
        <v>303</v>
      </c>
      <c r="B178" s="26" t="s">
        <v>385</v>
      </c>
      <c r="C178" s="19">
        <v>1.86</v>
      </c>
      <c r="D178" s="5" t="s">
        <v>267</v>
      </c>
      <c r="E178" s="7">
        <v>56660.36</v>
      </c>
      <c r="F178" s="7">
        <v>105388</v>
      </c>
    </row>
    <row r="179" spans="1:6" x14ac:dyDescent="0.25">
      <c r="A179" s="17" t="s">
        <v>305</v>
      </c>
      <c r="B179" s="26" t="s">
        <v>386</v>
      </c>
      <c r="C179" s="19">
        <v>32.89</v>
      </c>
      <c r="D179" s="5" t="s">
        <v>167</v>
      </c>
      <c r="E179" s="7">
        <v>122466.89</v>
      </c>
      <c r="F179" s="7">
        <v>4027936</v>
      </c>
    </row>
    <row r="180" spans="1:6" x14ac:dyDescent="0.25">
      <c r="A180" s="17" t="s">
        <v>306</v>
      </c>
      <c r="B180" s="26" t="s">
        <v>387</v>
      </c>
      <c r="C180" s="19">
        <v>2.88</v>
      </c>
      <c r="D180" s="5" t="s">
        <v>267</v>
      </c>
      <c r="E180" s="7">
        <v>124258.76</v>
      </c>
      <c r="F180" s="7">
        <v>357865</v>
      </c>
    </row>
    <row r="181" spans="1:6" x14ac:dyDescent="0.25">
      <c r="A181" s="17" t="s">
        <v>307</v>
      </c>
      <c r="B181" s="26" t="s">
        <v>388</v>
      </c>
      <c r="C181" s="19">
        <v>0.7</v>
      </c>
      <c r="D181" s="5" t="s">
        <v>267</v>
      </c>
      <c r="E181" s="7">
        <v>345522.98</v>
      </c>
      <c r="F181" s="7">
        <v>241866</v>
      </c>
    </row>
    <row r="182" spans="1:6" x14ac:dyDescent="0.25">
      <c r="A182" s="17" t="s">
        <v>309</v>
      </c>
      <c r="B182" s="26" t="s">
        <v>343</v>
      </c>
      <c r="C182" s="19">
        <v>1.63</v>
      </c>
      <c r="D182" s="5" t="s">
        <v>267</v>
      </c>
      <c r="E182" s="7">
        <v>1016530.97</v>
      </c>
      <c r="F182" s="7">
        <v>1656946</v>
      </c>
    </row>
    <row r="183" spans="1:6" x14ac:dyDescent="0.25">
      <c r="A183" s="17" t="s">
        <v>311</v>
      </c>
      <c r="B183" s="26" t="s">
        <v>389</v>
      </c>
      <c r="C183" s="19">
        <v>11.64</v>
      </c>
      <c r="D183" s="5" t="s">
        <v>167</v>
      </c>
      <c r="E183" s="7">
        <v>54647.67</v>
      </c>
      <c r="F183" s="7">
        <v>636099</v>
      </c>
    </row>
    <row r="184" spans="1:6" x14ac:dyDescent="0.25">
      <c r="A184" s="17" t="s">
        <v>312</v>
      </c>
      <c r="B184" s="26" t="s">
        <v>288</v>
      </c>
      <c r="C184" s="19">
        <v>34.92</v>
      </c>
      <c r="D184" s="5" t="s">
        <v>167</v>
      </c>
      <c r="E184" s="7">
        <v>45520.53</v>
      </c>
      <c r="F184" s="7">
        <v>1589577</v>
      </c>
    </row>
    <row r="185" spans="1:6" s="20" customFormat="1" x14ac:dyDescent="0.25">
      <c r="A185" s="21" t="s">
        <v>57</v>
      </c>
      <c r="B185" s="25" t="s">
        <v>390</v>
      </c>
      <c r="C185" s="23"/>
      <c r="D185" s="24"/>
      <c r="E185" s="23"/>
      <c r="F185" s="9">
        <f>F186+F187+F188+F189</f>
        <v>52494634</v>
      </c>
    </row>
    <row r="186" spans="1:6" x14ac:dyDescent="0.25">
      <c r="A186" s="17" t="s">
        <v>314</v>
      </c>
      <c r="B186" s="26" t="s">
        <v>391</v>
      </c>
      <c r="C186" s="19">
        <v>90.61</v>
      </c>
      <c r="D186" s="5" t="s">
        <v>167</v>
      </c>
      <c r="E186" s="7">
        <v>342098.29</v>
      </c>
      <c r="F186" s="7">
        <v>30997526</v>
      </c>
    </row>
    <row r="187" spans="1:6" x14ac:dyDescent="0.25">
      <c r="A187" s="17" t="s">
        <v>316</v>
      </c>
      <c r="B187" s="26" t="s">
        <v>392</v>
      </c>
      <c r="C187" s="19">
        <v>283</v>
      </c>
      <c r="D187" s="5" t="s">
        <v>170</v>
      </c>
      <c r="E187" s="7">
        <v>19268.19</v>
      </c>
      <c r="F187" s="7">
        <v>5452898</v>
      </c>
    </row>
    <row r="188" spans="1:6" x14ac:dyDescent="0.25">
      <c r="A188" s="17" t="s">
        <v>318</v>
      </c>
      <c r="B188" s="26" t="s">
        <v>393</v>
      </c>
      <c r="C188" s="19">
        <v>132.867</v>
      </c>
      <c r="D188" s="5" t="s">
        <v>167</v>
      </c>
      <c r="E188" s="7">
        <v>110928.31</v>
      </c>
      <c r="F188" s="7">
        <v>14738712</v>
      </c>
    </row>
    <row r="189" spans="1:6" x14ac:dyDescent="0.25">
      <c r="A189" s="17" t="s">
        <v>320</v>
      </c>
      <c r="B189" s="26" t="s">
        <v>394</v>
      </c>
      <c r="C189" s="19">
        <v>14.25</v>
      </c>
      <c r="D189" s="5" t="s">
        <v>170</v>
      </c>
      <c r="E189" s="7">
        <v>91613.93</v>
      </c>
      <c r="F189" s="7">
        <v>1305498</v>
      </c>
    </row>
    <row r="190" spans="1:6" x14ac:dyDescent="0.25">
      <c r="A190" s="17" t="s">
        <v>59</v>
      </c>
      <c r="B190" s="27" t="s">
        <v>395</v>
      </c>
      <c r="C190" s="19">
        <v>98.3</v>
      </c>
      <c r="D190" s="5" t="s">
        <v>167</v>
      </c>
      <c r="E190" s="7">
        <v>241006.97</v>
      </c>
      <c r="F190" s="7">
        <v>23690985</v>
      </c>
    </row>
    <row r="191" spans="1:6" x14ac:dyDescent="0.25">
      <c r="A191" s="17" t="s">
        <v>61</v>
      </c>
      <c r="B191" s="27" t="s">
        <v>396</v>
      </c>
      <c r="C191" s="19">
        <v>19.36</v>
      </c>
      <c r="D191" s="5" t="s">
        <v>167</v>
      </c>
      <c r="E191" s="7">
        <v>246252.65</v>
      </c>
      <c r="F191" s="7">
        <v>4767451</v>
      </c>
    </row>
    <row r="192" spans="1:6" x14ac:dyDescent="0.25">
      <c r="A192" s="17" t="s">
        <v>63</v>
      </c>
      <c r="B192" s="27" t="s">
        <v>397</v>
      </c>
      <c r="C192" s="19">
        <v>155.47</v>
      </c>
      <c r="D192" s="5" t="s">
        <v>167</v>
      </c>
      <c r="E192" s="7">
        <v>95000</v>
      </c>
      <c r="F192" s="7">
        <v>14769650</v>
      </c>
    </row>
    <row r="193" spans="1:6" x14ac:dyDescent="0.25">
      <c r="A193" s="17" t="s">
        <v>65</v>
      </c>
      <c r="B193" s="27" t="s">
        <v>398</v>
      </c>
      <c r="C193" s="19">
        <v>98.3</v>
      </c>
      <c r="D193" s="5" t="s">
        <v>167</v>
      </c>
      <c r="E193" s="7">
        <v>35591.98</v>
      </c>
      <c r="F193" s="7">
        <v>3498692</v>
      </c>
    </row>
    <row r="194" spans="1:6" x14ac:dyDescent="0.25">
      <c r="A194" s="17" t="s">
        <v>67</v>
      </c>
      <c r="B194" s="27" t="s">
        <v>399</v>
      </c>
      <c r="C194" s="19">
        <v>37.42</v>
      </c>
      <c r="D194" s="5" t="s">
        <v>170</v>
      </c>
      <c r="E194" s="7">
        <v>214927.86</v>
      </c>
      <c r="F194" s="7">
        <v>8042601</v>
      </c>
    </row>
    <row r="195" spans="1:6" x14ac:dyDescent="0.25">
      <c r="A195" s="17" t="s">
        <v>69</v>
      </c>
      <c r="B195" s="27" t="s">
        <v>400</v>
      </c>
      <c r="C195" s="19">
        <v>11.23</v>
      </c>
      <c r="D195" s="5" t="s">
        <v>167</v>
      </c>
      <c r="E195" s="7">
        <v>99462.99</v>
      </c>
      <c r="F195" s="7">
        <v>1116969</v>
      </c>
    </row>
    <row r="196" spans="1:6" x14ac:dyDescent="0.25">
      <c r="A196" s="17" t="s">
        <v>71</v>
      </c>
      <c r="B196" s="27" t="s">
        <v>401</v>
      </c>
      <c r="C196" s="19">
        <v>1</v>
      </c>
      <c r="D196" s="5" t="s">
        <v>240</v>
      </c>
      <c r="E196" s="7">
        <v>386714.63</v>
      </c>
      <c r="F196" s="7">
        <v>386715</v>
      </c>
    </row>
    <row r="197" spans="1:6" x14ac:dyDescent="0.25">
      <c r="A197" s="17" t="s">
        <v>73</v>
      </c>
      <c r="B197" s="27" t="s">
        <v>402</v>
      </c>
      <c r="C197" s="19">
        <v>21</v>
      </c>
      <c r="D197" s="5" t="s">
        <v>169</v>
      </c>
      <c r="E197" s="7">
        <v>98752.1</v>
      </c>
      <c r="F197" s="7">
        <v>2073794</v>
      </c>
    </row>
    <row r="198" spans="1:6" s="20" customFormat="1" x14ac:dyDescent="0.25">
      <c r="A198" s="21" t="s">
        <v>88</v>
      </c>
      <c r="B198" s="22" t="s">
        <v>89</v>
      </c>
      <c r="C198" s="23"/>
      <c r="D198" s="24"/>
      <c r="E198" s="23"/>
      <c r="F198" s="9">
        <f>F199+F200+F201+F202+F203+F204</f>
        <v>14352765</v>
      </c>
    </row>
    <row r="199" spans="1:6" x14ac:dyDescent="0.25">
      <c r="A199" s="17" t="s">
        <v>45</v>
      </c>
      <c r="B199" s="27" t="s">
        <v>403</v>
      </c>
      <c r="C199" s="19">
        <v>12</v>
      </c>
      <c r="D199" s="5" t="s">
        <v>237</v>
      </c>
      <c r="E199" s="7">
        <v>424608.39</v>
      </c>
      <c r="F199" s="7">
        <v>5095301</v>
      </c>
    </row>
    <row r="200" spans="1:6" x14ac:dyDescent="0.25">
      <c r="A200" s="17" t="s">
        <v>47</v>
      </c>
      <c r="B200" s="27" t="s">
        <v>404</v>
      </c>
      <c r="C200" s="19">
        <v>8</v>
      </c>
      <c r="D200" s="5" t="s">
        <v>237</v>
      </c>
      <c r="E200" s="7">
        <v>534274.39</v>
      </c>
      <c r="F200" s="7">
        <v>4274195</v>
      </c>
    </row>
    <row r="201" spans="1:6" x14ac:dyDescent="0.25">
      <c r="A201" s="17" t="s">
        <v>49</v>
      </c>
      <c r="B201" s="27" t="s">
        <v>405</v>
      </c>
      <c r="C201" s="19">
        <v>1</v>
      </c>
      <c r="D201" s="5" t="s">
        <v>169</v>
      </c>
      <c r="E201" s="7">
        <v>66848.01</v>
      </c>
      <c r="F201" s="7">
        <v>66848</v>
      </c>
    </row>
    <row r="202" spans="1:6" x14ac:dyDescent="0.25">
      <c r="A202" s="17" t="s">
        <v>51</v>
      </c>
      <c r="B202" s="27" t="s">
        <v>406</v>
      </c>
      <c r="C202" s="19">
        <v>8</v>
      </c>
      <c r="D202" s="5" t="s">
        <v>169</v>
      </c>
      <c r="E202" s="7">
        <v>55282.67</v>
      </c>
      <c r="F202" s="7">
        <v>442261</v>
      </c>
    </row>
    <row r="203" spans="1:6" x14ac:dyDescent="0.25">
      <c r="A203" s="17" t="s">
        <v>53</v>
      </c>
      <c r="B203" s="27" t="s">
        <v>407</v>
      </c>
      <c r="C203" s="19">
        <v>12</v>
      </c>
      <c r="D203" s="5" t="s">
        <v>169</v>
      </c>
      <c r="E203" s="7">
        <v>160506.41</v>
      </c>
      <c r="F203" s="7">
        <v>1926077</v>
      </c>
    </row>
    <row r="204" spans="1:6" x14ac:dyDescent="0.25">
      <c r="A204" s="17" t="s">
        <v>55</v>
      </c>
      <c r="B204" s="27" t="s">
        <v>408</v>
      </c>
      <c r="C204" s="19">
        <v>1</v>
      </c>
      <c r="D204" s="5" t="s">
        <v>240</v>
      </c>
      <c r="E204" s="7">
        <v>2548083.11</v>
      </c>
      <c r="F204" s="7">
        <v>2548083</v>
      </c>
    </row>
    <row r="205" spans="1:6" s="10" customFormat="1" x14ac:dyDescent="0.25">
      <c r="A205" s="15" t="s">
        <v>12</v>
      </c>
      <c r="B205" s="16" t="s">
        <v>13</v>
      </c>
      <c r="C205" s="12"/>
      <c r="D205" s="11"/>
      <c r="E205" s="12"/>
      <c r="F205" s="14">
        <f>F206</f>
        <v>221281232</v>
      </c>
    </row>
    <row r="206" spans="1:6" s="20" customFormat="1" x14ac:dyDescent="0.25">
      <c r="A206" s="21" t="s">
        <v>91</v>
      </c>
      <c r="B206" s="22" t="s">
        <v>92</v>
      </c>
      <c r="C206" s="23"/>
      <c r="D206" s="24"/>
      <c r="E206" s="23"/>
      <c r="F206" s="9">
        <f>F207+F208+F217+F223+F224+F229+F234+F242+F250+F254</f>
        <v>221281232</v>
      </c>
    </row>
    <row r="207" spans="1:6" x14ac:dyDescent="0.25">
      <c r="A207" s="17" t="s">
        <v>45</v>
      </c>
      <c r="B207" s="27" t="s">
        <v>153</v>
      </c>
      <c r="C207" s="19">
        <v>48.9</v>
      </c>
      <c r="D207" s="5" t="s">
        <v>170</v>
      </c>
      <c r="E207" s="7">
        <v>147990.68</v>
      </c>
      <c r="F207" s="7">
        <v>7236744</v>
      </c>
    </row>
    <row r="208" spans="1:6" s="20" customFormat="1" x14ac:dyDescent="0.25">
      <c r="A208" s="21" t="s">
        <v>47</v>
      </c>
      <c r="B208" s="25" t="s">
        <v>409</v>
      </c>
      <c r="C208" s="23"/>
      <c r="D208" s="24"/>
      <c r="E208" s="23"/>
      <c r="F208" s="9">
        <f>F209+F210+F211+F212+F213+F214+F215+F216</f>
        <v>115413164</v>
      </c>
    </row>
    <row r="209" spans="1:6" x14ac:dyDescent="0.25">
      <c r="A209" s="17" t="s">
        <v>272</v>
      </c>
      <c r="B209" s="26" t="s">
        <v>410</v>
      </c>
      <c r="C209" s="19">
        <v>109.31</v>
      </c>
      <c r="D209" s="5" t="s">
        <v>267</v>
      </c>
      <c r="E209" s="7">
        <v>120211.9</v>
      </c>
      <c r="F209" s="7">
        <v>13140363</v>
      </c>
    </row>
    <row r="210" spans="1:6" x14ac:dyDescent="0.25">
      <c r="A210" s="17" t="s">
        <v>274</v>
      </c>
      <c r="B210" s="26" t="s">
        <v>333</v>
      </c>
      <c r="C210" s="19">
        <v>1596</v>
      </c>
      <c r="D210" s="5" t="s">
        <v>170</v>
      </c>
      <c r="E210" s="7">
        <v>25600</v>
      </c>
      <c r="F210" s="7">
        <v>40857600</v>
      </c>
    </row>
    <row r="211" spans="1:6" x14ac:dyDescent="0.25">
      <c r="A211" s="17" t="s">
        <v>277</v>
      </c>
      <c r="B211" s="26" t="s">
        <v>411</v>
      </c>
      <c r="C211" s="19">
        <v>14.58</v>
      </c>
      <c r="D211" s="5" t="s">
        <v>267</v>
      </c>
      <c r="E211" s="7">
        <v>543564.56</v>
      </c>
      <c r="F211" s="7">
        <v>7925171</v>
      </c>
    </row>
    <row r="212" spans="1:6" x14ac:dyDescent="0.25">
      <c r="A212" s="17" t="s">
        <v>279</v>
      </c>
      <c r="B212" s="26" t="s">
        <v>335</v>
      </c>
      <c r="C212" s="19">
        <v>60.29</v>
      </c>
      <c r="D212" s="5" t="s">
        <v>267</v>
      </c>
      <c r="E212" s="7">
        <v>760000</v>
      </c>
      <c r="F212" s="7">
        <v>45820400</v>
      </c>
    </row>
    <row r="213" spans="1:6" x14ac:dyDescent="0.25">
      <c r="A213" s="17" t="s">
        <v>326</v>
      </c>
      <c r="B213" s="26" t="s">
        <v>412</v>
      </c>
      <c r="C213" s="19">
        <v>36.437</v>
      </c>
      <c r="D213" s="5" t="s">
        <v>267</v>
      </c>
      <c r="E213" s="7">
        <v>66784.39</v>
      </c>
      <c r="F213" s="7">
        <v>2433401</v>
      </c>
    </row>
    <row r="214" spans="1:6" x14ac:dyDescent="0.25">
      <c r="A214" s="17" t="s">
        <v>328</v>
      </c>
      <c r="B214" s="26" t="s">
        <v>413</v>
      </c>
      <c r="C214" s="19">
        <v>36.437</v>
      </c>
      <c r="D214" s="5" t="s">
        <v>267</v>
      </c>
      <c r="E214" s="7">
        <v>53756.99</v>
      </c>
      <c r="F214" s="7">
        <v>1958725</v>
      </c>
    </row>
    <row r="215" spans="1:6" x14ac:dyDescent="0.25">
      <c r="A215" s="17" t="s">
        <v>330</v>
      </c>
      <c r="B215" s="26" t="s">
        <v>158</v>
      </c>
      <c r="C215" s="19">
        <v>32.72</v>
      </c>
      <c r="D215" s="5" t="s">
        <v>167</v>
      </c>
      <c r="E215" s="7">
        <v>54647.67</v>
      </c>
      <c r="F215" s="7">
        <v>1788072</v>
      </c>
    </row>
    <row r="216" spans="1:6" x14ac:dyDescent="0.25">
      <c r="A216" s="17" t="s">
        <v>414</v>
      </c>
      <c r="B216" s="26" t="s">
        <v>288</v>
      </c>
      <c r="C216" s="19">
        <v>32.72</v>
      </c>
      <c r="D216" s="5" t="s">
        <v>167</v>
      </c>
      <c r="E216" s="7">
        <v>45520.53</v>
      </c>
      <c r="F216" s="7">
        <v>1489432</v>
      </c>
    </row>
    <row r="217" spans="1:6" s="20" customFormat="1" x14ac:dyDescent="0.25">
      <c r="A217" s="21" t="s">
        <v>49</v>
      </c>
      <c r="B217" s="25" t="s">
        <v>415</v>
      </c>
      <c r="C217" s="23"/>
      <c r="D217" s="24"/>
      <c r="E217" s="23"/>
      <c r="F217" s="9">
        <f>F218+F219+F220+F221+F222</f>
        <v>12758550</v>
      </c>
    </row>
    <row r="218" spans="1:6" x14ac:dyDescent="0.25">
      <c r="A218" s="17" t="s">
        <v>281</v>
      </c>
      <c r="B218" s="26" t="s">
        <v>416</v>
      </c>
      <c r="C218" s="19">
        <v>2.96</v>
      </c>
      <c r="D218" s="5" t="s">
        <v>267</v>
      </c>
      <c r="E218" s="7">
        <v>56660.36</v>
      </c>
      <c r="F218" s="7">
        <v>167715</v>
      </c>
    </row>
    <row r="219" spans="1:6" x14ac:dyDescent="0.25">
      <c r="A219" s="17" t="s">
        <v>282</v>
      </c>
      <c r="B219" s="26" t="s">
        <v>333</v>
      </c>
      <c r="C219" s="19">
        <v>264</v>
      </c>
      <c r="D219" s="5" t="s">
        <v>170</v>
      </c>
      <c r="E219" s="7">
        <v>26681.29</v>
      </c>
      <c r="F219" s="7">
        <v>7043861</v>
      </c>
    </row>
    <row r="220" spans="1:6" x14ac:dyDescent="0.25">
      <c r="A220" s="17" t="s">
        <v>284</v>
      </c>
      <c r="B220" s="26" t="s">
        <v>335</v>
      </c>
      <c r="C220" s="19">
        <v>6.66</v>
      </c>
      <c r="D220" s="5" t="s">
        <v>267</v>
      </c>
      <c r="E220" s="7">
        <v>815021.06</v>
      </c>
      <c r="F220" s="7">
        <v>5428040</v>
      </c>
    </row>
    <row r="221" spans="1:6" x14ac:dyDescent="0.25">
      <c r="A221" s="17" t="s">
        <v>286</v>
      </c>
      <c r="B221" s="26" t="s">
        <v>412</v>
      </c>
      <c r="C221" s="19">
        <v>0.987</v>
      </c>
      <c r="D221" s="5" t="s">
        <v>267</v>
      </c>
      <c r="E221" s="7">
        <v>66784.39</v>
      </c>
      <c r="F221" s="7">
        <v>65894</v>
      </c>
    </row>
    <row r="222" spans="1:6" x14ac:dyDescent="0.25">
      <c r="A222" s="17" t="s">
        <v>287</v>
      </c>
      <c r="B222" s="26" t="s">
        <v>413</v>
      </c>
      <c r="C222" s="19">
        <v>0.987</v>
      </c>
      <c r="D222" s="5" t="s">
        <v>267</v>
      </c>
      <c r="E222" s="7">
        <v>53756.99</v>
      </c>
      <c r="F222" s="7">
        <v>53040</v>
      </c>
    </row>
    <row r="223" spans="1:6" x14ac:dyDescent="0.25">
      <c r="A223" s="17" t="s">
        <v>51</v>
      </c>
      <c r="B223" s="27" t="s">
        <v>336</v>
      </c>
      <c r="C223" s="19">
        <v>25.89</v>
      </c>
      <c r="D223" s="5" t="s">
        <v>276</v>
      </c>
      <c r="E223" s="7">
        <v>13176.23</v>
      </c>
      <c r="F223" s="7">
        <v>341132</v>
      </c>
    </row>
    <row r="224" spans="1:6" s="20" customFormat="1" x14ac:dyDescent="0.25">
      <c r="A224" s="21" t="s">
        <v>53</v>
      </c>
      <c r="B224" s="25" t="s">
        <v>417</v>
      </c>
      <c r="C224" s="23"/>
      <c r="D224" s="24"/>
      <c r="E224" s="23"/>
      <c r="F224" s="9">
        <f>F225+F226+F227+F228</f>
        <v>24733460</v>
      </c>
    </row>
    <row r="225" spans="1:6" x14ac:dyDescent="0.25">
      <c r="A225" s="17" t="s">
        <v>297</v>
      </c>
      <c r="B225" s="26" t="s">
        <v>292</v>
      </c>
      <c r="C225" s="19">
        <v>39.75</v>
      </c>
      <c r="D225" s="5" t="s">
        <v>167</v>
      </c>
      <c r="E225" s="7">
        <v>246976.42</v>
      </c>
      <c r="F225" s="7">
        <v>9817313</v>
      </c>
    </row>
    <row r="226" spans="1:6" x14ac:dyDescent="0.25">
      <c r="A226" s="17" t="s">
        <v>299</v>
      </c>
      <c r="B226" s="26" t="s">
        <v>418</v>
      </c>
      <c r="C226" s="19">
        <v>449.27</v>
      </c>
      <c r="D226" s="5" t="s">
        <v>276</v>
      </c>
      <c r="E226" s="7">
        <v>13176.23</v>
      </c>
      <c r="F226" s="7">
        <v>5919685</v>
      </c>
    </row>
    <row r="227" spans="1:6" x14ac:dyDescent="0.25">
      <c r="A227" s="17" t="s">
        <v>301</v>
      </c>
      <c r="B227" s="26" t="s">
        <v>419</v>
      </c>
      <c r="C227" s="19">
        <v>230.45</v>
      </c>
      <c r="D227" s="5" t="s">
        <v>276</v>
      </c>
      <c r="E227" s="7">
        <v>13176.23</v>
      </c>
      <c r="F227" s="7">
        <v>3036462</v>
      </c>
    </row>
    <row r="228" spans="1:6" x14ac:dyDescent="0.25">
      <c r="A228" s="17" t="s">
        <v>420</v>
      </c>
      <c r="B228" s="26" t="s">
        <v>329</v>
      </c>
      <c r="C228" s="19">
        <v>5.96</v>
      </c>
      <c r="D228" s="5" t="s">
        <v>267</v>
      </c>
      <c r="E228" s="7">
        <v>1000000</v>
      </c>
      <c r="F228" s="7">
        <v>5960000</v>
      </c>
    </row>
    <row r="229" spans="1:6" s="20" customFormat="1" x14ac:dyDescent="0.25">
      <c r="A229" s="21" t="s">
        <v>55</v>
      </c>
      <c r="B229" s="25" t="s">
        <v>421</v>
      </c>
      <c r="C229" s="23"/>
      <c r="D229" s="24"/>
      <c r="E229" s="23"/>
      <c r="F229" s="9">
        <f>F230+F231+F232+F233</f>
        <v>3073939</v>
      </c>
    </row>
    <row r="230" spans="1:6" x14ac:dyDescent="0.25">
      <c r="A230" s="17" t="s">
        <v>303</v>
      </c>
      <c r="B230" s="26" t="s">
        <v>292</v>
      </c>
      <c r="C230" s="19">
        <v>6.58</v>
      </c>
      <c r="D230" s="5" t="s">
        <v>167</v>
      </c>
      <c r="E230" s="7">
        <v>246976.42</v>
      </c>
      <c r="F230" s="7">
        <v>1625105</v>
      </c>
    </row>
    <row r="231" spans="1:6" x14ac:dyDescent="0.25">
      <c r="A231" s="17" t="s">
        <v>305</v>
      </c>
      <c r="B231" s="26" t="s">
        <v>418</v>
      </c>
      <c r="C231" s="19">
        <v>40.57</v>
      </c>
      <c r="D231" s="5" t="s">
        <v>276</v>
      </c>
      <c r="E231" s="7">
        <v>13176.23</v>
      </c>
      <c r="F231" s="7">
        <v>534560</v>
      </c>
    </row>
    <row r="232" spans="1:6" x14ac:dyDescent="0.25">
      <c r="A232" s="17" t="s">
        <v>306</v>
      </c>
      <c r="B232" s="26" t="s">
        <v>419</v>
      </c>
      <c r="C232" s="19">
        <v>32.2</v>
      </c>
      <c r="D232" s="5" t="s">
        <v>276</v>
      </c>
      <c r="E232" s="7">
        <v>13176.23</v>
      </c>
      <c r="F232" s="7">
        <v>424274</v>
      </c>
    </row>
    <row r="233" spans="1:6" x14ac:dyDescent="0.25">
      <c r="A233" s="17" t="s">
        <v>309</v>
      </c>
      <c r="B233" s="26" t="s">
        <v>329</v>
      </c>
      <c r="C233" s="19">
        <v>0.49</v>
      </c>
      <c r="D233" s="5" t="s">
        <v>267</v>
      </c>
      <c r="E233" s="7">
        <v>1000000</v>
      </c>
      <c r="F233" s="7">
        <v>490000</v>
      </c>
    </row>
    <row r="234" spans="1:6" s="20" customFormat="1" x14ac:dyDescent="0.25">
      <c r="A234" s="21" t="s">
        <v>57</v>
      </c>
      <c r="B234" s="25" t="s">
        <v>422</v>
      </c>
      <c r="C234" s="23"/>
      <c r="D234" s="24"/>
      <c r="E234" s="23"/>
      <c r="F234" s="9">
        <f>F235+F236+F237+F238+F239+F240+F241</f>
        <v>48786027</v>
      </c>
    </row>
    <row r="235" spans="1:6" x14ac:dyDescent="0.25">
      <c r="A235" s="17" t="s">
        <v>314</v>
      </c>
      <c r="B235" s="26" t="s">
        <v>412</v>
      </c>
      <c r="C235" s="19">
        <v>40.56</v>
      </c>
      <c r="D235" s="5" t="s">
        <v>267</v>
      </c>
      <c r="E235" s="7">
        <v>66784.39</v>
      </c>
      <c r="F235" s="7">
        <v>2708775</v>
      </c>
    </row>
    <row r="236" spans="1:6" x14ac:dyDescent="0.25">
      <c r="A236" s="17" t="s">
        <v>316</v>
      </c>
      <c r="B236" s="26" t="s">
        <v>413</v>
      </c>
      <c r="C236" s="19">
        <v>40.56</v>
      </c>
      <c r="D236" s="5" t="s">
        <v>267</v>
      </c>
      <c r="E236" s="7">
        <v>53756.99</v>
      </c>
      <c r="F236" s="7">
        <v>2180384</v>
      </c>
    </row>
    <row r="237" spans="1:6" x14ac:dyDescent="0.25">
      <c r="A237" s="17" t="s">
        <v>318</v>
      </c>
      <c r="B237" s="26" t="s">
        <v>423</v>
      </c>
      <c r="C237" s="19">
        <v>10.14</v>
      </c>
      <c r="D237" s="5" t="s">
        <v>267</v>
      </c>
      <c r="E237" s="7">
        <v>345522.98</v>
      </c>
      <c r="F237" s="7">
        <v>3503603</v>
      </c>
    </row>
    <row r="238" spans="1:6" x14ac:dyDescent="0.25">
      <c r="A238" s="17" t="s">
        <v>320</v>
      </c>
      <c r="B238" s="26" t="s">
        <v>424</v>
      </c>
      <c r="C238" s="19">
        <v>5.07</v>
      </c>
      <c r="D238" s="5" t="s">
        <v>267</v>
      </c>
      <c r="E238" s="7">
        <v>1016530.97</v>
      </c>
      <c r="F238" s="7">
        <v>5153812</v>
      </c>
    </row>
    <row r="239" spans="1:6" x14ac:dyDescent="0.25">
      <c r="A239" s="17" t="s">
        <v>321</v>
      </c>
      <c r="B239" s="26" t="s">
        <v>292</v>
      </c>
      <c r="C239" s="19">
        <v>6.14</v>
      </c>
      <c r="D239" s="5" t="s">
        <v>167</v>
      </c>
      <c r="E239" s="7">
        <v>246976.42</v>
      </c>
      <c r="F239" s="7">
        <v>1516435</v>
      </c>
    </row>
    <row r="240" spans="1:6" x14ac:dyDescent="0.25">
      <c r="A240" s="17" t="s">
        <v>425</v>
      </c>
      <c r="B240" s="26" t="s">
        <v>426</v>
      </c>
      <c r="C240" s="19">
        <v>1651.54</v>
      </c>
      <c r="D240" s="5" t="s">
        <v>276</v>
      </c>
      <c r="E240" s="7">
        <v>11700</v>
      </c>
      <c r="F240" s="7">
        <v>19323018</v>
      </c>
    </row>
    <row r="241" spans="1:6" x14ac:dyDescent="0.25">
      <c r="A241" s="17" t="s">
        <v>427</v>
      </c>
      <c r="B241" s="26" t="s">
        <v>348</v>
      </c>
      <c r="C241" s="19">
        <v>14.4</v>
      </c>
      <c r="D241" s="5" t="s">
        <v>267</v>
      </c>
      <c r="E241" s="7">
        <v>1000000</v>
      </c>
      <c r="F241" s="7">
        <v>14400000</v>
      </c>
    </row>
    <row r="242" spans="1:6" s="20" customFormat="1" x14ac:dyDescent="0.25">
      <c r="A242" s="21" t="s">
        <v>59</v>
      </c>
      <c r="B242" s="25" t="s">
        <v>384</v>
      </c>
      <c r="C242" s="23"/>
      <c r="D242" s="24"/>
      <c r="E242" s="23"/>
      <c r="F242" s="9">
        <f>F243+F244+F245+F246+F247+F248+F249</f>
        <v>2451350</v>
      </c>
    </row>
    <row r="243" spans="1:6" x14ac:dyDescent="0.25">
      <c r="A243" s="17" t="s">
        <v>350</v>
      </c>
      <c r="B243" s="26" t="s">
        <v>385</v>
      </c>
      <c r="C243" s="19">
        <v>0.42</v>
      </c>
      <c r="D243" s="5" t="s">
        <v>267</v>
      </c>
      <c r="E243" s="7">
        <v>56660.36</v>
      </c>
      <c r="F243" s="7">
        <v>23797</v>
      </c>
    </row>
    <row r="244" spans="1:6" x14ac:dyDescent="0.25">
      <c r="A244" s="17" t="s">
        <v>351</v>
      </c>
      <c r="B244" s="26" t="s">
        <v>386</v>
      </c>
      <c r="C244" s="19">
        <v>10.62</v>
      </c>
      <c r="D244" s="5" t="s">
        <v>167</v>
      </c>
      <c r="E244" s="7">
        <v>122466.89</v>
      </c>
      <c r="F244" s="7">
        <v>1300599</v>
      </c>
    </row>
    <row r="245" spans="1:6" x14ac:dyDescent="0.25">
      <c r="A245" s="17" t="s">
        <v>352</v>
      </c>
      <c r="B245" s="26" t="s">
        <v>387</v>
      </c>
      <c r="C245" s="19">
        <v>1.27</v>
      </c>
      <c r="D245" s="5" t="s">
        <v>267</v>
      </c>
      <c r="E245" s="7">
        <v>124258.76</v>
      </c>
      <c r="F245" s="7">
        <v>157809</v>
      </c>
    </row>
    <row r="246" spans="1:6" x14ac:dyDescent="0.25">
      <c r="A246" s="17" t="s">
        <v>353</v>
      </c>
      <c r="B246" s="26" t="s">
        <v>388</v>
      </c>
      <c r="C246" s="19">
        <v>0.13</v>
      </c>
      <c r="D246" s="5" t="s">
        <v>267</v>
      </c>
      <c r="E246" s="7">
        <v>345522.98</v>
      </c>
      <c r="F246" s="7">
        <v>44918</v>
      </c>
    </row>
    <row r="247" spans="1:6" x14ac:dyDescent="0.25">
      <c r="A247" s="17" t="s">
        <v>428</v>
      </c>
      <c r="B247" s="26" t="s">
        <v>343</v>
      </c>
      <c r="C247" s="19">
        <v>0.3</v>
      </c>
      <c r="D247" s="5" t="s">
        <v>267</v>
      </c>
      <c r="E247" s="7">
        <v>1016530.97</v>
      </c>
      <c r="F247" s="7">
        <v>304959</v>
      </c>
    </row>
    <row r="248" spans="1:6" x14ac:dyDescent="0.25">
      <c r="A248" s="17" t="s">
        <v>429</v>
      </c>
      <c r="B248" s="26" t="s">
        <v>389</v>
      </c>
      <c r="C248" s="19">
        <v>4.26</v>
      </c>
      <c r="D248" s="5" t="s">
        <v>167</v>
      </c>
      <c r="E248" s="7">
        <v>54647.67</v>
      </c>
      <c r="F248" s="7">
        <v>232799</v>
      </c>
    </row>
    <row r="249" spans="1:6" x14ac:dyDescent="0.25">
      <c r="A249" s="17" t="s">
        <v>430</v>
      </c>
      <c r="B249" s="26" t="s">
        <v>288</v>
      </c>
      <c r="C249" s="19">
        <v>8.49</v>
      </c>
      <c r="D249" s="5" t="s">
        <v>167</v>
      </c>
      <c r="E249" s="7">
        <v>45520.53</v>
      </c>
      <c r="F249" s="7">
        <v>386469</v>
      </c>
    </row>
    <row r="250" spans="1:6" s="20" customFormat="1" x14ac:dyDescent="0.25">
      <c r="A250" s="21" t="s">
        <v>61</v>
      </c>
      <c r="B250" s="25" t="s">
        <v>431</v>
      </c>
      <c r="C250" s="23"/>
      <c r="D250" s="24"/>
      <c r="E250" s="23"/>
      <c r="F250" s="9">
        <f>F251+F252+F253</f>
        <v>912804</v>
      </c>
    </row>
    <row r="251" spans="1:6" x14ac:dyDescent="0.25">
      <c r="A251" s="17" t="s">
        <v>355</v>
      </c>
      <c r="B251" s="26" t="s">
        <v>432</v>
      </c>
      <c r="C251" s="19">
        <v>4.1</v>
      </c>
      <c r="D251" s="5" t="s">
        <v>167</v>
      </c>
      <c r="E251" s="7">
        <v>122466.89</v>
      </c>
      <c r="F251" s="7">
        <v>502114</v>
      </c>
    </row>
    <row r="252" spans="1:6" x14ac:dyDescent="0.25">
      <c r="A252" s="17" t="s">
        <v>357</v>
      </c>
      <c r="B252" s="26" t="s">
        <v>158</v>
      </c>
      <c r="C252" s="19">
        <v>4.1</v>
      </c>
      <c r="D252" s="5" t="s">
        <v>167</v>
      </c>
      <c r="E252" s="7">
        <v>54647.67</v>
      </c>
      <c r="F252" s="7">
        <v>224056</v>
      </c>
    </row>
    <row r="253" spans="1:6" x14ac:dyDescent="0.25">
      <c r="A253" s="17" t="s">
        <v>358</v>
      </c>
      <c r="B253" s="26" t="s">
        <v>288</v>
      </c>
      <c r="C253" s="19">
        <v>4.1</v>
      </c>
      <c r="D253" s="5" t="s">
        <v>167</v>
      </c>
      <c r="E253" s="7">
        <v>45520.53</v>
      </c>
      <c r="F253" s="7">
        <v>186634</v>
      </c>
    </row>
    <row r="254" spans="1:6" x14ac:dyDescent="0.25">
      <c r="A254" s="17" t="s">
        <v>63</v>
      </c>
      <c r="B254" s="27" t="s">
        <v>433</v>
      </c>
      <c r="C254" s="19">
        <v>102</v>
      </c>
      <c r="D254" s="5" t="s">
        <v>167</v>
      </c>
      <c r="E254" s="7">
        <v>54647.67</v>
      </c>
      <c r="F254" s="7">
        <v>5574062</v>
      </c>
    </row>
    <row r="255" spans="1:6" s="10" customFormat="1" x14ac:dyDescent="0.25">
      <c r="A255" s="15" t="s">
        <v>14</v>
      </c>
      <c r="B255" s="16" t="s">
        <v>15</v>
      </c>
      <c r="C255" s="12"/>
      <c r="D255" s="11"/>
      <c r="E255" s="12"/>
      <c r="F255" s="14">
        <f>F256+F294</f>
        <v>156432356</v>
      </c>
    </row>
    <row r="256" spans="1:6" s="20" customFormat="1" x14ac:dyDescent="0.25">
      <c r="A256" s="21" t="s">
        <v>94</v>
      </c>
      <c r="B256" s="22" t="s">
        <v>92</v>
      </c>
      <c r="C256" s="23"/>
      <c r="D256" s="24"/>
      <c r="E256" s="23"/>
      <c r="F256" s="9">
        <f>F257+F258+F267+F268+F273+F281+F289+F293</f>
        <v>115041813</v>
      </c>
    </row>
    <row r="257" spans="1:6" x14ac:dyDescent="0.25">
      <c r="A257" s="17" t="s">
        <v>45</v>
      </c>
      <c r="B257" s="27" t="s">
        <v>153</v>
      </c>
      <c r="C257" s="19">
        <v>40</v>
      </c>
      <c r="D257" s="5" t="s">
        <v>170</v>
      </c>
      <c r="E257" s="7">
        <v>147990.68</v>
      </c>
      <c r="F257" s="7">
        <v>5919627</v>
      </c>
    </row>
    <row r="258" spans="1:6" s="20" customFormat="1" x14ac:dyDescent="0.25">
      <c r="A258" s="21" t="s">
        <v>47</v>
      </c>
      <c r="B258" s="25" t="s">
        <v>331</v>
      </c>
      <c r="C258" s="23"/>
      <c r="D258" s="24"/>
      <c r="E258" s="23"/>
      <c r="F258" s="9">
        <f>F259+F260+F261+F262+F263+F264+F265+F266</f>
        <v>58329076</v>
      </c>
    </row>
    <row r="259" spans="1:6" x14ac:dyDescent="0.25">
      <c r="A259" s="17" t="s">
        <v>272</v>
      </c>
      <c r="B259" s="26" t="s">
        <v>434</v>
      </c>
      <c r="C259" s="19">
        <v>57.09</v>
      </c>
      <c r="D259" s="5" t="s">
        <v>267</v>
      </c>
      <c r="E259" s="7">
        <v>56660.36</v>
      </c>
      <c r="F259" s="7">
        <v>3234740</v>
      </c>
    </row>
    <row r="260" spans="1:6" x14ac:dyDescent="0.25">
      <c r="A260" s="17" t="s">
        <v>274</v>
      </c>
      <c r="B260" s="26" t="s">
        <v>333</v>
      </c>
      <c r="C260" s="19">
        <v>1248</v>
      </c>
      <c r="D260" s="5" t="s">
        <v>170</v>
      </c>
      <c r="E260" s="7">
        <v>25700</v>
      </c>
      <c r="F260" s="7">
        <v>32073600</v>
      </c>
    </row>
    <row r="261" spans="1:6" x14ac:dyDescent="0.25">
      <c r="A261" s="17" t="s">
        <v>277</v>
      </c>
      <c r="B261" s="26" t="s">
        <v>411</v>
      </c>
      <c r="C261" s="19">
        <v>11.42</v>
      </c>
      <c r="D261" s="5" t="s">
        <v>267</v>
      </c>
      <c r="E261" s="7">
        <v>543564.56</v>
      </c>
      <c r="F261" s="7">
        <v>6207507</v>
      </c>
    </row>
    <row r="262" spans="1:6" x14ac:dyDescent="0.25">
      <c r="A262" s="17" t="s">
        <v>279</v>
      </c>
      <c r="B262" s="26" t="s">
        <v>335</v>
      </c>
      <c r="C262" s="19">
        <v>16.38</v>
      </c>
      <c r="D262" s="5" t="s">
        <v>267</v>
      </c>
      <c r="E262" s="7">
        <v>780000</v>
      </c>
      <c r="F262" s="7">
        <v>12776400</v>
      </c>
    </row>
    <row r="263" spans="1:6" x14ac:dyDescent="0.25">
      <c r="A263" s="17" t="s">
        <v>326</v>
      </c>
      <c r="B263" s="26" t="s">
        <v>412</v>
      </c>
      <c r="C263" s="19">
        <v>19.03</v>
      </c>
      <c r="D263" s="5" t="s">
        <v>267</v>
      </c>
      <c r="E263" s="7">
        <v>66784.39</v>
      </c>
      <c r="F263" s="7">
        <v>1270907</v>
      </c>
    </row>
    <row r="264" spans="1:6" x14ac:dyDescent="0.25">
      <c r="A264" s="17" t="s">
        <v>328</v>
      </c>
      <c r="B264" s="26" t="s">
        <v>413</v>
      </c>
      <c r="C264" s="19">
        <v>19.03</v>
      </c>
      <c r="D264" s="5" t="s">
        <v>267</v>
      </c>
      <c r="E264" s="7">
        <v>53756.99</v>
      </c>
      <c r="F264" s="7">
        <v>1022996</v>
      </c>
    </row>
    <row r="265" spans="1:6" x14ac:dyDescent="0.25">
      <c r="A265" s="17" t="s">
        <v>330</v>
      </c>
      <c r="B265" s="26" t="s">
        <v>158</v>
      </c>
      <c r="C265" s="19">
        <v>17.4</v>
      </c>
      <c r="D265" s="5" t="s">
        <v>167</v>
      </c>
      <c r="E265" s="7">
        <v>54647.67</v>
      </c>
      <c r="F265" s="7">
        <v>950869</v>
      </c>
    </row>
    <row r="266" spans="1:6" x14ac:dyDescent="0.25">
      <c r="A266" s="17" t="s">
        <v>414</v>
      </c>
      <c r="B266" s="26" t="s">
        <v>288</v>
      </c>
      <c r="C266" s="19">
        <v>17.4</v>
      </c>
      <c r="D266" s="5" t="s">
        <v>167</v>
      </c>
      <c r="E266" s="7">
        <v>45520.53</v>
      </c>
      <c r="F266" s="7">
        <v>792057</v>
      </c>
    </row>
    <row r="267" spans="1:6" x14ac:dyDescent="0.25">
      <c r="A267" s="17" t="s">
        <v>49</v>
      </c>
      <c r="B267" s="27" t="s">
        <v>336</v>
      </c>
      <c r="C267" s="19">
        <v>16.34</v>
      </c>
      <c r="D267" s="5" t="s">
        <v>276</v>
      </c>
      <c r="E267" s="7">
        <v>13176.23</v>
      </c>
      <c r="F267" s="7">
        <v>215300</v>
      </c>
    </row>
    <row r="268" spans="1:6" s="20" customFormat="1" x14ac:dyDescent="0.25">
      <c r="A268" s="21" t="s">
        <v>51</v>
      </c>
      <c r="B268" s="25" t="s">
        <v>417</v>
      </c>
      <c r="C268" s="23"/>
      <c r="D268" s="24"/>
      <c r="E268" s="23"/>
      <c r="F268" s="9">
        <f>F269+F270+F271+F272</f>
        <v>18863335</v>
      </c>
    </row>
    <row r="269" spans="1:6" x14ac:dyDescent="0.25">
      <c r="A269" s="17" t="s">
        <v>291</v>
      </c>
      <c r="B269" s="26" t="s">
        <v>292</v>
      </c>
      <c r="C269" s="19">
        <v>31.14</v>
      </c>
      <c r="D269" s="5" t="s">
        <v>167</v>
      </c>
      <c r="E269" s="7">
        <v>246976.42</v>
      </c>
      <c r="F269" s="7">
        <v>7690846</v>
      </c>
    </row>
    <row r="270" spans="1:6" x14ac:dyDescent="0.25">
      <c r="A270" s="17" t="s">
        <v>293</v>
      </c>
      <c r="B270" s="26" t="s">
        <v>418</v>
      </c>
      <c r="C270" s="19">
        <v>351.96</v>
      </c>
      <c r="D270" s="5" t="s">
        <v>276</v>
      </c>
      <c r="E270" s="7">
        <v>13176.23</v>
      </c>
      <c r="F270" s="7">
        <v>4637506</v>
      </c>
    </row>
    <row r="271" spans="1:6" x14ac:dyDescent="0.25">
      <c r="A271" s="17" t="s">
        <v>294</v>
      </c>
      <c r="B271" s="26" t="s">
        <v>419</v>
      </c>
      <c r="C271" s="19">
        <v>87.83</v>
      </c>
      <c r="D271" s="5" t="s">
        <v>276</v>
      </c>
      <c r="E271" s="7">
        <v>13176.23</v>
      </c>
      <c r="F271" s="7">
        <v>1157268</v>
      </c>
    </row>
    <row r="272" spans="1:6" x14ac:dyDescent="0.25">
      <c r="A272" s="17" t="s">
        <v>435</v>
      </c>
      <c r="B272" s="26" t="s">
        <v>348</v>
      </c>
      <c r="C272" s="19">
        <v>4.67</v>
      </c>
      <c r="D272" s="5" t="s">
        <v>267</v>
      </c>
      <c r="E272" s="7">
        <v>1151545.01</v>
      </c>
      <c r="F272" s="7">
        <v>5377715</v>
      </c>
    </row>
    <row r="273" spans="1:6" s="20" customFormat="1" x14ac:dyDescent="0.25">
      <c r="A273" s="21" t="s">
        <v>53</v>
      </c>
      <c r="B273" s="25" t="s">
        <v>422</v>
      </c>
      <c r="C273" s="23"/>
      <c r="D273" s="24"/>
      <c r="E273" s="23"/>
      <c r="F273" s="9">
        <f>F274+F275+F276+F277+F278+F279+F280</f>
        <v>27753743</v>
      </c>
    </row>
    <row r="274" spans="1:6" x14ac:dyDescent="0.25">
      <c r="A274" s="17" t="s">
        <v>297</v>
      </c>
      <c r="B274" s="26" t="s">
        <v>412</v>
      </c>
      <c r="C274" s="19">
        <v>5.93</v>
      </c>
      <c r="D274" s="5" t="s">
        <v>267</v>
      </c>
      <c r="E274" s="7">
        <v>124258.76</v>
      </c>
      <c r="F274" s="7">
        <v>736855</v>
      </c>
    </row>
    <row r="275" spans="1:6" x14ac:dyDescent="0.25">
      <c r="A275" s="17" t="s">
        <v>299</v>
      </c>
      <c r="B275" s="26" t="s">
        <v>413</v>
      </c>
      <c r="C275" s="19">
        <v>5.93</v>
      </c>
      <c r="D275" s="5" t="s">
        <v>267</v>
      </c>
      <c r="E275" s="7">
        <v>53756.99</v>
      </c>
      <c r="F275" s="7">
        <v>318779</v>
      </c>
    </row>
    <row r="276" spans="1:6" x14ac:dyDescent="0.25">
      <c r="A276" s="17" t="s">
        <v>301</v>
      </c>
      <c r="B276" s="26" t="s">
        <v>423</v>
      </c>
      <c r="C276" s="19">
        <v>6.67</v>
      </c>
      <c r="D276" s="5" t="s">
        <v>267</v>
      </c>
      <c r="E276" s="7">
        <v>345522.98</v>
      </c>
      <c r="F276" s="7">
        <v>2304638</v>
      </c>
    </row>
    <row r="277" spans="1:6" x14ac:dyDescent="0.25">
      <c r="A277" s="17" t="s">
        <v>302</v>
      </c>
      <c r="B277" s="26" t="s">
        <v>424</v>
      </c>
      <c r="C277" s="19">
        <v>3.33</v>
      </c>
      <c r="D277" s="5" t="s">
        <v>267</v>
      </c>
      <c r="E277" s="7">
        <v>1016530.97</v>
      </c>
      <c r="F277" s="7">
        <v>3385048</v>
      </c>
    </row>
    <row r="278" spans="1:6" x14ac:dyDescent="0.25">
      <c r="A278" s="17" t="s">
        <v>420</v>
      </c>
      <c r="B278" s="26" t="s">
        <v>292</v>
      </c>
      <c r="C278" s="19">
        <v>5.22</v>
      </c>
      <c r="D278" s="5" t="s">
        <v>167</v>
      </c>
      <c r="E278" s="7">
        <v>246976.42</v>
      </c>
      <c r="F278" s="7">
        <v>1289217</v>
      </c>
    </row>
    <row r="279" spans="1:6" x14ac:dyDescent="0.25">
      <c r="A279" s="17" t="s">
        <v>436</v>
      </c>
      <c r="B279" s="26" t="s">
        <v>437</v>
      </c>
      <c r="C279" s="19">
        <v>816.74</v>
      </c>
      <c r="D279" s="5" t="s">
        <v>276</v>
      </c>
      <c r="E279" s="7">
        <v>11900</v>
      </c>
      <c r="F279" s="7">
        <v>9719206</v>
      </c>
    </row>
    <row r="280" spans="1:6" x14ac:dyDescent="0.25">
      <c r="A280" s="17" t="s">
        <v>438</v>
      </c>
      <c r="B280" s="26" t="s">
        <v>348</v>
      </c>
      <c r="C280" s="19">
        <v>10</v>
      </c>
      <c r="D280" s="5" t="s">
        <v>267</v>
      </c>
      <c r="E280" s="7">
        <v>1000000</v>
      </c>
      <c r="F280" s="7">
        <v>10000000</v>
      </c>
    </row>
    <row r="281" spans="1:6" s="20" customFormat="1" x14ac:dyDescent="0.25">
      <c r="A281" s="21" t="s">
        <v>55</v>
      </c>
      <c r="B281" s="25" t="s">
        <v>384</v>
      </c>
      <c r="C281" s="23"/>
      <c r="D281" s="24"/>
      <c r="E281" s="23"/>
      <c r="F281" s="9">
        <f>F282+F283+F284+F285+F286+F287+F288</f>
        <v>560443</v>
      </c>
    </row>
    <row r="282" spans="1:6" x14ac:dyDescent="0.25">
      <c r="A282" s="17" t="s">
        <v>303</v>
      </c>
      <c r="B282" s="26" t="s">
        <v>385</v>
      </c>
      <c r="C282" s="19">
        <v>0.12</v>
      </c>
      <c r="D282" s="5" t="s">
        <v>267</v>
      </c>
      <c r="E282" s="7">
        <v>56660.36</v>
      </c>
      <c r="F282" s="7">
        <v>6799</v>
      </c>
    </row>
    <row r="283" spans="1:6" x14ac:dyDescent="0.25">
      <c r="A283" s="17" t="s">
        <v>305</v>
      </c>
      <c r="B283" s="26" t="s">
        <v>386</v>
      </c>
      <c r="C283" s="19">
        <v>2.33</v>
      </c>
      <c r="D283" s="5" t="s">
        <v>167</v>
      </c>
      <c r="E283" s="7">
        <v>122466.89</v>
      </c>
      <c r="F283" s="7">
        <v>285348</v>
      </c>
    </row>
    <row r="284" spans="1:6" x14ac:dyDescent="0.25">
      <c r="A284" s="17" t="s">
        <v>306</v>
      </c>
      <c r="B284" s="26" t="s">
        <v>387</v>
      </c>
      <c r="C284" s="19">
        <v>0.18</v>
      </c>
      <c r="D284" s="5" t="s">
        <v>267</v>
      </c>
      <c r="E284" s="7">
        <v>124258.76</v>
      </c>
      <c r="F284" s="7">
        <v>22367</v>
      </c>
    </row>
    <row r="285" spans="1:6" x14ac:dyDescent="0.25">
      <c r="A285" s="17" t="s">
        <v>307</v>
      </c>
      <c r="B285" s="26" t="s">
        <v>388</v>
      </c>
      <c r="C285" s="19">
        <v>0.04</v>
      </c>
      <c r="D285" s="5" t="s">
        <v>267</v>
      </c>
      <c r="E285" s="7">
        <v>345522.98</v>
      </c>
      <c r="F285" s="7">
        <v>13821</v>
      </c>
    </row>
    <row r="286" spans="1:6" x14ac:dyDescent="0.25">
      <c r="A286" s="17" t="s">
        <v>309</v>
      </c>
      <c r="B286" s="26" t="s">
        <v>343</v>
      </c>
      <c r="C286" s="19">
        <v>0.08</v>
      </c>
      <c r="D286" s="5" t="s">
        <v>267</v>
      </c>
      <c r="E286" s="7">
        <v>1016530.97</v>
      </c>
      <c r="F286" s="7">
        <v>81322</v>
      </c>
    </row>
    <row r="287" spans="1:6" x14ac:dyDescent="0.25">
      <c r="A287" s="17" t="s">
        <v>311</v>
      </c>
      <c r="B287" s="26" t="s">
        <v>389</v>
      </c>
      <c r="C287" s="19">
        <v>0.96</v>
      </c>
      <c r="D287" s="5" t="s">
        <v>167</v>
      </c>
      <c r="E287" s="7">
        <v>54647.67</v>
      </c>
      <c r="F287" s="7">
        <v>52462</v>
      </c>
    </row>
    <row r="288" spans="1:6" x14ac:dyDescent="0.25">
      <c r="A288" s="17" t="s">
        <v>312</v>
      </c>
      <c r="B288" s="26" t="s">
        <v>288</v>
      </c>
      <c r="C288" s="19">
        <v>2.16</v>
      </c>
      <c r="D288" s="5" t="s">
        <v>167</v>
      </c>
      <c r="E288" s="7">
        <v>45520.53</v>
      </c>
      <c r="F288" s="7">
        <v>98324</v>
      </c>
    </row>
    <row r="289" spans="1:6" s="20" customFormat="1" x14ac:dyDescent="0.25">
      <c r="A289" s="21" t="s">
        <v>57</v>
      </c>
      <c r="B289" s="25" t="s">
        <v>431</v>
      </c>
      <c r="C289" s="23"/>
      <c r="D289" s="24"/>
      <c r="E289" s="23"/>
      <c r="F289" s="9">
        <f>F290+F291+F292</f>
        <v>667905</v>
      </c>
    </row>
    <row r="290" spans="1:6" x14ac:dyDescent="0.25">
      <c r="A290" s="17" t="s">
        <v>314</v>
      </c>
      <c r="B290" s="26" t="s">
        <v>432</v>
      </c>
      <c r="C290" s="19">
        <v>3</v>
      </c>
      <c r="D290" s="5" t="s">
        <v>167</v>
      </c>
      <c r="E290" s="7">
        <v>122466.89</v>
      </c>
      <c r="F290" s="7">
        <v>367401</v>
      </c>
    </row>
    <row r="291" spans="1:6" x14ac:dyDescent="0.25">
      <c r="A291" s="17" t="s">
        <v>316</v>
      </c>
      <c r="B291" s="26" t="s">
        <v>158</v>
      </c>
      <c r="C291" s="19">
        <v>3</v>
      </c>
      <c r="D291" s="5" t="s">
        <v>167</v>
      </c>
      <c r="E291" s="7">
        <v>54647.67</v>
      </c>
      <c r="F291" s="7">
        <v>163943</v>
      </c>
    </row>
    <row r="292" spans="1:6" x14ac:dyDescent="0.25">
      <c r="A292" s="17" t="s">
        <v>318</v>
      </c>
      <c r="B292" s="26" t="s">
        <v>288</v>
      </c>
      <c r="C292" s="19">
        <v>3</v>
      </c>
      <c r="D292" s="5" t="s">
        <v>167</v>
      </c>
      <c r="E292" s="7">
        <v>45520.53</v>
      </c>
      <c r="F292" s="7">
        <v>136561</v>
      </c>
    </row>
    <row r="293" spans="1:6" x14ac:dyDescent="0.25">
      <c r="A293" s="17" t="s">
        <v>59</v>
      </c>
      <c r="B293" s="27" t="s">
        <v>433</v>
      </c>
      <c r="C293" s="19">
        <v>50</v>
      </c>
      <c r="D293" s="5" t="s">
        <v>167</v>
      </c>
      <c r="E293" s="7">
        <v>54647.67</v>
      </c>
      <c r="F293" s="7">
        <v>2732384</v>
      </c>
    </row>
    <row r="294" spans="1:6" s="20" customFormat="1" x14ac:dyDescent="0.25">
      <c r="A294" s="21" t="s">
        <v>95</v>
      </c>
      <c r="B294" s="22" t="s">
        <v>96</v>
      </c>
      <c r="C294" s="23"/>
      <c r="D294" s="24"/>
      <c r="E294" s="23"/>
      <c r="F294" s="9">
        <f>F295+F296+F297+F298+F299+F300+F305+F310+F314+F318+F322+F327+F328+F329+F330</f>
        <v>41390543</v>
      </c>
    </row>
    <row r="295" spans="1:6" x14ac:dyDescent="0.25">
      <c r="A295" s="17" t="s">
        <v>45</v>
      </c>
      <c r="B295" s="27" t="s">
        <v>153</v>
      </c>
      <c r="C295" s="19">
        <v>12</v>
      </c>
      <c r="D295" s="5" t="s">
        <v>170</v>
      </c>
      <c r="E295" s="7">
        <v>147990.68</v>
      </c>
      <c r="F295" s="7">
        <v>1775888</v>
      </c>
    </row>
    <row r="296" spans="1:6" x14ac:dyDescent="0.25">
      <c r="A296" s="17" t="s">
        <v>47</v>
      </c>
      <c r="B296" s="27" t="s">
        <v>439</v>
      </c>
      <c r="C296" s="19">
        <v>13.42</v>
      </c>
      <c r="D296" s="5" t="s">
        <v>267</v>
      </c>
      <c r="E296" s="7">
        <v>120211.9</v>
      </c>
      <c r="F296" s="7">
        <v>1613244</v>
      </c>
    </row>
    <row r="297" spans="1:6" x14ac:dyDescent="0.25">
      <c r="A297" s="17" t="s">
        <v>49</v>
      </c>
      <c r="B297" s="27" t="s">
        <v>102</v>
      </c>
      <c r="C297" s="19">
        <v>0.38</v>
      </c>
      <c r="D297" s="5" t="s">
        <v>267</v>
      </c>
      <c r="E297" s="7">
        <v>345522.98</v>
      </c>
      <c r="F297" s="7">
        <v>131299</v>
      </c>
    </row>
    <row r="298" spans="1:6" x14ac:dyDescent="0.25">
      <c r="A298" s="17" t="s">
        <v>51</v>
      </c>
      <c r="B298" s="27" t="s">
        <v>440</v>
      </c>
      <c r="C298" s="19">
        <v>0.38</v>
      </c>
      <c r="D298" s="5" t="s">
        <v>267</v>
      </c>
      <c r="E298" s="7">
        <v>1016530.97</v>
      </c>
      <c r="F298" s="7">
        <v>386282</v>
      </c>
    </row>
    <row r="299" spans="1:6" x14ac:dyDescent="0.25">
      <c r="A299" s="17" t="s">
        <v>53</v>
      </c>
      <c r="B299" s="27" t="s">
        <v>412</v>
      </c>
      <c r="C299" s="19">
        <v>5.25</v>
      </c>
      <c r="D299" s="5" t="s">
        <v>267</v>
      </c>
      <c r="E299" s="7">
        <v>66784.39</v>
      </c>
      <c r="F299" s="7">
        <v>350618</v>
      </c>
    </row>
    <row r="300" spans="1:6" s="20" customFormat="1" x14ac:dyDescent="0.25">
      <c r="A300" s="21" t="s">
        <v>55</v>
      </c>
      <c r="B300" s="25" t="s">
        <v>441</v>
      </c>
      <c r="C300" s="23"/>
      <c r="D300" s="24"/>
      <c r="E300" s="23"/>
      <c r="F300" s="9">
        <f>F301+F302+F303+F304</f>
        <v>1417160</v>
      </c>
    </row>
    <row r="301" spans="1:6" x14ac:dyDescent="0.25">
      <c r="A301" s="17" t="s">
        <v>303</v>
      </c>
      <c r="B301" s="26" t="s">
        <v>356</v>
      </c>
      <c r="C301" s="19">
        <v>3.2</v>
      </c>
      <c r="D301" s="5" t="s">
        <v>167</v>
      </c>
      <c r="E301" s="7">
        <v>246976.42</v>
      </c>
      <c r="F301" s="7">
        <v>790325</v>
      </c>
    </row>
    <row r="302" spans="1:6" x14ac:dyDescent="0.25">
      <c r="A302" s="17" t="s">
        <v>305</v>
      </c>
      <c r="B302" s="26" t="s">
        <v>362</v>
      </c>
      <c r="C302" s="19">
        <v>19.73</v>
      </c>
      <c r="D302" s="5" t="s">
        <v>276</v>
      </c>
      <c r="E302" s="7">
        <v>13176.23</v>
      </c>
      <c r="F302" s="7">
        <v>259967</v>
      </c>
    </row>
    <row r="303" spans="1:6" x14ac:dyDescent="0.25">
      <c r="A303" s="17" t="s">
        <v>306</v>
      </c>
      <c r="B303" s="26" t="s">
        <v>442</v>
      </c>
      <c r="C303" s="19">
        <v>5.54</v>
      </c>
      <c r="D303" s="5" t="s">
        <v>276</v>
      </c>
      <c r="E303" s="7">
        <v>13176.23</v>
      </c>
      <c r="F303" s="7">
        <v>72996</v>
      </c>
    </row>
    <row r="304" spans="1:6" x14ac:dyDescent="0.25">
      <c r="A304" s="17" t="s">
        <v>307</v>
      </c>
      <c r="B304" s="26" t="s">
        <v>443</v>
      </c>
      <c r="C304" s="19">
        <v>0.24</v>
      </c>
      <c r="D304" s="5" t="s">
        <v>267</v>
      </c>
      <c r="E304" s="7">
        <v>1224466.96</v>
      </c>
      <c r="F304" s="7">
        <v>293872</v>
      </c>
    </row>
    <row r="305" spans="1:6" s="20" customFormat="1" x14ac:dyDescent="0.25">
      <c r="A305" s="21" t="s">
        <v>57</v>
      </c>
      <c r="B305" s="25" t="s">
        <v>444</v>
      </c>
      <c r="C305" s="23"/>
      <c r="D305" s="24"/>
      <c r="E305" s="23"/>
      <c r="F305" s="9">
        <f>F306+F307+F308+F309</f>
        <v>2453574</v>
      </c>
    </row>
    <row r="306" spans="1:6" x14ac:dyDescent="0.25">
      <c r="A306" s="17" t="s">
        <v>314</v>
      </c>
      <c r="B306" s="26" t="s">
        <v>356</v>
      </c>
      <c r="C306" s="19">
        <v>6</v>
      </c>
      <c r="D306" s="5" t="s">
        <v>167</v>
      </c>
      <c r="E306" s="7">
        <v>246976.42</v>
      </c>
      <c r="F306" s="7">
        <v>1481859</v>
      </c>
    </row>
    <row r="307" spans="1:6" x14ac:dyDescent="0.25">
      <c r="A307" s="17" t="s">
        <v>316</v>
      </c>
      <c r="B307" s="26" t="s">
        <v>362</v>
      </c>
      <c r="C307" s="19">
        <v>36.25</v>
      </c>
      <c r="D307" s="5" t="s">
        <v>276</v>
      </c>
      <c r="E307" s="7">
        <v>13176.23</v>
      </c>
      <c r="F307" s="7">
        <v>477638</v>
      </c>
    </row>
    <row r="308" spans="1:6" x14ac:dyDescent="0.25">
      <c r="A308" s="17" t="s">
        <v>318</v>
      </c>
      <c r="B308" s="26" t="s">
        <v>442</v>
      </c>
      <c r="C308" s="19">
        <v>7.76</v>
      </c>
      <c r="D308" s="5" t="s">
        <v>276</v>
      </c>
      <c r="E308" s="7">
        <v>13176.23</v>
      </c>
      <c r="F308" s="7">
        <v>102248</v>
      </c>
    </row>
    <row r="309" spans="1:6" x14ac:dyDescent="0.25">
      <c r="A309" s="17" t="s">
        <v>320</v>
      </c>
      <c r="B309" s="26" t="s">
        <v>443</v>
      </c>
      <c r="C309" s="19">
        <v>0.32</v>
      </c>
      <c r="D309" s="5" t="s">
        <v>267</v>
      </c>
      <c r="E309" s="7">
        <v>1224466.96</v>
      </c>
      <c r="F309" s="7">
        <v>391829</v>
      </c>
    </row>
    <row r="310" spans="1:6" s="20" customFormat="1" x14ac:dyDescent="0.25">
      <c r="A310" s="21" t="s">
        <v>59</v>
      </c>
      <c r="B310" s="25" t="s">
        <v>156</v>
      </c>
      <c r="C310" s="23"/>
      <c r="D310" s="24"/>
      <c r="E310" s="23"/>
      <c r="F310" s="9">
        <f>F311+F312+F313</f>
        <v>3231619</v>
      </c>
    </row>
    <row r="311" spans="1:6" x14ac:dyDescent="0.25">
      <c r="A311" s="17" t="s">
        <v>350</v>
      </c>
      <c r="B311" s="26" t="s">
        <v>292</v>
      </c>
      <c r="C311" s="19">
        <v>2.2</v>
      </c>
      <c r="D311" s="5" t="s">
        <v>167</v>
      </c>
      <c r="E311" s="7">
        <v>246976.42</v>
      </c>
      <c r="F311" s="7">
        <v>543348</v>
      </c>
    </row>
    <row r="312" spans="1:6" x14ac:dyDescent="0.25">
      <c r="A312" s="17" t="s">
        <v>351</v>
      </c>
      <c r="B312" s="26" t="s">
        <v>426</v>
      </c>
      <c r="C312" s="19">
        <v>63.7</v>
      </c>
      <c r="D312" s="5" t="s">
        <v>276</v>
      </c>
      <c r="E312" s="7">
        <v>13176.23</v>
      </c>
      <c r="F312" s="7">
        <v>839326</v>
      </c>
    </row>
    <row r="313" spans="1:6" x14ac:dyDescent="0.25">
      <c r="A313" s="17" t="s">
        <v>352</v>
      </c>
      <c r="B313" s="26" t="s">
        <v>443</v>
      </c>
      <c r="C313" s="19">
        <v>1.51</v>
      </c>
      <c r="D313" s="5" t="s">
        <v>267</v>
      </c>
      <c r="E313" s="7">
        <v>1224466.96</v>
      </c>
      <c r="F313" s="7">
        <v>1848945</v>
      </c>
    </row>
    <row r="314" spans="1:6" s="20" customFormat="1" x14ac:dyDescent="0.25">
      <c r="A314" s="21" t="s">
        <v>61</v>
      </c>
      <c r="B314" s="25" t="s">
        <v>445</v>
      </c>
      <c r="C314" s="23"/>
      <c r="D314" s="24"/>
      <c r="E314" s="23"/>
      <c r="F314" s="9">
        <f>F315+F316+F317</f>
        <v>11320704</v>
      </c>
    </row>
    <row r="315" spans="1:6" x14ac:dyDescent="0.25">
      <c r="A315" s="17" t="s">
        <v>355</v>
      </c>
      <c r="B315" s="26" t="s">
        <v>446</v>
      </c>
      <c r="C315" s="19">
        <v>24</v>
      </c>
      <c r="D315" s="5" t="s">
        <v>167</v>
      </c>
      <c r="E315" s="7">
        <v>371126.23</v>
      </c>
      <c r="F315" s="7">
        <v>8907029</v>
      </c>
    </row>
    <row r="316" spans="1:6" x14ac:dyDescent="0.25">
      <c r="A316" s="17" t="s">
        <v>357</v>
      </c>
      <c r="B316" s="26" t="s">
        <v>447</v>
      </c>
      <c r="C316" s="19">
        <v>15.91</v>
      </c>
      <c r="D316" s="5" t="s">
        <v>276</v>
      </c>
      <c r="E316" s="7">
        <v>13176.23</v>
      </c>
      <c r="F316" s="7">
        <v>209634</v>
      </c>
    </row>
    <row r="317" spans="1:6" x14ac:dyDescent="0.25">
      <c r="A317" s="17" t="s">
        <v>358</v>
      </c>
      <c r="B317" s="26" t="s">
        <v>443</v>
      </c>
      <c r="C317" s="19">
        <v>1.8</v>
      </c>
      <c r="D317" s="5" t="s">
        <v>267</v>
      </c>
      <c r="E317" s="7">
        <v>1224466.96</v>
      </c>
      <c r="F317" s="7">
        <v>2204041</v>
      </c>
    </row>
    <row r="318" spans="1:6" s="20" customFormat="1" x14ac:dyDescent="0.25">
      <c r="A318" s="21" t="s">
        <v>63</v>
      </c>
      <c r="B318" s="25" t="s">
        <v>448</v>
      </c>
      <c r="C318" s="23"/>
      <c r="D318" s="24"/>
      <c r="E318" s="23"/>
      <c r="F318" s="9">
        <f>F319+F320+F321</f>
        <v>2196271</v>
      </c>
    </row>
    <row r="319" spans="1:6" x14ac:dyDescent="0.25">
      <c r="A319" s="17" t="s">
        <v>238</v>
      </c>
      <c r="B319" s="26" t="s">
        <v>449</v>
      </c>
      <c r="C319" s="19">
        <v>4.84</v>
      </c>
      <c r="D319" s="5" t="s">
        <v>167</v>
      </c>
      <c r="E319" s="7">
        <v>222495.38</v>
      </c>
      <c r="F319" s="7">
        <v>1076877</v>
      </c>
    </row>
    <row r="320" spans="1:6" x14ac:dyDescent="0.25">
      <c r="A320" s="17" t="s">
        <v>241</v>
      </c>
      <c r="B320" s="26" t="s">
        <v>447</v>
      </c>
      <c r="C320" s="19">
        <v>35.14</v>
      </c>
      <c r="D320" s="5" t="s">
        <v>276</v>
      </c>
      <c r="E320" s="7">
        <v>13176.23</v>
      </c>
      <c r="F320" s="7">
        <v>463013</v>
      </c>
    </row>
    <row r="321" spans="1:6" x14ac:dyDescent="0.25">
      <c r="A321" s="17" t="s">
        <v>243</v>
      </c>
      <c r="B321" s="26" t="s">
        <v>348</v>
      </c>
      <c r="C321" s="19">
        <v>0.57</v>
      </c>
      <c r="D321" s="5" t="s">
        <v>267</v>
      </c>
      <c r="E321" s="7">
        <v>1151545.01</v>
      </c>
      <c r="F321" s="7">
        <v>656381</v>
      </c>
    </row>
    <row r="322" spans="1:6" s="20" customFormat="1" x14ac:dyDescent="0.25">
      <c r="A322" s="21" t="s">
        <v>65</v>
      </c>
      <c r="B322" s="25" t="s">
        <v>450</v>
      </c>
      <c r="C322" s="23"/>
      <c r="D322" s="24"/>
      <c r="E322" s="23"/>
      <c r="F322" s="9">
        <f>F323+F324+F325+F326</f>
        <v>239642</v>
      </c>
    </row>
    <row r="323" spans="1:6" x14ac:dyDescent="0.25">
      <c r="A323" s="17" t="s">
        <v>253</v>
      </c>
      <c r="B323" s="26" t="s">
        <v>449</v>
      </c>
      <c r="C323" s="19">
        <v>0.6</v>
      </c>
      <c r="D323" s="5" t="s">
        <v>167</v>
      </c>
      <c r="E323" s="7">
        <v>222495.38</v>
      </c>
      <c r="F323" s="7">
        <v>133497</v>
      </c>
    </row>
    <row r="324" spans="1:6" x14ac:dyDescent="0.25">
      <c r="A324" s="17" t="s">
        <v>255</v>
      </c>
      <c r="B324" s="26" t="s">
        <v>442</v>
      </c>
      <c r="C324" s="19">
        <v>4.32</v>
      </c>
      <c r="D324" s="5" t="s">
        <v>276</v>
      </c>
      <c r="E324" s="7">
        <v>13176.23</v>
      </c>
      <c r="F324" s="7">
        <v>56921</v>
      </c>
    </row>
    <row r="325" spans="1:6" x14ac:dyDescent="0.25">
      <c r="A325" s="17" t="s">
        <v>363</v>
      </c>
      <c r="B325" s="26" t="s">
        <v>451</v>
      </c>
      <c r="C325" s="19">
        <v>0.24</v>
      </c>
      <c r="D325" s="5" t="s">
        <v>276</v>
      </c>
      <c r="E325" s="7">
        <v>13176.23</v>
      </c>
      <c r="F325" s="7">
        <v>3162</v>
      </c>
    </row>
    <row r="326" spans="1:6" x14ac:dyDescent="0.25">
      <c r="A326" s="17" t="s">
        <v>364</v>
      </c>
      <c r="B326" s="26" t="s">
        <v>348</v>
      </c>
      <c r="C326" s="19">
        <v>0.04</v>
      </c>
      <c r="D326" s="5" t="s">
        <v>267</v>
      </c>
      <c r="E326" s="7">
        <v>1151545.01</v>
      </c>
      <c r="F326" s="7">
        <v>46062</v>
      </c>
    </row>
    <row r="327" spans="1:6" x14ac:dyDescent="0.25">
      <c r="A327" s="17" t="s">
        <v>67</v>
      </c>
      <c r="B327" s="27" t="s">
        <v>452</v>
      </c>
      <c r="C327" s="19">
        <v>23.56</v>
      </c>
      <c r="D327" s="5" t="s">
        <v>167</v>
      </c>
      <c r="E327" s="7">
        <v>118211.25</v>
      </c>
      <c r="F327" s="7">
        <v>2785057</v>
      </c>
    </row>
    <row r="328" spans="1:6" x14ac:dyDescent="0.25">
      <c r="A328" s="17" t="s">
        <v>69</v>
      </c>
      <c r="B328" s="27" t="s">
        <v>453</v>
      </c>
      <c r="C328" s="19">
        <v>22</v>
      </c>
      <c r="D328" s="5" t="s">
        <v>170</v>
      </c>
      <c r="E328" s="7">
        <v>129768.32</v>
      </c>
      <c r="F328" s="7">
        <v>2854903</v>
      </c>
    </row>
    <row r="329" spans="1:6" x14ac:dyDescent="0.25">
      <c r="A329" s="17" t="s">
        <v>71</v>
      </c>
      <c r="B329" s="27" t="s">
        <v>454</v>
      </c>
      <c r="C329" s="19">
        <v>1</v>
      </c>
      <c r="D329" s="5" t="s">
        <v>240</v>
      </c>
      <c r="E329" s="7">
        <v>9850280</v>
      </c>
      <c r="F329" s="7">
        <v>9850280</v>
      </c>
    </row>
    <row r="330" spans="1:6" x14ac:dyDescent="0.25">
      <c r="A330" s="17" t="s">
        <v>73</v>
      </c>
      <c r="B330" s="27" t="s">
        <v>455</v>
      </c>
      <c r="C330" s="19">
        <v>10</v>
      </c>
      <c r="D330" s="5" t="s">
        <v>170</v>
      </c>
      <c r="E330" s="7">
        <v>78400.17</v>
      </c>
      <c r="F330" s="7">
        <v>784002</v>
      </c>
    </row>
    <row r="331" spans="1:6" s="10" customFormat="1" x14ac:dyDescent="0.25">
      <c r="A331" s="15" t="s">
        <v>16</v>
      </c>
      <c r="B331" s="16" t="s">
        <v>17</v>
      </c>
      <c r="C331" s="12"/>
      <c r="D331" s="11"/>
      <c r="E331" s="12"/>
      <c r="F331" s="14">
        <f>F332+F333+F334+F335+F336+F337+F338</f>
        <v>263859953</v>
      </c>
    </row>
    <row r="332" spans="1:6" x14ac:dyDescent="0.25">
      <c r="A332" s="17" t="s">
        <v>45</v>
      </c>
      <c r="B332" s="18" t="s">
        <v>98</v>
      </c>
      <c r="C332" s="19">
        <v>139</v>
      </c>
      <c r="D332" s="5" t="s">
        <v>267</v>
      </c>
      <c r="E332" s="7">
        <v>364825.99</v>
      </c>
      <c r="F332" s="7">
        <v>50710813</v>
      </c>
    </row>
    <row r="333" spans="1:6" x14ac:dyDescent="0.25">
      <c r="A333" s="17" t="s">
        <v>47</v>
      </c>
      <c r="B333" s="18" t="s">
        <v>99</v>
      </c>
      <c r="C333" s="19">
        <v>139</v>
      </c>
      <c r="D333" s="5" t="s">
        <v>267</v>
      </c>
      <c r="E333" s="7">
        <v>53756.99</v>
      </c>
      <c r="F333" s="7">
        <v>7472222</v>
      </c>
    </row>
    <row r="334" spans="1:6" x14ac:dyDescent="0.25">
      <c r="A334" s="17" t="s">
        <v>49</v>
      </c>
      <c r="B334" s="18" t="s">
        <v>100</v>
      </c>
      <c r="C334" s="19">
        <v>69.5</v>
      </c>
      <c r="D334" s="5" t="s">
        <v>267</v>
      </c>
      <c r="E334" s="7">
        <v>190415.6</v>
      </c>
      <c r="F334" s="7">
        <v>13233884</v>
      </c>
    </row>
    <row r="335" spans="1:6" x14ac:dyDescent="0.25">
      <c r="A335" s="17" t="s">
        <v>51</v>
      </c>
      <c r="B335" s="18" t="s">
        <v>101</v>
      </c>
      <c r="C335" s="19">
        <v>69.5</v>
      </c>
      <c r="D335" s="5" t="s">
        <v>267</v>
      </c>
      <c r="E335" s="7">
        <v>53756.99</v>
      </c>
      <c r="F335" s="7">
        <v>3736111</v>
      </c>
    </row>
    <row r="336" spans="1:6" x14ac:dyDescent="0.25">
      <c r="A336" s="17" t="s">
        <v>53</v>
      </c>
      <c r="B336" s="18" t="s">
        <v>102</v>
      </c>
      <c r="C336" s="19">
        <v>34.75</v>
      </c>
      <c r="D336" s="5" t="s">
        <v>267</v>
      </c>
      <c r="E336" s="7">
        <v>345522.98</v>
      </c>
      <c r="F336" s="7">
        <v>12006923</v>
      </c>
    </row>
    <row r="337" spans="1:6" x14ac:dyDescent="0.25">
      <c r="A337" s="17" t="s">
        <v>55</v>
      </c>
      <c r="B337" s="18" t="s">
        <v>103</v>
      </c>
      <c r="C337" s="19">
        <v>695</v>
      </c>
      <c r="D337" s="5" t="s">
        <v>167</v>
      </c>
      <c r="E337" s="7">
        <v>200000</v>
      </c>
      <c r="F337" s="7">
        <v>139000000</v>
      </c>
    </row>
    <row r="338" spans="1:6" x14ac:dyDescent="0.25">
      <c r="A338" s="17" t="s">
        <v>57</v>
      </c>
      <c r="B338" s="18" t="s">
        <v>104</v>
      </c>
      <c r="C338" s="19">
        <v>145</v>
      </c>
      <c r="D338" s="5" t="s">
        <v>170</v>
      </c>
      <c r="E338" s="7">
        <v>260000</v>
      </c>
      <c r="F338" s="7">
        <v>37700000</v>
      </c>
    </row>
    <row r="339" spans="1:6" s="10" customFormat="1" x14ac:dyDescent="0.25">
      <c r="A339" s="15" t="s">
        <v>18</v>
      </c>
      <c r="B339" s="16" t="s">
        <v>19</v>
      </c>
      <c r="C339" s="12"/>
      <c r="D339" s="11"/>
      <c r="E339" s="12"/>
      <c r="F339" s="14">
        <f>F340+F409+F450</f>
        <v>138972135</v>
      </c>
    </row>
    <row r="340" spans="1:6" s="20" customFormat="1" x14ac:dyDescent="0.25">
      <c r="A340" s="21" t="s">
        <v>106</v>
      </c>
      <c r="B340" s="22" t="s">
        <v>85</v>
      </c>
      <c r="C340" s="23"/>
      <c r="D340" s="24"/>
      <c r="E340" s="23"/>
      <c r="F340" s="9">
        <f>F341+F342+F350+F355+F356+F361+F366+F371+F376+F381+F386+F391+F402</f>
        <v>37065740</v>
      </c>
    </row>
    <row r="341" spans="1:6" x14ac:dyDescent="0.25">
      <c r="A341" s="17" t="s">
        <v>45</v>
      </c>
      <c r="B341" s="27" t="s">
        <v>153</v>
      </c>
      <c r="C341" s="19">
        <v>18</v>
      </c>
      <c r="D341" s="5" t="s">
        <v>170</v>
      </c>
      <c r="E341" s="7">
        <v>147990.68</v>
      </c>
      <c r="F341" s="7">
        <v>2663832</v>
      </c>
    </row>
    <row r="342" spans="1:6" s="20" customFormat="1" x14ac:dyDescent="0.25">
      <c r="A342" s="21" t="s">
        <v>47</v>
      </c>
      <c r="B342" s="25" t="s">
        <v>322</v>
      </c>
      <c r="C342" s="23"/>
      <c r="D342" s="24"/>
      <c r="E342" s="23"/>
      <c r="F342" s="9">
        <f>F343+F344+F345+F346+F347+F348+F349</f>
        <v>4427905</v>
      </c>
    </row>
    <row r="343" spans="1:6" x14ac:dyDescent="0.25">
      <c r="A343" s="17" t="s">
        <v>272</v>
      </c>
      <c r="B343" s="26" t="s">
        <v>266</v>
      </c>
      <c r="C343" s="19">
        <v>4.8</v>
      </c>
      <c r="D343" s="5" t="s">
        <v>267</v>
      </c>
      <c r="E343" s="7">
        <v>56660.36</v>
      </c>
      <c r="F343" s="7">
        <v>271970</v>
      </c>
    </row>
    <row r="344" spans="1:6" x14ac:dyDescent="0.25">
      <c r="A344" s="17" t="s">
        <v>274</v>
      </c>
      <c r="B344" s="26" t="s">
        <v>323</v>
      </c>
      <c r="C344" s="19">
        <v>0.28</v>
      </c>
      <c r="D344" s="5" t="s">
        <v>267</v>
      </c>
      <c r="E344" s="7">
        <v>345522.98</v>
      </c>
      <c r="F344" s="7">
        <v>96746</v>
      </c>
    </row>
    <row r="345" spans="1:6" x14ac:dyDescent="0.25">
      <c r="A345" s="17" t="s">
        <v>277</v>
      </c>
      <c r="B345" s="26" t="s">
        <v>324</v>
      </c>
      <c r="C345" s="19">
        <v>0.12</v>
      </c>
      <c r="D345" s="5" t="s">
        <v>267</v>
      </c>
      <c r="E345" s="7">
        <v>1016530.97</v>
      </c>
      <c r="F345" s="7">
        <v>121984</v>
      </c>
    </row>
    <row r="346" spans="1:6" x14ac:dyDescent="0.25">
      <c r="A346" s="17" t="s">
        <v>279</v>
      </c>
      <c r="B346" s="26" t="s">
        <v>325</v>
      </c>
      <c r="C346" s="19">
        <v>4.8</v>
      </c>
      <c r="D346" s="5" t="s">
        <v>167</v>
      </c>
      <c r="E346" s="7">
        <v>130392.01</v>
      </c>
      <c r="F346" s="7">
        <v>625882</v>
      </c>
    </row>
    <row r="347" spans="1:6" x14ac:dyDescent="0.25">
      <c r="A347" s="17" t="s">
        <v>326</v>
      </c>
      <c r="B347" s="26" t="s">
        <v>310</v>
      </c>
      <c r="C347" s="19">
        <v>22.194</v>
      </c>
      <c r="D347" s="5" t="s">
        <v>276</v>
      </c>
      <c r="E347" s="7">
        <v>13176.23</v>
      </c>
      <c r="F347" s="7">
        <v>292433</v>
      </c>
    </row>
    <row r="348" spans="1:6" x14ac:dyDescent="0.25">
      <c r="A348" s="17" t="s">
        <v>328</v>
      </c>
      <c r="B348" s="26" t="s">
        <v>329</v>
      </c>
      <c r="C348" s="19">
        <v>0.768</v>
      </c>
      <c r="D348" s="5" t="s">
        <v>267</v>
      </c>
      <c r="E348" s="7">
        <v>1151545.01</v>
      </c>
      <c r="F348" s="7">
        <v>884387</v>
      </c>
    </row>
    <row r="349" spans="1:6" x14ac:dyDescent="0.25">
      <c r="A349" s="17" t="s">
        <v>330</v>
      </c>
      <c r="B349" s="26" t="s">
        <v>298</v>
      </c>
      <c r="C349" s="19">
        <v>80</v>
      </c>
      <c r="D349" s="5" t="s">
        <v>170</v>
      </c>
      <c r="E349" s="7">
        <v>26681.29</v>
      </c>
      <c r="F349" s="7">
        <v>2134503</v>
      </c>
    </row>
    <row r="350" spans="1:6" s="20" customFormat="1" x14ac:dyDescent="0.25">
      <c r="A350" s="21" t="s">
        <v>49</v>
      </c>
      <c r="B350" s="25" t="s">
        <v>456</v>
      </c>
      <c r="C350" s="23"/>
      <c r="D350" s="24"/>
      <c r="E350" s="23"/>
      <c r="F350" s="9">
        <f>F351+F352+F353+F354</f>
        <v>7095701</v>
      </c>
    </row>
    <row r="351" spans="1:6" x14ac:dyDescent="0.25">
      <c r="A351" s="17" t="s">
        <v>281</v>
      </c>
      <c r="B351" s="26" t="s">
        <v>304</v>
      </c>
      <c r="C351" s="19">
        <v>11.832</v>
      </c>
      <c r="D351" s="5" t="s">
        <v>267</v>
      </c>
      <c r="E351" s="7">
        <v>56660.36</v>
      </c>
      <c r="F351" s="7">
        <v>670405</v>
      </c>
    </row>
    <row r="352" spans="1:6" x14ac:dyDescent="0.25">
      <c r="A352" s="17" t="s">
        <v>282</v>
      </c>
      <c r="B352" s="26" t="s">
        <v>333</v>
      </c>
      <c r="C352" s="19">
        <v>0</v>
      </c>
      <c r="D352" s="5" t="s">
        <v>170</v>
      </c>
      <c r="E352" s="7">
        <v>26681.29</v>
      </c>
      <c r="F352" s="7">
        <v>0</v>
      </c>
    </row>
    <row r="353" spans="1:6" x14ac:dyDescent="0.25">
      <c r="A353" s="17" t="s">
        <v>284</v>
      </c>
      <c r="B353" s="26" t="s">
        <v>334</v>
      </c>
      <c r="C353" s="19">
        <v>0.952</v>
      </c>
      <c r="D353" s="5" t="s">
        <v>267</v>
      </c>
      <c r="E353" s="7">
        <v>345522.98</v>
      </c>
      <c r="F353" s="7">
        <v>328938</v>
      </c>
    </row>
    <row r="354" spans="1:6" x14ac:dyDescent="0.25">
      <c r="A354" s="17" t="s">
        <v>286</v>
      </c>
      <c r="B354" s="26" t="s">
        <v>331</v>
      </c>
      <c r="C354" s="19">
        <v>7.48</v>
      </c>
      <c r="D354" s="5" t="s">
        <v>267</v>
      </c>
      <c r="E354" s="7">
        <v>815021.06</v>
      </c>
      <c r="F354" s="7">
        <v>6096358</v>
      </c>
    </row>
    <row r="355" spans="1:6" x14ac:dyDescent="0.25">
      <c r="A355" s="17" t="s">
        <v>51</v>
      </c>
      <c r="B355" s="27" t="s">
        <v>336</v>
      </c>
      <c r="C355" s="19">
        <v>5.24</v>
      </c>
      <c r="D355" s="5" t="s">
        <v>276</v>
      </c>
      <c r="E355" s="7">
        <v>13176.23</v>
      </c>
      <c r="F355" s="7">
        <v>69047</v>
      </c>
    </row>
    <row r="356" spans="1:6" s="20" customFormat="1" x14ac:dyDescent="0.25">
      <c r="A356" s="21" t="s">
        <v>53</v>
      </c>
      <c r="B356" s="25" t="s">
        <v>337</v>
      </c>
      <c r="C356" s="23"/>
      <c r="D356" s="24"/>
      <c r="E356" s="23"/>
      <c r="F356" s="9">
        <f>F357+F358+F359+F360</f>
        <v>2696575</v>
      </c>
    </row>
    <row r="357" spans="1:6" x14ac:dyDescent="0.25">
      <c r="A357" s="17" t="s">
        <v>297</v>
      </c>
      <c r="B357" s="26" t="s">
        <v>292</v>
      </c>
      <c r="C357" s="19">
        <v>3.1</v>
      </c>
      <c r="D357" s="5" t="s">
        <v>167</v>
      </c>
      <c r="E357" s="7">
        <v>246976.42</v>
      </c>
      <c r="F357" s="7">
        <v>765627</v>
      </c>
    </row>
    <row r="358" spans="1:6" x14ac:dyDescent="0.25">
      <c r="A358" s="17" t="s">
        <v>299</v>
      </c>
      <c r="B358" s="26" t="s">
        <v>338</v>
      </c>
      <c r="C358" s="19">
        <v>47.779</v>
      </c>
      <c r="D358" s="5" t="s">
        <v>276</v>
      </c>
      <c r="E358" s="7">
        <v>13176.23</v>
      </c>
      <c r="F358" s="7">
        <v>629544</v>
      </c>
    </row>
    <row r="359" spans="1:6" x14ac:dyDescent="0.25">
      <c r="A359" s="17" t="s">
        <v>301</v>
      </c>
      <c r="B359" s="26" t="s">
        <v>339</v>
      </c>
      <c r="C359" s="19">
        <v>43.054</v>
      </c>
      <c r="D359" s="5" t="s">
        <v>276</v>
      </c>
      <c r="E359" s="7">
        <v>13176.23</v>
      </c>
      <c r="F359" s="7">
        <v>567294</v>
      </c>
    </row>
    <row r="360" spans="1:6" x14ac:dyDescent="0.25">
      <c r="A360" s="17" t="s">
        <v>302</v>
      </c>
      <c r="B360" s="26" t="s">
        <v>374</v>
      </c>
      <c r="C360" s="19">
        <v>0.638</v>
      </c>
      <c r="D360" s="5" t="s">
        <v>267</v>
      </c>
      <c r="E360" s="7">
        <v>1151545.01</v>
      </c>
      <c r="F360" s="7">
        <v>734110</v>
      </c>
    </row>
    <row r="361" spans="1:6" s="20" customFormat="1" x14ac:dyDescent="0.25">
      <c r="A361" s="21" t="s">
        <v>55</v>
      </c>
      <c r="B361" s="25" t="s">
        <v>344</v>
      </c>
      <c r="C361" s="23"/>
      <c r="D361" s="24"/>
      <c r="E361" s="23"/>
      <c r="F361" s="9">
        <f>F362+F363+F364+F365</f>
        <v>1250559</v>
      </c>
    </row>
    <row r="362" spans="1:6" x14ac:dyDescent="0.25">
      <c r="A362" s="17" t="s">
        <v>303</v>
      </c>
      <c r="B362" s="26" t="s">
        <v>345</v>
      </c>
      <c r="C362" s="19">
        <v>3.2</v>
      </c>
      <c r="D362" s="5" t="s">
        <v>167</v>
      </c>
      <c r="E362" s="7">
        <v>208190.98</v>
      </c>
      <c r="F362" s="7">
        <v>666211</v>
      </c>
    </row>
    <row r="363" spans="1:6" x14ac:dyDescent="0.25">
      <c r="A363" s="17" t="s">
        <v>305</v>
      </c>
      <c r="B363" s="26" t="s">
        <v>346</v>
      </c>
      <c r="C363" s="19">
        <v>20.714</v>
      </c>
      <c r="D363" s="5" t="s">
        <v>276</v>
      </c>
      <c r="E363" s="7">
        <v>13176.23</v>
      </c>
      <c r="F363" s="7">
        <v>272938</v>
      </c>
    </row>
    <row r="364" spans="1:6" x14ac:dyDescent="0.25">
      <c r="A364" s="17" t="s">
        <v>306</v>
      </c>
      <c r="B364" s="26" t="s">
        <v>347</v>
      </c>
      <c r="C364" s="19">
        <v>6.155</v>
      </c>
      <c r="D364" s="5" t="s">
        <v>276</v>
      </c>
      <c r="E364" s="7">
        <v>13176.23</v>
      </c>
      <c r="F364" s="7">
        <v>81101</v>
      </c>
    </row>
    <row r="365" spans="1:6" x14ac:dyDescent="0.25">
      <c r="A365" s="17" t="s">
        <v>307</v>
      </c>
      <c r="B365" s="26" t="s">
        <v>348</v>
      </c>
      <c r="C365" s="19">
        <v>0.2</v>
      </c>
      <c r="D365" s="5" t="s">
        <v>267</v>
      </c>
      <c r="E365" s="7">
        <v>1151545.01</v>
      </c>
      <c r="F365" s="7">
        <v>230309</v>
      </c>
    </row>
    <row r="366" spans="1:6" s="20" customFormat="1" x14ac:dyDescent="0.25">
      <c r="A366" s="21" t="s">
        <v>57</v>
      </c>
      <c r="B366" s="25" t="s">
        <v>349</v>
      </c>
      <c r="C366" s="23"/>
      <c r="D366" s="24"/>
      <c r="E366" s="23"/>
      <c r="F366" s="9">
        <f>F367+F368+F369+F370</f>
        <v>5380567</v>
      </c>
    </row>
    <row r="367" spans="1:6" x14ac:dyDescent="0.25">
      <c r="A367" s="17" t="s">
        <v>314</v>
      </c>
      <c r="B367" s="26" t="s">
        <v>457</v>
      </c>
      <c r="C367" s="19">
        <v>14.32</v>
      </c>
      <c r="D367" s="5" t="s">
        <v>167</v>
      </c>
      <c r="E367" s="7">
        <v>208190.98</v>
      </c>
      <c r="F367" s="7">
        <v>2981295</v>
      </c>
    </row>
    <row r="368" spans="1:6" x14ac:dyDescent="0.25">
      <c r="A368" s="17" t="s">
        <v>316</v>
      </c>
      <c r="B368" s="26" t="s">
        <v>346</v>
      </c>
      <c r="C368" s="19">
        <v>75.558</v>
      </c>
      <c r="D368" s="5" t="s">
        <v>276</v>
      </c>
      <c r="E368" s="7">
        <v>13176.23</v>
      </c>
      <c r="F368" s="7">
        <v>995572</v>
      </c>
    </row>
    <row r="369" spans="1:6" x14ac:dyDescent="0.25">
      <c r="A369" s="17" t="s">
        <v>318</v>
      </c>
      <c r="B369" s="26" t="s">
        <v>347</v>
      </c>
      <c r="C369" s="19">
        <v>28.314</v>
      </c>
      <c r="D369" s="5" t="s">
        <v>276</v>
      </c>
      <c r="E369" s="7">
        <v>13176.23</v>
      </c>
      <c r="F369" s="7">
        <v>373067</v>
      </c>
    </row>
    <row r="370" spans="1:6" x14ac:dyDescent="0.25">
      <c r="A370" s="17" t="s">
        <v>320</v>
      </c>
      <c r="B370" s="26" t="s">
        <v>374</v>
      </c>
      <c r="C370" s="19">
        <v>0.895</v>
      </c>
      <c r="D370" s="5" t="s">
        <v>267</v>
      </c>
      <c r="E370" s="7">
        <v>1151545.01</v>
      </c>
      <c r="F370" s="7">
        <v>1030633</v>
      </c>
    </row>
    <row r="371" spans="1:6" s="20" customFormat="1" x14ac:dyDescent="0.25">
      <c r="A371" s="21" t="s">
        <v>59</v>
      </c>
      <c r="B371" s="25" t="s">
        <v>458</v>
      </c>
      <c r="C371" s="23"/>
      <c r="D371" s="24"/>
      <c r="E371" s="23"/>
      <c r="F371" s="9">
        <f>F372+F373+F374+F375</f>
        <v>1540752</v>
      </c>
    </row>
    <row r="372" spans="1:6" x14ac:dyDescent="0.25">
      <c r="A372" s="17" t="s">
        <v>350</v>
      </c>
      <c r="B372" s="26" t="s">
        <v>457</v>
      </c>
      <c r="C372" s="19">
        <v>3.222</v>
      </c>
      <c r="D372" s="5" t="s">
        <v>167</v>
      </c>
      <c r="E372" s="7">
        <v>208190.98</v>
      </c>
      <c r="F372" s="7">
        <v>670791</v>
      </c>
    </row>
    <row r="373" spans="1:6" x14ac:dyDescent="0.25">
      <c r="A373" s="17" t="s">
        <v>351</v>
      </c>
      <c r="B373" s="26" t="s">
        <v>362</v>
      </c>
      <c r="C373" s="19">
        <v>28.334</v>
      </c>
      <c r="D373" s="5" t="s">
        <v>276</v>
      </c>
      <c r="E373" s="7">
        <v>13176.23</v>
      </c>
      <c r="F373" s="7">
        <v>373340</v>
      </c>
    </row>
    <row r="374" spans="1:6" x14ac:dyDescent="0.25">
      <c r="A374" s="17" t="s">
        <v>352</v>
      </c>
      <c r="B374" s="26" t="s">
        <v>339</v>
      </c>
      <c r="C374" s="19">
        <v>16.572</v>
      </c>
      <c r="D374" s="5" t="s">
        <v>276</v>
      </c>
      <c r="E374" s="7">
        <v>13176.23</v>
      </c>
      <c r="F374" s="7">
        <v>218350</v>
      </c>
    </row>
    <row r="375" spans="1:6" x14ac:dyDescent="0.25">
      <c r="A375" s="17" t="s">
        <v>353</v>
      </c>
      <c r="B375" s="26" t="s">
        <v>374</v>
      </c>
      <c r="C375" s="19">
        <v>0.242</v>
      </c>
      <c r="D375" s="5" t="s">
        <v>267</v>
      </c>
      <c r="E375" s="7">
        <v>1151545.01</v>
      </c>
      <c r="F375" s="7">
        <v>278271</v>
      </c>
    </row>
    <row r="376" spans="1:6" s="20" customFormat="1" x14ac:dyDescent="0.25">
      <c r="A376" s="21" t="s">
        <v>61</v>
      </c>
      <c r="B376" s="25" t="s">
        <v>354</v>
      </c>
      <c r="C376" s="23"/>
      <c r="D376" s="24"/>
      <c r="E376" s="23"/>
      <c r="F376" s="9">
        <f>F377+F378+F379+F380</f>
        <v>3563560</v>
      </c>
    </row>
    <row r="377" spans="1:6" x14ac:dyDescent="0.25">
      <c r="A377" s="17" t="s">
        <v>355</v>
      </c>
      <c r="B377" s="26" t="s">
        <v>459</v>
      </c>
      <c r="C377" s="19">
        <v>6.3</v>
      </c>
      <c r="D377" s="5" t="s">
        <v>167</v>
      </c>
      <c r="E377" s="7">
        <v>214925.5</v>
      </c>
      <c r="F377" s="7">
        <v>1354031</v>
      </c>
    </row>
    <row r="378" spans="1:6" x14ac:dyDescent="0.25">
      <c r="A378" s="17" t="s">
        <v>357</v>
      </c>
      <c r="B378" s="26" t="s">
        <v>338</v>
      </c>
      <c r="C378" s="19">
        <v>43.155</v>
      </c>
      <c r="D378" s="5" t="s">
        <v>276</v>
      </c>
      <c r="E378" s="7">
        <v>13176.23</v>
      </c>
      <c r="F378" s="7">
        <v>568620</v>
      </c>
    </row>
    <row r="379" spans="1:6" x14ac:dyDescent="0.25">
      <c r="A379" s="17" t="s">
        <v>358</v>
      </c>
      <c r="B379" s="26" t="s">
        <v>339</v>
      </c>
      <c r="C379" s="19">
        <v>38.888</v>
      </c>
      <c r="D379" s="5" t="s">
        <v>276</v>
      </c>
      <c r="E379" s="7">
        <v>13176.23</v>
      </c>
      <c r="F379" s="7">
        <v>512395</v>
      </c>
    </row>
    <row r="380" spans="1:6" x14ac:dyDescent="0.25">
      <c r="A380" s="17" t="s">
        <v>359</v>
      </c>
      <c r="B380" s="26" t="s">
        <v>374</v>
      </c>
      <c r="C380" s="19">
        <v>0.98</v>
      </c>
      <c r="D380" s="5" t="s">
        <v>267</v>
      </c>
      <c r="E380" s="7">
        <v>1151545.01</v>
      </c>
      <c r="F380" s="7">
        <v>1128514</v>
      </c>
    </row>
    <row r="381" spans="1:6" s="20" customFormat="1" x14ac:dyDescent="0.25">
      <c r="A381" s="21" t="s">
        <v>63</v>
      </c>
      <c r="B381" s="25" t="s">
        <v>360</v>
      </c>
      <c r="C381" s="23"/>
      <c r="D381" s="24"/>
      <c r="E381" s="23"/>
      <c r="F381" s="9">
        <f>F382+F383+F384+F385</f>
        <v>763620</v>
      </c>
    </row>
    <row r="382" spans="1:6" x14ac:dyDescent="0.25">
      <c r="A382" s="17" t="s">
        <v>238</v>
      </c>
      <c r="B382" s="26" t="s">
        <v>459</v>
      </c>
      <c r="C382" s="19">
        <v>1.35</v>
      </c>
      <c r="D382" s="5" t="s">
        <v>167</v>
      </c>
      <c r="E382" s="7">
        <v>214925.5</v>
      </c>
      <c r="F382" s="7">
        <v>290149</v>
      </c>
    </row>
    <row r="383" spans="1:6" x14ac:dyDescent="0.25">
      <c r="A383" s="17" t="s">
        <v>241</v>
      </c>
      <c r="B383" s="26" t="s">
        <v>338</v>
      </c>
      <c r="C383" s="19">
        <v>9.248</v>
      </c>
      <c r="D383" s="5" t="s">
        <v>276</v>
      </c>
      <c r="E383" s="7">
        <v>13176.23</v>
      </c>
      <c r="F383" s="7">
        <v>121847</v>
      </c>
    </row>
    <row r="384" spans="1:6" x14ac:dyDescent="0.25">
      <c r="A384" s="17" t="s">
        <v>243</v>
      </c>
      <c r="B384" s="26" t="s">
        <v>339</v>
      </c>
      <c r="C384" s="19">
        <v>8.333</v>
      </c>
      <c r="D384" s="5" t="s">
        <v>276</v>
      </c>
      <c r="E384" s="7">
        <v>13176.23</v>
      </c>
      <c r="F384" s="7">
        <v>109799</v>
      </c>
    </row>
    <row r="385" spans="1:6" x14ac:dyDescent="0.25">
      <c r="A385" s="17" t="s">
        <v>245</v>
      </c>
      <c r="B385" s="26" t="s">
        <v>374</v>
      </c>
      <c r="C385" s="19">
        <v>0.21</v>
      </c>
      <c r="D385" s="5" t="s">
        <v>267</v>
      </c>
      <c r="E385" s="7">
        <v>1151545.01</v>
      </c>
      <c r="F385" s="7">
        <v>241825</v>
      </c>
    </row>
    <row r="386" spans="1:6" s="20" customFormat="1" x14ac:dyDescent="0.25">
      <c r="A386" s="21" t="s">
        <v>65</v>
      </c>
      <c r="B386" s="25" t="s">
        <v>361</v>
      </c>
      <c r="C386" s="23"/>
      <c r="D386" s="24"/>
      <c r="E386" s="23"/>
      <c r="F386" s="9">
        <f>F387+F388+F389+F390</f>
        <v>382668</v>
      </c>
    </row>
    <row r="387" spans="1:6" x14ac:dyDescent="0.25">
      <c r="A387" s="17" t="s">
        <v>253</v>
      </c>
      <c r="B387" s="26" t="s">
        <v>459</v>
      </c>
      <c r="C387" s="19">
        <v>0.675</v>
      </c>
      <c r="D387" s="5" t="s">
        <v>167</v>
      </c>
      <c r="E387" s="7">
        <v>214925.5</v>
      </c>
      <c r="F387" s="7">
        <v>145075</v>
      </c>
    </row>
    <row r="388" spans="1:6" x14ac:dyDescent="0.25">
      <c r="A388" s="17" t="s">
        <v>255</v>
      </c>
      <c r="B388" s="26" t="s">
        <v>362</v>
      </c>
      <c r="C388" s="19">
        <v>7.398</v>
      </c>
      <c r="D388" s="5" t="s">
        <v>276</v>
      </c>
      <c r="E388" s="7">
        <v>13176.23</v>
      </c>
      <c r="F388" s="7">
        <v>97478</v>
      </c>
    </row>
    <row r="389" spans="1:6" x14ac:dyDescent="0.25">
      <c r="A389" s="17" t="s">
        <v>363</v>
      </c>
      <c r="B389" s="26" t="s">
        <v>339</v>
      </c>
      <c r="C389" s="19">
        <v>4.735</v>
      </c>
      <c r="D389" s="5" t="s">
        <v>276</v>
      </c>
      <c r="E389" s="7">
        <v>13176.23</v>
      </c>
      <c r="F389" s="7">
        <v>62386</v>
      </c>
    </row>
    <row r="390" spans="1:6" x14ac:dyDescent="0.25">
      <c r="A390" s="17" t="s">
        <v>364</v>
      </c>
      <c r="B390" s="26" t="s">
        <v>374</v>
      </c>
      <c r="C390" s="19">
        <v>0.067</v>
      </c>
      <c r="D390" s="5" t="s">
        <v>267</v>
      </c>
      <c r="E390" s="7">
        <v>1151545.01</v>
      </c>
      <c r="F390" s="7">
        <v>77729</v>
      </c>
    </row>
    <row r="391" spans="1:6" s="20" customFormat="1" x14ac:dyDescent="0.25">
      <c r="A391" s="21" t="s">
        <v>67</v>
      </c>
      <c r="B391" s="25" t="s">
        <v>365</v>
      </c>
      <c r="C391" s="23"/>
      <c r="D391" s="24"/>
      <c r="E391" s="23"/>
      <c r="F391" s="9">
        <f>F392+F397</f>
        <v>5545459</v>
      </c>
    </row>
    <row r="392" spans="1:6" s="20" customFormat="1" x14ac:dyDescent="0.25">
      <c r="A392" s="21" t="s">
        <v>366</v>
      </c>
      <c r="B392" s="28" t="s">
        <v>367</v>
      </c>
      <c r="C392" s="23"/>
      <c r="D392" s="24"/>
      <c r="E392" s="23"/>
      <c r="F392" s="9">
        <f>F393+F394+F395+F396</f>
        <v>4581555</v>
      </c>
    </row>
    <row r="393" spans="1:6" x14ac:dyDescent="0.25">
      <c r="A393" s="17" t="s">
        <v>368</v>
      </c>
      <c r="B393" s="29" t="s">
        <v>356</v>
      </c>
      <c r="C393" s="19">
        <v>10.118</v>
      </c>
      <c r="D393" s="5" t="s">
        <v>167</v>
      </c>
      <c r="E393" s="7">
        <v>214925.5</v>
      </c>
      <c r="F393" s="7">
        <v>2174573</v>
      </c>
    </row>
    <row r="394" spans="1:6" x14ac:dyDescent="0.25">
      <c r="A394" s="17" t="s">
        <v>369</v>
      </c>
      <c r="B394" s="29" t="s">
        <v>370</v>
      </c>
      <c r="C394" s="19">
        <v>46.844</v>
      </c>
      <c r="D394" s="5" t="s">
        <v>276</v>
      </c>
      <c r="E394" s="7">
        <v>13176.23</v>
      </c>
      <c r="F394" s="7">
        <v>617229</v>
      </c>
    </row>
    <row r="395" spans="1:6" x14ac:dyDescent="0.25">
      <c r="A395" s="17" t="s">
        <v>371</v>
      </c>
      <c r="B395" s="29" t="s">
        <v>372</v>
      </c>
      <c r="C395" s="19">
        <v>87.6</v>
      </c>
      <c r="D395" s="5" t="s">
        <v>276</v>
      </c>
      <c r="E395" s="7">
        <v>13176.23</v>
      </c>
      <c r="F395" s="7">
        <v>1154238</v>
      </c>
    </row>
    <row r="396" spans="1:6" x14ac:dyDescent="0.25">
      <c r="A396" s="17" t="s">
        <v>373</v>
      </c>
      <c r="B396" s="29" t="s">
        <v>374</v>
      </c>
      <c r="C396" s="19">
        <v>0.552</v>
      </c>
      <c r="D396" s="5" t="s">
        <v>267</v>
      </c>
      <c r="E396" s="7">
        <v>1151545.01</v>
      </c>
      <c r="F396" s="7">
        <v>635515</v>
      </c>
    </row>
    <row r="397" spans="1:6" s="20" customFormat="1" x14ac:dyDescent="0.25">
      <c r="A397" s="21" t="s">
        <v>375</v>
      </c>
      <c r="B397" s="28" t="s">
        <v>376</v>
      </c>
      <c r="C397" s="23"/>
      <c r="D397" s="24"/>
      <c r="E397" s="23"/>
      <c r="F397" s="9">
        <f>F398+F399+F400+F401</f>
        <v>963904</v>
      </c>
    </row>
    <row r="398" spans="1:6" x14ac:dyDescent="0.25">
      <c r="A398" s="17" t="s">
        <v>377</v>
      </c>
      <c r="B398" s="29" t="s">
        <v>345</v>
      </c>
      <c r="C398" s="19">
        <v>2.8</v>
      </c>
      <c r="D398" s="5" t="s">
        <v>167</v>
      </c>
      <c r="E398" s="7">
        <v>208190.98</v>
      </c>
      <c r="F398" s="7">
        <v>582935</v>
      </c>
    </row>
    <row r="399" spans="1:6" x14ac:dyDescent="0.25">
      <c r="A399" s="17" t="s">
        <v>378</v>
      </c>
      <c r="B399" s="29" t="s">
        <v>370</v>
      </c>
      <c r="C399" s="19">
        <v>10.85</v>
      </c>
      <c r="D399" s="5" t="s">
        <v>276</v>
      </c>
      <c r="E399" s="7">
        <v>13176.23</v>
      </c>
      <c r="F399" s="7">
        <v>142967</v>
      </c>
    </row>
    <row r="400" spans="1:6" x14ac:dyDescent="0.25">
      <c r="A400" s="17" t="s">
        <v>379</v>
      </c>
      <c r="B400" s="29" t="s">
        <v>372</v>
      </c>
      <c r="C400" s="19">
        <v>7.576</v>
      </c>
      <c r="D400" s="5" t="s">
        <v>276</v>
      </c>
      <c r="E400" s="7">
        <v>13176.23</v>
      </c>
      <c r="F400" s="7">
        <v>99817</v>
      </c>
    </row>
    <row r="401" spans="1:6" x14ac:dyDescent="0.25">
      <c r="A401" s="17" t="s">
        <v>380</v>
      </c>
      <c r="B401" s="29" t="s">
        <v>374</v>
      </c>
      <c r="C401" s="19">
        <v>0.12</v>
      </c>
      <c r="D401" s="5" t="s">
        <v>267</v>
      </c>
      <c r="E401" s="7">
        <v>1151545.01</v>
      </c>
      <c r="F401" s="7">
        <v>138185</v>
      </c>
    </row>
    <row r="402" spans="1:6" s="20" customFormat="1" x14ac:dyDescent="0.25">
      <c r="A402" s="21" t="s">
        <v>69</v>
      </c>
      <c r="B402" s="25" t="s">
        <v>340</v>
      </c>
      <c r="C402" s="23"/>
      <c r="D402" s="24"/>
      <c r="E402" s="23"/>
      <c r="F402" s="9">
        <f>F403+F404+F405+F406+F407+F408</f>
        <v>1685495</v>
      </c>
    </row>
    <row r="403" spans="1:6" x14ac:dyDescent="0.25">
      <c r="A403" s="17" t="s">
        <v>261</v>
      </c>
      <c r="B403" s="26" t="s">
        <v>460</v>
      </c>
      <c r="C403" s="19">
        <v>0.124</v>
      </c>
      <c r="D403" s="5" t="s">
        <v>267</v>
      </c>
      <c r="E403" s="7">
        <v>56660.36</v>
      </c>
      <c r="F403" s="7">
        <v>7003</v>
      </c>
    </row>
    <row r="404" spans="1:6" x14ac:dyDescent="0.25">
      <c r="A404" s="17" t="s">
        <v>263</v>
      </c>
      <c r="B404" s="26" t="s">
        <v>461</v>
      </c>
      <c r="C404" s="19">
        <v>2.318</v>
      </c>
      <c r="D404" s="5" t="s">
        <v>167</v>
      </c>
      <c r="E404" s="7">
        <v>122466.89</v>
      </c>
      <c r="F404" s="7">
        <v>283817</v>
      </c>
    </row>
    <row r="405" spans="1:6" x14ac:dyDescent="0.25">
      <c r="A405" s="17" t="s">
        <v>462</v>
      </c>
      <c r="B405" s="26" t="s">
        <v>341</v>
      </c>
      <c r="C405" s="19">
        <v>2.01</v>
      </c>
      <c r="D405" s="5" t="s">
        <v>267</v>
      </c>
      <c r="E405" s="7">
        <v>124258.76</v>
      </c>
      <c r="F405" s="7">
        <v>249760</v>
      </c>
    </row>
    <row r="406" spans="1:6" x14ac:dyDescent="0.25">
      <c r="A406" s="17" t="s">
        <v>463</v>
      </c>
      <c r="B406" s="26" t="s">
        <v>342</v>
      </c>
      <c r="C406" s="19">
        <v>2.01</v>
      </c>
      <c r="D406" s="5" t="s">
        <v>267</v>
      </c>
      <c r="E406" s="7">
        <v>53756.99</v>
      </c>
      <c r="F406" s="7">
        <v>108052</v>
      </c>
    </row>
    <row r="407" spans="1:6" x14ac:dyDescent="0.25">
      <c r="A407" s="17" t="s">
        <v>464</v>
      </c>
      <c r="B407" s="26" t="s">
        <v>102</v>
      </c>
      <c r="C407" s="19">
        <v>0.761</v>
      </c>
      <c r="D407" s="5" t="s">
        <v>267</v>
      </c>
      <c r="E407" s="7">
        <v>345522.98</v>
      </c>
      <c r="F407" s="7">
        <v>263029</v>
      </c>
    </row>
    <row r="408" spans="1:6" x14ac:dyDescent="0.25">
      <c r="A408" s="17" t="s">
        <v>465</v>
      </c>
      <c r="B408" s="26" t="s">
        <v>466</v>
      </c>
      <c r="C408" s="19">
        <v>0.761</v>
      </c>
      <c r="D408" s="5" t="s">
        <v>267</v>
      </c>
      <c r="E408" s="7">
        <v>1016530.97</v>
      </c>
      <c r="F408" s="7">
        <v>773834</v>
      </c>
    </row>
    <row r="409" spans="1:6" s="20" customFormat="1" x14ac:dyDescent="0.25">
      <c r="A409" s="21" t="s">
        <v>107</v>
      </c>
      <c r="B409" s="22" t="s">
        <v>87</v>
      </c>
      <c r="C409" s="23"/>
      <c r="D409" s="24"/>
      <c r="E409" s="23"/>
      <c r="F409" s="9">
        <f>F410+F411+F412+F413+F414+F415+F416+F417+F420+F427+F428+F429+F430+F435+F436+F444+F445+F446+F447+F448+F449</f>
        <v>71321201</v>
      </c>
    </row>
    <row r="410" spans="1:6" x14ac:dyDescent="0.25">
      <c r="A410" s="17" t="s">
        <v>45</v>
      </c>
      <c r="B410" s="27" t="s">
        <v>467</v>
      </c>
      <c r="C410" s="19">
        <v>53.41</v>
      </c>
      <c r="D410" s="5" t="s">
        <v>167</v>
      </c>
      <c r="E410" s="7">
        <v>122466.89</v>
      </c>
      <c r="F410" s="7">
        <v>6540908</v>
      </c>
    </row>
    <row r="411" spans="1:6" x14ac:dyDescent="0.25">
      <c r="A411" s="17" t="s">
        <v>47</v>
      </c>
      <c r="B411" s="27" t="s">
        <v>158</v>
      </c>
      <c r="C411" s="19">
        <v>106.819</v>
      </c>
      <c r="D411" s="5" t="s">
        <v>167</v>
      </c>
      <c r="E411" s="7">
        <v>54647.67</v>
      </c>
      <c r="F411" s="7">
        <v>5837420</v>
      </c>
    </row>
    <row r="412" spans="1:6" x14ac:dyDescent="0.25">
      <c r="A412" s="17" t="s">
        <v>49</v>
      </c>
      <c r="B412" s="27" t="s">
        <v>288</v>
      </c>
      <c r="C412" s="19">
        <v>106.819</v>
      </c>
      <c r="D412" s="5" t="s">
        <v>167</v>
      </c>
      <c r="E412" s="7">
        <v>45520.53</v>
      </c>
      <c r="F412" s="7">
        <v>4862467</v>
      </c>
    </row>
    <row r="413" spans="1:6" x14ac:dyDescent="0.25">
      <c r="A413" s="17" t="s">
        <v>51</v>
      </c>
      <c r="B413" s="27" t="s">
        <v>383</v>
      </c>
      <c r="C413" s="19">
        <v>4.569</v>
      </c>
      <c r="D413" s="5" t="s">
        <v>167</v>
      </c>
      <c r="E413" s="7">
        <v>56201.8</v>
      </c>
      <c r="F413" s="7">
        <v>256758</v>
      </c>
    </row>
    <row r="414" spans="1:6" x14ac:dyDescent="0.25">
      <c r="A414" s="17" t="s">
        <v>53</v>
      </c>
      <c r="B414" s="27" t="s">
        <v>468</v>
      </c>
      <c r="C414" s="19">
        <v>29.88</v>
      </c>
      <c r="D414" s="5" t="s">
        <v>170</v>
      </c>
      <c r="E414" s="7">
        <v>54483.92</v>
      </c>
      <c r="F414" s="7">
        <v>1627980</v>
      </c>
    </row>
    <row r="415" spans="1:6" x14ac:dyDescent="0.25">
      <c r="A415" s="17" t="s">
        <v>55</v>
      </c>
      <c r="B415" s="27" t="s">
        <v>469</v>
      </c>
      <c r="C415" s="19">
        <v>5</v>
      </c>
      <c r="D415" s="5" t="s">
        <v>167</v>
      </c>
      <c r="E415" s="7">
        <v>817597.83</v>
      </c>
      <c r="F415" s="7">
        <v>4087989</v>
      </c>
    </row>
    <row r="416" spans="1:6" x14ac:dyDescent="0.25">
      <c r="A416" s="17" t="s">
        <v>57</v>
      </c>
      <c r="B416" s="27" t="s">
        <v>470</v>
      </c>
      <c r="C416" s="19">
        <v>1</v>
      </c>
      <c r="D416" s="5" t="s">
        <v>240</v>
      </c>
      <c r="E416" s="7">
        <v>1048511.96</v>
      </c>
      <c r="F416" s="7">
        <v>1048512</v>
      </c>
    </row>
    <row r="417" spans="1:6" s="20" customFormat="1" x14ac:dyDescent="0.25">
      <c r="A417" s="21" t="s">
        <v>59</v>
      </c>
      <c r="B417" s="25" t="s">
        <v>471</v>
      </c>
      <c r="C417" s="23"/>
      <c r="D417" s="24"/>
      <c r="E417" s="23"/>
      <c r="F417" s="9">
        <f>F418+F419</f>
        <v>441552</v>
      </c>
    </row>
    <row r="418" spans="1:6" x14ac:dyDescent="0.25">
      <c r="A418" s="17" t="s">
        <v>350</v>
      </c>
      <c r="B418" s="26" t="s">
        <v>472</v>
      </c>
      <c r="C418" s="19">
        <v>2.09</v>
      </c>
      <c r="D418" s="5" t="s">
        <v>170</v>
      </c>
      <c r="E418" s="7">
        <v>184770.05</v>
      </c>
      <c r="F418" s="7">
        <v>386170</v>
      </c>
    </row>
    <row r="419" spans="1:6" x14ac:dyDescent="0.25">
      <c r="A419" s="17" t="s">
        <v>351</v>
      </c>
      <c r="B419" s="26" t="s">
        <v>473</v>
      </c>
      <c r="C419" s="19">
        <v>0.215</v>
      </c>
      <c r="D419" s="5" t="s">
        <v>167</v>
      </c>
      <c r="E419" s="7">
        <v>257951.45</v>
      </c>
      <c r="F419" s="7">
        <v>55382</v>
      </c>
    </row>
    <row r="420" spans="1:6" s="20" customFormat="1" x14ac:dyDescent="0.25">
      <c r="A420" s="21" t="s">
        <v>61</v>
      </c>
      <c r="B420" s="25" t="s">
        <v>384</v>
      </c>
      <c r="C420" s="23"/>
      <c r="D420" s="24"/>
      <c r="E420" s="23"/>
      <c r="F420" s="9">
        <f>F421+F422+F423+F424+F425+F426</f>
        <v>446275</v>
      </c>
    </row>
    <row r="421" spans="1:6" x14ac:dyDescent="0.25">
      <c r="A421" s="17" t="s">
        <v>355</v>
      </c>
      <c r="B421" s="26" t="s">
        <v>385</v>
      </c>
      <c r="C421" s="19">
        <v>0.137</v>
      </c>
      <c r="D421" s="5" t="s">
        <v>267</v>
      </c>
      <c r="E421" s="7">
        <v>56660.36</v>
      </c>
      <c r="F421" s="7">
        <v>7751</v>
      </c>
    </row>
    <row r="422" spans="1:6" x14ac:dyDescent="0.25">
      <c r="A422" s="17" t="s">
        <v>357</v>
      </c>
      <c r="B422" s="26" t="s">
        <v>386</v>
      </c>
      <c r="C422" s="19">
        <v>2.13</v>
      </c>
      <c r="D422" s="5" t="s">
        <v>167</v>
      </c>
      <c r="E422" s="7">
        <v>122466.89</v>
      </c>
      <c r="F422" s="7">
        <v>260855</v>
      </c>
    </row>
    <row r="423" spans="1:6" x14ac:dyDescent="0.25">
      <c r="A423" s="17" t="s">
        <v>358</v>
      </c>
      <c r="B423" s="26" t="s">
        <v>388</v>
      </c>
      <c r="C423" s="19">
        <v>0.041</v>
      </c>
      <c r="D423" s="5" t="s">
        <v>267</v>
      </c>
      <c r="E423" s="7">
        <v>345522.98</v>
      </c>
      <c r="F423" s="7">
        <v>13994</v>
      </c>
    </row>
    <row r="424" spans="1:6" x14ac:dyDescent="0.25">
      <c r="A424" s="17" t="s">
        <v>359</v>
      </c>
      <c r="B424" s="26" t="s">
        <v>343</v>
      </c>
      <c r="C424" s="19">
        <v>0.095</v>
      </c>
      <c r="D424" s="5" t="s">
        <v>267</v>
      </c>
      <c r="E424" s="7">
        <v>1016530.97</v>
      </c>
      <c r="F424" s="7">
        <v>96062</v>
      </c>
    </row>
    <row r="425" spans="1:6" x14ac:dyDescent="0.25">
      <c r="A425" s="17" t="s">
        <v>474</v>
      </c>
      <c r="B425" s="26" t="s">
        <v>389</v>
      </c>
      <c r="C425" s="19">
        <v>0.675</v>
      </c>
      <c r="D425" s="5" t="s">
        <v>167</v>
      </c>
      <c r="E425" s="7">
        <v>54647.67</v>
      </c>
      <c r="F425" s="7">
        <v>36887</v>
      </c>
    </row>
    <row r="426" spans="1:6" x14ac:dyDescent="0.25">
      <c r="A426" s="17" t="s">
        <v>475</v>
      </c>
      <c r="B426" s="26" t="s">
        <v>288</v>
      </c>
      <c r="C426" s="19">
        <v>0.675</v>
      </c>
      <c r="D426" s="5" t="s">
        <v>167</v>
      </c>
      <c r="E426" s="7">
        <v>45520.53</v>
      </c>
      <c r="F426" s="7">
        <v>30726</v>
      </c>
    </row>
    <row r="427" spans="1:6" x14ac:dyDescent="0.25">
      <c r="A427" s="17" t="s">
        <v>61</v>
      </c>
      <c r="B427" s="27" t="s">
        <v>476</v>
      </c>
      <c r="C427" s="19">
        <v>9.75</v>
      </c>
      <c r="D427" s="5" t="s">
        <v>167</v>
      </c>
      <c r="E427" s="7">
        <v>276722.58</v>
      </c>
      <c r="F427" s="7">
        <v>2698045</v>
      </c>
    </row>
    <row r="428" spans="1:6" x14ac:dyDescent="0.25">
      <c r="A428" s="17" t="s">
        <v>63</v>
      </c>
      <c r="B428" s="27" t="s">
        <v>477</v>
      </c>
      <c r="C428" s="19">
        <v>5.475</v>
      </c>
      <c r="D428" s="5" t="s">
        <v>167</v>
      </c>
      <c r="E428" s="7">
        <v>276722.58</v>
      </c>
      <c r="F428" s="7">
        <v>1515056</v>
      </c>
    </row>
    <row r="429" spans="1:6" x14ac:dyDescent="0.25">
      <c r="A429" s="17" t="s">
        <v>65</v>
      </c>
      <c r="B429" s="27" t="s">
        <v>478</v>
      </c>
      <c r="C429" s="19">
        <v>5.188</v>
      </c>
      <c r="D429" s="5" t="s">
        <v>170</v>
      </c>
      <c r="E429" s="7">
        <v>230693.18</v>
      </c>
      <c r="F429" s="7">
        <v>1196744</v>
      </c>
    </row>
    <row r="430" spans="1:6" s="20" customFormat="1" x14ac:dyDescent="0.25">
      <c r="A430" s="21" t="s">
        <v>67</v>
      </c>
      <c r="B430" s="25" t="s">
        <v>390</v>
      </c>
      <c r="C430" s="23"/>
      <c r="D430" s="24"/>
      <c r="E430" s="23"/>
      <c r="F430" s="9">
        <f>F431+F432+F433+F434</f>
        <v>15846746</v>
      </c>
    </row>
    <row r="431" spans="1:6" x14ac:dyDescent="0.25">
      <c r="A431" s="17" t="s">
        <v>257</v>
      </c>
      <c r="B431" s="26" t="s">
        <v>391</v>
      </c>
      <c r="C431" s="19">
        <v>23.1</v>
      </c>
      <c r="D431" s="5" t="s">
        <v>167</v>
      </c>
      <c r="E431" s="7">
        <v>342098.29</v>
      </c>
      <c r="F431" s="7">
        <v>7902470</v>
      </c>
    </row>
    <row r="432" spans="1:6" x14ac:dyDescent="0.25">
      <c r="A432" s="17" t="s">
        <v>259</v>
      </c>
      <c r="B432" s="26" t="s">
        <v>392</v>
      </c>
      <c r="C432" s="19">
        <v>98.4</v>
      </c>
      <c r="D432" s="5" t="s">
        <v>170</v>
      </c>
      <c r="E432" s="7">
        <v>19268.19</v>
      </c>
      <c r="F432" s="7">
        <v>1895990</v>
      </c>
    </row>
    <row r="433" spans="1:6" x14ac:dyDescent="0.25">
      <c r="A433" s="17" t="s">
        <v>479</v>
      </c>
      <c r="B433" s="26" t="s">
        <v>480</v>
      </c>
      <c r="C433" s="19">
        <v>49.363</v>
      </c>
      <c r="D433" s="5" t="s">
        <v>167</v>
      </c>
      <c r="E433" s="7">
        <v>110928.31</v>
      </c>
      <c r="F433" s="7">
        <v>5475699</v>
      </c>
    </row>
    <row r="434" spans="1:6" x14ac:dyDescent="0.25">
      <c r="A434" s="17" t="s">
        <v>481</v>
      </c>
      <c r="B434" s="26" t="s">
        <v>394</v>
      </c>
      <c r="C434" s="19">
        <v>6.25</v>
      </c>
      <c r="D434" s="5" t="s">
        <v>170</v>
      </c>
      <c r="E434" s="7">
        <v>91613.93</v>
      </c>
      <c r="F434" s="7">
        <v>572587</v>
      </c>
    </row>
    <row r="435" spans="1:6" x14ac:dyDescent="0.25">
      <c r="A435" s="17" t="s">
        <v>69</v>
      </c>
      <c r="B435" s="27" t="s">
        <v>395</v>
      </c>
      <c r="C435" s="19">
        <v>15.225</v>
      </c>
      <c r="D435" s="5" t="s">
        <v>167</v>
      </c>
      <c r="E435" s="7">
        <v>241006.97</v>
      </c>
      <c r="F435" s="7">
        <v>3669331</v>
      </c>
    </row>
    <row r="436" spans="1:6" s="20" customFormat="1" x14ac:dyDescent="0.25">
      <c r="A436" s="21" t="s">
        <v>71</v>
      </c>
      <c r="B436" s="25" t="s">
        <v>482</v>
      </c>
      <c r="C436" s="23"/>
      <c r="D436" s="24"/>
      <c r="E436" s="23"/>
      <c r="F436" s="9">
        <f>F437+F438+F439+F440+F441+F442+F443</f>
        <v>2758686</v>
      </c>
    </row>
    <row r="437" spans="1:6" x14ac:dyDescent="0.25">
      <c r="A437" s="17" t="s">
        <v>483</v>
      </c>
      <c r="B437" s="26" t="s">
        <v>484</v>
      </c>
      <c r="C437" s="19">
        <v>0</v>
      </c>
      <c r="D437" s="5" t="s">
        <v>485</v>
      </c>
      <c r="E437" s="7">
        <v>0</v>
      </c>
      <c r="F437" s="7">
        <v>0</v>
      </c>
    </row>
    <row r="438" spans="1:6" x14ac:dyDescent="0.25">
      <c r="A438" s="17" t="s">
        <v>486</v>
      </c>
      <c r="B438" s="26" t="s">
        <v>487</v>
      </c>
      <c r="C438" s="19">
        <v>0.021</v>
      </c>
      <c r="D438" s="5" t="s">
        <v>167</v>
      </c>
      <c r="E438" s="7">
        <v>56660.36</v>
      </c>
      <c r="F438" s="7">
        <v>1190</v>
      </c>
    </row>
    <row r="439" spans="1:6" x14ac:dyDescent="0.25">
      <c r="A439" s="17" t="s">
        <v>488</v>
      </c>
      <c r="B439" s="26" t="s">
        <v>489</v>
      </c>
      <c r="C439" s="19">
        <v>0.44</v>
      </c>
      <c r="D439" s="5" t="s">
        <v>167</v>
      </c>
      <c r="E439" s="7">
        <v>208190.98</v>
      </c>
      <c r="F439" s="7">
        <v>91604</v>
      </c>
    </row>
    <row r="440" spans="1:6" x14ac:dyDescent="0.25">
      <c r="A440" s="17" t="s">
        <v>490</v>
      </c>
      <c r="B440" s="26" t="s">
        <v>491</v>
      </c>
      <c r="C440" s="19">
        <v>0.028</v>
      </c>
      <c r="D440" s="5" t="s">
        <v>267</v>
      </c>
      <c r="E440" s="7">
        <v>1151545.01</v>
      </c>
      <c r="F440" s="7">
        <v>32243</v>
      </c>
    </row>
    <row r="441" spans="1:6" x14ac:dyDescent="0.25">
      <c r="A441" s="17" t="s">
        <v>492</v>
      </c>
      <c r="B441" s="26" t="s">
        <v>493</v>
      </c>
      <c r="C441" s="19">
        <v>8</v>
      </c>
      <c r="D441" s="5" t="s">
        <v>169</v>
      </c>
      <c r="E441" s="7">
        <v>9397.44</v>
      </c>
      <c r="F441" s="7">
        <v>75180</v>
      </c>
    </row>
    <row r="442" spans="1:6" x14ac:dyDescent="0.25">
      <c r="A442" s="17" t="s">
        <v>494</v>
      </c>
      <c r="B442" s="26" t="s">
        <v>495</v>
      </c>
      <c r="C442" s="19">
        <v>7.056</v>
      </c>
      <c r="D442" s="5" t="s">
        <v>167</v>
      </c>
      <c r="E442" s="7">
        <v>230273.29</v>
      </c>
      <c r="F442" s="7">
        <v>1624808</v>
      </c>
    </row>
    <row r="443" spans="1:6" x14ac:dyDescent="0.25">
      <c r="A443" s="17" t="s">
        <v>496</v>
      </c>
      <c r="B443" s="26" t="s">
        <v>497</v>
      </c>
      <c r="C443" s="19">
        <v>8.417</v>
      </c>
      <c r="D443" s="5" t="s">
        <v>167</v>
      </c>
      <c r="E443" s="7">
        <v>110928.31</v>
      </c>
      <c r="F443" s="7">
        <v>933661</v>
      </c>
    </row>
    <row r="444" spans="1:6" x14ac:dyDescent="0.25">
      <c r="A444" s="17" t="s">
        <v>73</v>
      </c>
      <c r="B444" s="27" t="s">
        <v>498</v>
      </c>
      <c r="C444" s="19">
        <v>106.819</v>
      </c>
      <c r="D444" s="5" t="s">
        <v>167</v>
      </c>
      <c r="E444" s="7">
        <v>98000</v>
      </c>
      <c r="F444" s="7">
        <v>10468282</v>
      </c>
    </row>
    <row r="445" spans="1:6" x14ac:dyDescent="0.25">
      <c r="A445" s="17" t="s">
        <v>499</v>
      </c>
      <c r="B445" s="27" t="s">
        <v>500</v>
      </c>
      <c r="C445" s="19">
        <v>15.225</v>
      </c>
      <c r="D445" s="5" t="s">
        <v>167</v>
      </c>
      <c r="E445" s="7">
        <v>35591.98</v>
      </c>
      <c r="F445" s="7">
        <v>541888</v>
      </c>
    </row>
    <row r="446" spans="1:6" x14ac:dyDescent="0.25">
      <c r="A446" s="17" t="s">
        <v>501</v>
      </c>
      <c r="B446" s="27" t="s">
        <v>399</v>
      </c>
      <c r="C446" s="19">
        <v>19.998</v>
      </c>
      <c r="D446" s="5" t="s">
        <v>170</v>
      </c>
      <c r="E446" s="7">
        <v>214927.86</v>
      </c>
      <c r="F446" s="7">
        <v>4298127</v>
      </c>
    </row>
    <row r="447" spans="1:6" x14ac:dyDescent="0.25">
      <c r="A447" s="17" t="s">
        <v>502</v>
      </c>
      <c r="B447" s="27" t="s">
        <v>400</v>
      </c>
      <c r="C447" s="19">
        <v>5.999</v>
      </c>
      <c r="D447" s="5" t="s">
        <v>167</v>
      </c>
      <c r="E447" s="7">
        <v>99462.99</v>
      </c>
      <c r="F447" s="7">
        <v>596718</v>
      </c>
    </row>
    <row r="448" spans="1:6" x14ac:dyDescent="0.25">
      <c r="A448" s="17" t="s">
        <v>501</v>
      </c>
      <c r="B448" s="27" t="s">
        <v>503</v>
      </c>
      <c r="C448" s="19">
        <v>1</v>
      </c>
      <c r="D448" s="5" t="s">
        <v>240</v>
      </c>
      <c r="E448" s="7">
        <v>386714.63</v>
      </c>
      <c r="F448" s="7">
        <v>386715</v>
      </c>
    </row>
    <row r="449" spans="1:6" x14ac:dyDescent="0.25">
      <c r="A449" s="17" t="s">
        <v>502</v>
      </c>
      <c r="B449" s="27" t="s">
        <v>504</v>
      </c>
      <c r="C449" s="19">
        <v>14</v>
      </c>
      <c r="D449" s="5" t="s">
        <v>169</v>
      </c>
      <c r="E449" s="7">
        <v>156785.85</v>
      </c>
      <c r="F449" s="7">
        <v>2195002</v>
      </c>
    </row>
    <row r="450" spans="1:6" s="20" customFormat="1" x14ac:dyDescent="0.25">
      <c r="A450" s="21" t="s">
        <v>108</v>
      </c>
      <c r="B450" s="22" t="s">
        <v>109</v>
      </c>
      <c r="C450" s="23"/>
      <c r="D450" s="24"/>
      <c r="E450" s="23"/>
      <c r="F450" s="9">
        <f>F451+F452+F453+F454+F455+F456+F457+F458+F459+F460+F474+F475+F480+F481+F482+F483+F484+F485+F486+F487</f>
        <v>30585194</v>
      </c>
    </row>
    <row r="451" spans="1:6" x14ac:dyDescent="0.25">
      <c r="A451" s="17" t="s">
        <v>45</v>
      </c>
      <c r="B451" s="27" t="s">
        <v>505</v>
      </c>
      <c r="C451" s="19">
        <v>2</v>
      </c>
      <c r="D451" s="5" t="s">
        <v>170</v>
      </c>
      <c r="E451" s="7">
        <v>40510.12</v>
      </c>
      <c r="F451" s="7">
        <v>81020</v>
      </c>
    </row>
    <row r="452" spans="1:6" x14ac:dyDescent="0.25">
      <c r="A452" s="17" t="s">
        <v>47</v>
      </c>
      <c r="B452" s="27" t="s">
        <v>506</v>
      </c>
      <c r="C452" s="19">
        <v>5</v>
      </c>
      <c r="D452" s="5" t="s">
        <v>170</v>
      </c>
      <c r="E452" s="7">
        <v>51497.56</v>
      </c>
      <c r="F452" s="7">
        <v>257488</v>
      </c>
    </row>
    <row r="453" spans="1:6" x14ac:dyDescent="0.25">
      <c r="A453" s="17" t="s">
        <v>49</v>
      </c>
      <c r="B453" s="27" t="s">
        <v>507</v>
      </c>
      <c r="C453" s="19">
        <v>3.5</v>
      </c>
      <c r="D453" s="5" t="s">
        <v>170</v>
      </c>
      <c r="E453" s="7">
        <v>168759.32</v>
      </c>
      <c r="F453" s="7">
        <v>590658</v>
      </c>
    </row>
    <row r="454" spans="1:6" x14ac:dyDescent="0.25">
      <c r="A454" s="17" t="s">
        <v>51</v>
      </c>
      <c r="B454" s="27" t="s">
        <v>508</v>
      </c>
      <c r="C454" s="19">
        <v>2.5</v>
      </c>
      <c r="D454" s="5" t="s">
        <v>170</v>
      </c>
      <c r="E454" s="7">
        <v>233097.83</v>
      </c>
      <c r="F454" s="7">
        <v>582745</v>
      </c>
    </row>
    <row r="455" spans="1:6" x14ac:dyDescent="0.25">
      <c r="A455" s="17" t="s">
        <v>53</v>
      </c>
      <c r="B455" s="27" t="s">
        <v>509</v>
      </c>
      <c r="C455" s="19">
        <v>1</v>
      </c>
      <c r="D455" s="5" t="s">
        <v>169</v>
      </c>
      <c r="E455" s="7">
        <v>2723029.35</v>
      </c>
      <c r="F455" s="7">
        <v>2723029</v>
      </c>
    </row>
    <row r="456" spans="1:6" x14ac:dyDescent="0.25">
      <c r="A456" s="17" t="s">
        <v>55</v>
      </c>
      <c r="B456" s="27" t="s">
        <v>510</v>
      </c>
      <c r="C456" s="19">
        <v>1</v>
      </c>
      <c r="D456" s="5" t="s">
        <v>169</v>
      </c>
      <c r="E456" s="7">
        <v>190300.21</v>
      </c>
      <c r="F456" s="7">
        <v>190300</v>
      </c>
    </row>
    <row r="457" spans="1:6" x14ac:dyDescent="0.25">
      <c r="A457" s="17" t="s">
        <v>57</v>
      </c>
      <c r="B457" s="27" t="s">
        <v>511</v>
      </c>
      <c r="C457" s="19">
        <v>1</v>
      </c>
      <c r="D457" s="5" t="s">
        <v>169</v>
      </c>
      <c r="E457" s="7">
        <v>82795.66</v>
      </c>
      <c r="F457" s="7">
        <v>82796</v>
      </c>
    </row>
    <row r="458" spans="1:6" x14ac:dyDescent="0.25">
      <c r="A458" s="17" t="s">
        <v>59</v>
      </c>
      <c r="B458" s="27" t="s">
        <v>512</v>
      </c>
      <c r="C458" s="19">
        <v>1</v>
      </c>
      <c r="D458" s="5" t="s">
        <v>169</v>
      </c>
      <c r="E458" s="7">
        <v>34114.81</v>
      </c>
      <c r="F458" s="7">
        <v>34115</v>
      </c>
    </row>
    <row r="459" spans="1:6" x14ac:dyDescent="0.25">
      <c r="A459" s="17" t="s">
        <v>61</v>
      </c>
      <c r="B459" s="27" t="s">
        <v>513</v>
      </c>
      <c r="C459" s="19">
        <v>1</v>
      </c>
      <c r="D459" s="5" t="s">
        <v>240</v>
      </c>
      <c r="E459" s="7">
        <v>1614611.28</v>
      </c>
      <c r="F459" s="7">
        <v>1614611</v>
      </c>
    </row>
    <row r="460" spans="1:6" s="20" customFormat="1" x14ac:dyDescent="0.25">
      <c r="A460" s="21" t="s">
        <v>63</v>
      </c>
      <c r="B460" s="25" t="s">
        <v>514</v>
      </c>
      <c r="C460" s="23"/>
      <c r="D460" s="24"/>
      <c r="E460" s="23"/>
      <c r="F460" s="9">
        <f>F461+F462+F463+F464+F465+F466+F467+F468+F469+F470+F471+F472+F473</f>
        <v>5480518</v>
      </c>
    </row>
    <row r="461" spans="1:6" x14ac:dyDescent="0.25">
      <c r="A461" s="17" t="s">
        <v>238</v>
      </c>
      <c r="B461" s="26" t="s">
        <v>515</v>
      </c>
      <c r="C461" s="19">
        <v>1</v>
      </c>
      <c r="D461" s="5" t="s">
        <v>240</v>
      </c>
      <c r="E461" s="7">
        <v>1263303.87</v>
      </c>
      <c r="F461" s="7">
        <v>1263304</v>
      </c>
    </row>
    <row r="462" spans="1:6" x14ac:dyDescent="0.25">
      <c r="A462" s="17" t="s">
        <v>241</v>
      </c>
      <c r="B462" s="26" t="s">
        <v>516</v>
      </c>
      <c r="C462" s="19">
        <v>1</v>
      </c>
      <c r="D462" s="5" t="s">
        <v>240</v>
      </c>
      <c r="E462" s="7">
        <v>1151545.01</v>
      </c>
      <c r="F462" s="7">
        <v>1151545</v>
      </c>
    </row>
    <row r="463" spans="1:6" x14ac:dyDescent="0.25">
      <c r="A463" s="17" t="s">
        <v>243</v>
      </c>
      <c r="B463" s="26" t="s">
        <v>517</v>
      </c>
      <c r="C463" s="19">
        <v>0</v>
      </c>
      <c r="D463" s="5" t="s">
        <v>485</v>
      </c>
      <c r="E463" s="7">
        <v>0</v>
      </c>
      <c r="F463" s="7">
        <v>0</v>
      </c>
    </row>
    <row r="464" spans="1:6" x14ac:dyDescent="0.25">
      <c r="A464" s="17" t="s">
        <v>518</v>
      </c>
      <c r="B464" s="26" t="s">
        <v>519</v>
      </c>
      <c r="C464" s="19">
        <v>2.304</v>
      </c>
      <c r="D464" s="5" t="s">
        <v>267</v>
      </c>
      <c r="E464" s="7">
        <v>120211.9</v>
      </c>
      <c r="F464" s="7">
        <v>276968</v>
      </c>
    </row>
    <row r="465" spans="1:6" x14ac:dyDescent="0.25">
      <c r="A465" s="17" t="s">
        <v>520</v>
      </c>
      <c r="B465" s="26" t="s">
        <v>521</v>
      </c>
      <c r="C465" s="19">
        <v>2.88</v>
      </c>
      <c r="D465" s="5" t="s">
        <v>167</v>
      </c>
      <c r="E465" s="7">
        <v>130392.01</v>
      </c>
      <c r="F465" s="7">
        <v>375529</v>
      </c>
    </row>
    <row r="466" spans="1:6" x14ac:dyDescent="0.25">
      <c r="A466" s="17" t="s">
        <v>522</v>
      </c>
      <c r="B466" s="26" t="s">
        <v>523</v>
      </c>
      <c r="C466" s="19">
        <v>12.503</v>
      </c>
      <c r="D466" s="5" t="s">
        <v>276</v>
      </c>
      <c r="E466" s="7">
        <v>19248.5</v>
      </c>
      <c r="F466" s="7">
        <v>240657</v>
      </c>
    </row>
    <row r="467" spans="1:6" x14ac:dyDescent="0.25">
      <c r="A467" s="17" t="s">
        <v>524</v>
      </c>
      <c r="B467" s="26" t="s">
        <v>525</v>
      </c>
      <c r="C467" s="19">
        <v>0.432</v>
      </c>
      <c r="D467" s="5" t="s">
        <v>267</v>
      </c>
      <c r="E467" s="7">
        <v>1151545.01</v>
      </c>
      <c r="F467" s="7">
        <v>497468</v>
      </c>
    </row>
    <row r="468" spans="1:6" x14ac:dyDescent="0.25">
      <c r="A468" s="17" t="s">
        <v>245</v>
      </c>
      <c r="B468" s="26" t="s">
        <v>526</v>
      </c>
      <c r="C468" s="19">
        <v>0</v>
      </c>
      <c r="D468" s="5" t="s">
        <v>485</v>
      </c>
      <c r="E468" s="7">
        <v>0</v>
      </c>
      <c r="F468" s="7">
        <v>0</v>
      </c>
    </row>
    <row r="469" spans="1:6" x14ac:dyDescent="0.25">
      <c r="A469" s="17" t="s">
        <v>527</v>
      </c>
      <c r="B469" s="26" t="s">
        <v>528</v>
      </c>
      <c r="C469" s="19">
        <v>3.2</v>
      </c>
      <c r="D469" s="5" t="s">
        <v>167</v>
      </c>
      <c r="E469" s="7">
        <v>208190.98</v>
      </c>
      <c r="F469" s="7">
        <v>666211</v>
      </c>
    </row>
    <row r="470" spans="1:6" x14ac:dyDescent="0.25">
      <c r="A470" s="17" t="s">
        <v>529</v>
      </c>
      <c r="B470" s="26" t="s">
        <v>530</v>
      </c>
      <c r="C470" s="19">
        <v>22.505</v>
      </c>
      <c r="D470" s="5" t="s">
        <v>276</v>
      </c>
      <c r="E470" s="7">
        <v>19248.5</v>
      </c>
      <c r="F470" s="7">
        <v>433182</v>
      </c>
    </row>
    <row r="471" spans="1:6" x14ac:dyDescent="0.25">
      <c r="A471" s="17" t="s">
        <v>531</v>
      </c>
      <c r="B471" s="26" t="s">
        <v>532</v>
      </c>
      <c r="C471" s="19">
        <v>9.848</v>
      </c>
      <c r="D471" s="5" t="s">
        <v>276</v>
      </c>
      <c r="E471" s="7">
        <v>13176.23</v>
      </c>
      <c r="F471" s="7">
        <v>129762</v>
      </c>
    </row>
    <row r="472" spans="1:6" x14ac:dyDescent="0.25">
      <c r="A472" s="17" t="s">
        <v>533</v>
      </c>
      <c r="B472" s="26" t="s">
        <v>525</v>
      </c>
      <c r="C472" s="19">
        <v>0.2</v>
      </c>
      <c r="D472" s="5" t="s">
        <v>267</v>
      </c>
      <c r="E472" s="7">
        <v>1151545.01</v>
      </c>
      <c r="F472" s="7">
        <v>230309</v>
      </c>
    </row>
    <row r="473" spans="1:6" x14ac:dyDescent="0.25">
      <c r="A473" s="17" t="s">
        <v>534</v>
      </c>
      <c r="B473" s="26" t="s">
        <v>535</v>
      </c>
      <c r="C473" s="19">
        <v>11.2</v>
      </c>
      <c r="D473" s="5" t="s">
        <v>276</v>
      </c>
      <c r="E473" s="7">
        <v>19248.5</v>
      </c>
      <c r="F473" s="7">
        <v>215583</v>
      </c>
    </row>
    <row r="474" spans="1:6" x14ac:dyDescent="0.25">
      <c r="A474" s="17" t="s">
        <v>65</v>
      </c>
      <c r="B474" s="27" t="s">
        <v>536</v>
      </c>
      <c r="C474" s="19">
        <v>1</v>
      </c>
      <c r="D474" s="5" t="s">
        <v>240</v>
      </c>
      <c r="E474" s="7">
        <v>2900000</v>
      </c>
      <c r="F474" s="7">
        <v>2900000</v>
      </c>
    </row>
    <row r="475" spans="1:6" s="20" customFormat="1" x14ac:dyDescent="0.25">
      <c r="A475" s="21" t="s">
        <v>67</v>
      </c>
      <c r="B475" s="25" t="s">
        <v>537</v>
      </c>
      <c r="C475" s="23"/>
      <c r="D475" s="24"/>
      <c r="E475" s="23"/>
      <c r="F475" s="9">
        <f>F476+F477+F478+F479</f>
        <v>8701133</v>
      </c>
    </row>
    <row r="476" spans="1:6" x14ac:dyDescent="0.25">
      <c r="A476" s="17" t="s">
        <v>257</v>
      </c>
      <c r="B476" s="26" t="s">
        <v>538</v>
      </c>
      <c r="C476" s="19">
        <v>3.938</v>
      </c>
      <c r="D476" s="5" t="s">
        <v>267</v>
      </c>
      <c r="E476" s="7">
        <v>103880.83</v>
      </c>
      <c r="F476" s="7">
        <v>409031</v>
      </c>
    </row>
    <row r="477" spans="1:6" x14ac:dyDescent="0.25">
      <c r="A477" s="17" t="s">
        <v>259</v>
      </c>
      <c r="B477" s="26" t="s">
        <v>539</v>
      </c>
      <c r="C477" s="19">
        <v>0.225</v>
      </c>
      <c r="D477" s="5" t="s">
        <v>267</v>
      </c>
      <c r="E477" s="7">
        <v>345522.98</v>
      </c>
      <c r="F477" s="7">
        <v>77742</v>
      </c>
    </row>
    <row r="478" spans="1:6" x14ac:dyDescent="0.25">
      <c r="A478" s="17" t="s">
        <v>479</v>
      </c>
      <c r="B478" s="26" t="s">
        <v>440</v>
      </c>
      <c r="C478" s="19">
        <v>0.113</v>
      </c>
      <c r="D478" s="5" t="s">
        <v>267</v>
      </c>
      <c r="E478" s="7">
        <v>1016530.97</v>
      </c>
      <c r="F478" s="7">
        <v>114360</v>
      </c>
    </row>
    <row r="479" spans="1:6" x14ac:dyDescent="0.25">
      <c r="A479" s="17" t="s">
        <v>481</v>
      </c>
      <c r="B479" s="26" t="s">
        <v>540</v>
      </c>
      <c r="C479" s="19">
        <v>1</v>
      </c>
      <c r="D479" s="5" t="s">
        <v>240</v>
      </c>
      <c r="E479" s="7">
        <v>8100000</v>
      </c>
      <c r="F479" s="7">
        <v>8100000</v>
      </c>
    </row>
    <row r="480" spans="1:6" x14ac:dyDescent="0.25">
      <c r="A480" s="17" t="s">
        <v>69</v>
      </c>
      <c r="B480" s="27" t="s">
        <v>541</v>
      </c>
      <c r="C480" s="19">
        <v>4</v>
      </c>
      <c r="D480" s="5" t="s">
        <v>237</v>
      </c>
      <c r="E480" s="7">
        <v>424608.39</v>
      </c>
      <c r="F480" s="7">
        <v>1698433</v>
      </c>
    </row>
    <row r="481" spans="1:6" x14ac:dyDescent="0.25">
      <c r="A481" s="17" t="s">
        <v>71</v>
      </c>
      <c r="B481" s="27" t="s">
        <v>404</v>
      </c>
      <c r="C481" s="19">
        <v>2</v>
      </c>
      <c r="D481" s="5" t="s">
        <v>237</v>
      </c>
      <c r="E481" s="7">
        <v>534274.39</v>
      </c>
      <c r="F481" s="7">
        <v>1068549</v>
      </c>
    </row>
    <row r="482" spans="1:6" x14ac:dyDescent="0.25">
      <c r="A482" s="17" t="s">
        <v>73</v>
      </c>
      <c r="B482" s="27" t="s">
        <v>542</v>
      </c>
      <c r="C482" s="19">
        <v>4</v>
      </c>
      <c r="D482" s="5" t="s">
        <v>169</v>
      </c>
      <c r="E482" s="7">
        <v>160506.41</v>
      </c>
      <c r="F482" s="7">
        <v>642026</v>
      </c>
    </row>
    <row r="483" spans="1:6" x14ac:dyDescent="0.25">
      <c r="A483" s="17" t="s">
        <v>499</v>
      </c>
      <c r="B483" s="27" t="s">
        <v>543</v>
      </c>
      <c r="C483" s="19">
        <v>1</v>
      </c>
      <c r="D483" s="5" t="s">
        <v>169</v>
      </c>
      <c r="E483" s="7">
        <v>66848.01</v>
      </c>
      <c r="F483" s="7">
        <v>66848</v>
      </c>
    </row>
    <row r="484" spans="1:6" x14ac:dyDescent="0.25">
      <c r="A484" s="17" t="s">
        <v>501</v>
      </c>
      <c r="B484" s="27" t="s">
        <v>544</v>
      </c>
      <c r="C484" s="19">
        <v>1</v>
      </c>
      <c r="D484" s="5" t="s">
        <v>169</v>
      </c>
      <c r="E484" s="7">
        <v>69831.65</v>
      </c>
      <c r="F484" s="7">
        <v>69832</v>
      </c>
    </row>
    <row r="485" spans="1:6" x14ac:dyDescent="0.25">
      <c r="A485" s="17" t="s">
        <v>502</v>
      </c>
      <c r="B485" s="27" t="s">
        <v>545</v>
      </c>
      <c r="C485" s="19">
        <v>2</v>
      </c>
      <c r="D485" s="5" t="s">
        <v>169</v>
      </c>
      <c r="E485" s="7">
        <v>55282.67</v>
      </c>
      <c r="F485" s="7">
        <v>110565</v>
      </c>
    </row>
    <row r="486" spans="1:6" x14ac:dyDescent="0.25">
      <c r="A486" s="17" t="s">
        <v>546</v>
      </c>
      <c r="B486" s="27" t="s">
        <v>547</v>
      </c>
      <c r="C486" s="19">
        <v>1</v>
      </c>
      <c r="D486" s="5" t="s">
        <v>169</v>
      </c>
      <c r="E486" s="7">
        <v>1142445.29</v>
      </c>
      <c r="F486" s="7">
        <v>1142445</v>
      </c>
    </row>
    <row r="487" spans="1:6" x14ac:dyDescent="0.25">
      <c r="A487" s="17" t="s">
        <v>548</v>
      </c>
      <c r="B487" s="27" t="s">
        <v>408</v>
      </c>
      <c r="C487" s="19">
        <v>1</v>
      </c>
      <c r="D487" s="5" t="s">
        <v>240</v>
      </c>
      <c r="E487" s="7">
        <v>2548083.11</v>
      </c>
      <c r="F487" s="7">
        <v>2548083</v>
      </c>
    </row>
    <row r="488" spans="1:6" s="10" customFormat="1" x14ac:dyDescent="0.25">
      <c r="A488" s="15" t="s">
        <v>20</v>
      </c>
      <c r="B488" s="16" t="s">
        <v>21</v>
      </c>
      <c r="C488" s="12"/>
      <c r="D488" s="11"/>
      <c r="E488" s="12"/>
      <c r="F488" s="14">
        <f>F489+F558</f>
        <v>302274828</v>
      </c>
    </row>
    <row r="489" spans="1:6" s="20" customFormat="1" x14ac:dyDescent="0.25">
      <c r="A489" s="21" t="s">
        <v>111</v>
      </c>
      <c r="B489" s="22" t="s">
        <v>85</v>
      </c>
      <c r="C489" s="23"/>
      <c r="D489" s="24"/>
      <c r="E489" s="23"/>
      <c r="F489" s="9">
        <f>F490+F491+F499+F504+F505+F510+F515+F520+F525+F530+F535+F540+F545+F552</f>
        <v>93784616</v>
      </c>
    </row>
    <row r="490" spans="1:6" x14ac:dyDescent="0.25">
      <c r="A490" s="17" t="s">
        <v>45</v>
      </c>
      <c r="B490" s="27" t="s">
        <v>153</v>
      </c>
      <c r="C490" s="19">
        <v>28</v>
      </c>
      <c r="D490" s="5" t="s">
        <v>170</v>
      </c>
      <c r="E490" s="7">
        <v>147990.68</v>
      </c>
      <c r="F490" s="7">
        <v>4143739</v>
      </c>
    </row>
    <row r="491" spans="1:6" s="20" customFormat="1" x14ac:dyDescent="0.25">
      <c r="A491" s="21" t="s">
        <v>47</v>
      </c>
      <c r="B491" s="25" t="s">
        <v>322</v>
      </c>
      <c r="C491" s="23"/>
      <c r="D491" s="24"/>
      <c r="E491" s="23"/>
      <c r="F491" s="9">
        <f>F492+F493+F494+F495+F496+F497+F498</f>
        <v>13279081</v>
      </c>
    </row>
    <row r="492" spans="1:6" x14ac:dyDescent="0.25">
      <c r="A492" s="17" t="s">
        <v>272</v>
      </c>
      <c r="B492" s="26" t="s">
        <v>266</v>
      </c>
      <c r="C492" s="19">
        <v>14.4</v>
      </c>
      <c r="D492" s="5" t="s">
        <v>267</v>
      </c>
      <c r="E492" s="7">
        <v>56660.36</v>
      </c>
      <c r="F492" s="7">
        <v>815909</v>
      </c>
    </row>
    <row r="493" spans="1:6" x14ac:dyDescent="0.25">
      <c r="A493" s="17" t="s">
        <v>274</v>
      </c>
      <c r="B493" s="26" t="s">
        <v>323</v>
      </c>
      <c r="C493" s="19">
        <v>0.84</v>
      </c>
      <c r="D493" s="5" t="s">
        <v>267</v>
      </c>
      <c r="E493" s="7">
        <v>345522.98</v>
      </c>
      <c r="F493" s="7">
        <v>290239</v>
      </c>
    </row>
    <row r="494" spans="1:6" x14ac:dyDescent="0.25">
      <c r="A494" s="17" t="s">
        <v>277</v>
      </c>
      <c r="B494" s="26" t="s">
        <v>324</v>
      </c>
      <c r="C494" s="19">
        <v>0.36</v>
      </c>
      <c r="D494" s="5" t="s">
        <v>267</v>
      </c>
      <c r="E494" s="7">
        <v>1016530.97</v>
      </c>
      <c r="F494" s="7">
        <v>365951</v>
      </c>
    </row>
    <row r="495" spans="1:6" x14ac:dyDescent="0.25">
      <c r="A495" s="17" t="s">
        <v>279</v>
      </c>
      <c r="B495" s="26" t="s">
        <v>325</v>
      </c>
      <c r="C495" s="19">
        <v>14.4</v>
      </c>
      <c r="D495" s="5" t="s">
        <v>167</v>
      </c>
      <c r="E495" s="7">
        <v>130392.01</v>
      </c>
      <c r="F495" s="7">
        <v>1877645</v>
      </c>
    </row>
    <row r="496" spans="1:6" x14ac:dyDescent="0.25">
      <c r="A496" s="17" t="s">
        <v>326</v>
      </c>
      <c r="B496" s="26" t="s">
        <v>447</v>
      </c>
      <c r="C496" s="19">
        <v>66.58</v>
      </c>
      <c r="D496" s="5" t="s">
        <v>276</v>
      </c>
      <c r="E496" s="7">
        <v>13176.23</v>
      </c>
      <c r="F496" s="7">
        <v>877273</v>
      </c>
    </row>
    <row r="497" spans="1:6" x14ac:dyDescent="0.25">
      <c r="A497" s="17" t="s">
        <v>328</v>
      </c>
      <c r="B497" s="26" t="s">
        <v>329</v>
      </c>
      <c r="C497" s="19">
        <v>2.3</v>
      </c>
      <c r="D497" s="5" t="s">
        <v>267</v>
      </c>
      <c r="E497" s="7">
        <v>1151545.01</v>
      </c>
      <c r="F497" s="7">
        <v>2648554</v>
      </c>
    </row>
    <row r="498" spans="1:6" x14ac:dyDescent="0.25">
      <c r="A498" s="17" t="s">
        <v>330</v>
      </c>
      <c r="B498" s="26" t="s">
        <v>298</v>
      </c>
      <c r="C498" s="19">
        <v>240</v>
      </c>
      <c r="D498" s="5" t="s">
        <v>170</v>
      </c>
      <c r="E498" s="7">
        <v>26681.29</v>
      </c>
      <c r="F498" s="7">
        <v>6403510</v>
      </c>
    </row>
    <row r="499" spans="1:6" s="20" customFormat="1" x14ac:dyDescent="0.25">
      <c r="A499" s="21" t="s">
        <v>49</v>
      </c>
      <c r="B499" s="25" t="s">
        <v>456</v>
      </c>
      <c r="C499" s="23"/>
      <c r="D499" s="24"/>
      <c r="E499" s="23"/>
      <c r="F499" s="9">
        <f>F500+F501+F502+F503</f>
        <v>16459393</v>
      </c>
    </row>
    <row r="500" spans="1:6" x14ac:dyDescent="0.25">
      <c r="A500" s="17" t="s">
        <v>281</v>
      </c>
      <c r="B500" s="26" t="s">
        <v>304</v>
      </c>
      <c r="C500" s="19">
        <v>28.19</v>
      </c>
      <c r="D500" s="5" t="s">
        <v>267</v>
      </c>
      <c r="E500" s="7">
        <v>56660.36</v>
      </c>
      <c r="F500" s="7">
        <v>1597256</v>
      </c>
    </row>
    <row r="501" spans="1:6" x14ac:dyDescent="0.25">
      <c r="A501" s="17" t="s">
        <v>282</v>
      </c>
      <c r="B501" s="26" t="s">
        <v>333</v>
      </c>
      <c r="C501" s="19">
        <v>0</v>
      </c>
      <c r="D501" s="5" t="s">
        <v>170</v>
      </c>
      <c r="E501" s="7">
        <v>26681.29</v>
      </c>
      <c r="F501" s="7">
        <v>0</v>
      </c>
    </row>
    <row r="502" spans="1:6" x14ac:dyDescent="0.25">
      <c r="A502" s="17" t="s">
        <v>284</v>
      </c>
      <c r="B502" s="26" t="s">
        <v>549</v>
      </c>
      <c r="C502" s="19">
        <v>2.27</v>
      </c>
      <c r="D502" s="5" t="s">
        <v>267</v>
      </c>
      <c r="E502" s="7">
        <v>345522.98</v>
      </c>
      <c r="F502" s="7">
        <v>784337</v>
      </c>
    </row>
    <row r="503" spans="1:6" x14ac:dyDescent="0.25">
      <c r="A503" s="17" t="s">
        <v>286</v>
      </c>
      <c r="B503" s="26" t="s">
        <v>331</v>
      </c>
      <c r="C503" s="19">
        <v>17.82</v>
      </c>
      <c r="D503" s="5" t="s">
        <v>267</v>
      </c>
      <c r="E503" s="7">
        <v>790000</v>
      </c>
      <c r="F503" s="7">
        <v>14077800</v>
      </c>
    </row>
    <row r="504" spans="1:6" x14ac:dyDescent="0.25">
      <c r="A504" s="17" t="s">
        <v>51</v>
      </c>
      <c r="B504" s="27" t="s">
        <v>336</v>
      </c>
      <c r="C504" s="19">
        <v>12.48</v>
      </c>
      <c r="D504" s="5" t="s">
        <v>276</v>
      </c>
      <c r="E504" s="7">
        <v>13176.23</v>
      </c>
      <c r="F504" s="7">
        <v>164439</v>
      </c>
    </row>
    <row r="505" spans="1:6" s="20" customFormat="1" x14ac:dyDescent="0.25">
      <c r="A505" s="21" t="s">
        <v>53</v>
      </c>
      <c r="B505" s="25" t="s">
        <v>337</v>
      </c>
      <c r="C505" s="23"/>
      <c r="D505" s="24"/>
      <c r="E505" s="23"/>
      <c r="F505" s="9">
        <f>F506+F507+F508+F509</f>
        <v>12629470</v>
      </c>
    </row>
    <row r="506" spans="1:6" x14ac:dyDescent="0.25">
      <c r="A506" s="17" t="s">
        <v>297</v>
      </c>
      <c r="B506" s="26" t="s">
        <v>292</v>
      </c>
      <c r="C506" s="19">
        <v>24.3</v>
      </c>
      <c r="D506" s="5" t="s">
        <v>167</v>
      </c>
      <c r="E506" s="7">
        <v>246976.42</v>
      </c>
      <c r="F506" s="7">
        <v>6001527</v>
      </c>
    </row>
    <row r="507" spans="1:6" x14ac:dyDescent="0.25">
      <c r="A507" s="17" t="s">
        <v>299</v>
      </c>
      <c r="B507" s="26" t="s">
        <v>338</v>
      </c>
      <c r="C507" s="19">
        <v>124.84</v>
      </c>
      <c r="D507" s="5" t="s">
        <v>276</v>
      </c>
      <c r="E507" s="7">
        <v>13176.23</v>
      </c>
      <c r="F507" s="7">
        <v>1644920</v>
      </c>
    </row>
    <row r="508" spans="1:6" x14ac:dyDescent="0.25">
      <c r="A508" s="17" t="s">
        <v>301</v>
      </c>
      <c r="B508" s="26" t="s">
        <v>339</v>
      </c>
      <c r="C508" s="19">
        <v>112.5</v>
      </c>
      <c r="D508" s="5" t="s">
        <v>276</v>
      </c>
      <c r="E508" s="7">
        <v>13176.23</v>
      </c>
      <c r="F508" s="7">
        <v>1482326</v>
      </c>
    </row>
    <row r="509" spans="1:6" x14ac:dyDescent="0.25">
      <c r="A509" s="17" t="s">
        <v>302</v>
      </c>
      <c r="B509" s="26" t="s">
        <v>329</v>
      </c>
      <c r="C509" s="19">
        <v>3.04</v>
      </c>
      <c r="D509" s="5" t="s">
        <v>267</v>
      </c>
      <c r="E509" s="7">
        <v>1151545.01</v>
      </c>
      <c r="F509" s="7">
        <v>3500697</v>
      </c>
    </row>
    <row r="510" spans="1:6" s="20" customFormat="1" x14ac:dyDescent="0.25">
      <c r="A510" s="21" t="s">
        <v>55</v>
      </c>
      <c r="B510" s="25" t="s">
        <v>344</v>
      </c>
      <c r="C510" s="23"/>
      <c r="D510" s="24"/>
      <c r="E510" s="23"/>
      <c r="F510" s="9">
        <f>F511+F512+F513+F514</f>
        <v>3800317</v>
      </c>
    </row>
    <row r="511" spans="1:6" x14ac:dyDescent="0.25">
      <c r="A511" s="17" t="s">
        <v>303</v>
      </c>
      <c r="B511" s="26" t="s">
        <v>345</v>
      </c>
      <c r="C511" s="19">
        <v>9.6</v>
      </c>
      <c r="D511" s="5" t="s">
        <v>167</v>
      </c>
      <c r="E511" s="7">
        <v>208190.98</v>
      </c>
      <c r="F511" s="7">
        <v>1998634</v>
      </c>
    </row>
    <row r="512" spans="1:6" x14ac:dyDescent="0.25">
      <c r="A512" s="17" t="s">
        <v>305</v>
      </c>
      <c r="B512" s="26" t="s">
        <v>346</v>
      </c>
      <c r="C512" s="19">
        <v>62.14</v>
      </c>
      <c r="D512" s="5" t="s">
        <v>276</v>
      </c>
      <c r="E512" s="7">
        <v>13176.23</v>
      </c>
      <c r="F512" s="7">
        <v>818771</v>
      </c>
    </row>
    <row r="513" spans="1:6" x14ac:dyDescent="0.25">
      <c r="A513" s="17" t="s">
        <v>306</v>
      </c>
      <c r="B513" s="26" t="s">
        <v>347</v>
      </c>
      <c r="C513" s="19">
        <v>22.16</v>
      </c>
      <c r="D513" s="5" t="s">
        <v>276</v>
      </c>
      <c r="E513" s="7">
        <v>13176.23</v>
      </c>
      <c r="F513" s="7">
        <v>291985</v>
      </c>
    </row>
    <row r="514" spans="1:6" x14ac:dyDescent="0.25">
      <c r="A514" s="17" t="s">
        <v>307</v>
      </c>
      <c r="B514" s="26" t="s">
        <v>348</v>
      </c>
      <c r="C514" s="19">
        <v>0.6</v>
      </c>
      <c r="D514" s="5" t="s">
        <v>267</v>
      </c>
      <c r="E514" s="7">
        <v>1151545.01</v>
      </c>
      <c r="F514" s="7">
        <v>690927</v>
      </c>
    </row>
    <row r="515" spans="1:6" s="20" customFormat="1" x14ac:dyDescent="0.25">
      <c r="A515" s="21" t="s">
        <v>57</v>
      </c>
      <c r="B515" s="25" t="s">
        <v>349</v>
      </c>
      <c r="C515" s="23"/>
      <c r="D515" s="24"/>
      <c r="E515" s="23"/>
      <c r="F515" s="9">
        <f>F516+F517+F518+F519</f>
        <v>14856894</v>
      </c>
    </row>
    <row r="516" spans="1:6" x14ac:dyDescent="0.25">
      <c r="A516" s="17" t="s">
        <v>314</v>
      </c>
      <c r="B516" s="26" t="s">
        <v>345</v>
      </c>
      <c r="C516" s="19">
        <v>40.2</v>
      </c>
      <c r="D516" s="5" t="s">
        <v>167</v>
      </c>
      <c r="E516" s="7">
        <v>200000</v>
      </c>
      <c r="F516" s="7">
        <v>8040000</v>
      </c>
    </row>
    <row r="517" spans="1:6" x14ac:dyDescent="0.25">
      <c r="A517" s="17" t="s">
        <v>316</v>
      </c>
      <c r="B517" s="26" t="s">
        <v>346</v>
      </c>
      <c r="C517" s="19">
        <v>213.06</v>
      </c>
      <c r="D517" s="5" t="s">
        <v>276</v>
      </c>
      <c r="E517" s="7">
        <v>13176.23</v>
      </c>
      <c r="F517" s="7">
        <v>2807327</v>
      </c>
    </row>
    <row r="518" spans="1:6" x14ac:dyDescent="0.25">
      <c r="A518" s="17" t="s">
        <v>318</v>
      </c>
      <c r="B518" s="26" t="s">
        <v>347</v>
      </c>
      <c r="C518" s="19">
        <v>84.94</v>
      </c>
      <c r="D518" s="5" t="s">
        <v>276</v>
      </c>
      <c r="E518" s="7">
        <v>13176.23</v>
      </c>
      <c r="F518" s="7">
        <v>1119189</v>
      </c>
    </row>
    <row r="519" spans="1:6" x14ac:dyDescent="0.25">
      <c r="A519" s="17" t="s">
        <v>320</v>
      </c>
      <c r="B519" s="26" t="s">
        <v>348</v>
      </c>
      <c r="C519" s="19">
        <v>2.51</v>
      </c>
      <c r="D519" s="5" t="s">
        <v>267</v>
      </c>
      <c r="E519" s="7">
        <v>1151545.01</v>
      </c>
      <c r="F519" s="7">
        <v>2890378</v>
      </c>
    </row>
    <row r="520" spans="1:6" s="20" customFormat="1" x14ac:dyDescent="0.25">
      <c r="A520" s="21" t="s">
        <v>59</v>
      </c>
      <c r="B520" s="25" t="s">
        <v>458</v>
      </c>
      <c r="C520" s="23"/>
      <c r="D520" s="24"/>
      <c r="E520" s="23"/>
      <c r="F520" s="9">
        <f>F521+F522+F523+F524</f>
        <v>1555425</v>
      </c>
    </row>
    <row r="521" spans="1:6" x14ac:dyDescent="0.25">
      <c r="A521" s="17" t="s">
        <v>350</v>
      </c>
      <c r="B521" s="26" t="s">
        <v>457</v>
      </c>
      <c r="C521" s="19">
        <v>3.35</v>
      </c>
      <c r="D521" s="5" t="s">
        <v>167</v>
      </c>
      <c r="E521" s="7">
        <v>208190.98</v>
      </c>
      <c r="F521" s="7">
        <v>697439</v>
      </c>
    </row>
    <row r="522" spans="1:6" x14ac:dyDescent="0.25">
      <c r="A522" s="17" t="s">
        <v>351</v>
      </c>
      <c r="B522" s="26" t="s">
        <v>362</v>
      </c>
      <c r="C522" s="19">
        <v>17.76</v>
      </c>
      <c r="D522" s="5" t="s">
        <v>276</v>
      </c>
      <c r="E522" s="7">
        <v>13176.23</v>
      </c>
      <c r="F522" s="7">
        <v>234010</v>
      </c>
    </row>
    <row r="523" spans="1:6" x14ac:dyDescent="0.25">
      <c r="A523" s="17" t="s">
        <v>352</v>
      </c>
      <c r="B523" s="26" t="s">
        <v>339</v>
      </c>
      <c r="C523" s="19">
        <v>10.65</v>
      </c>
      <c r="D523" s="5" t="s">
        <v>276</v>
      </c>
      <c r="E523" s="7">
        <v>13176.23</v>
      </c>
      <c r="F523" s="7">
        <v>140327</v>
      </c>
    </row>
    <row r="524" spans="1:6" x14ac:dyDescent="0.25">
      <c r="A524" s="17" t="s">
        <v>353</v>
      </c>
      <c r="B524" s="26" t="s">
        <v>348</v>
      </c>
      <c r="C524" s="19">
        <v>0.42</v>
      </c>
      <c r="D524" s="5" t="s">
        <v>267</v>
      </c>
      <c r="E524" s="7">
        <v>1151545.01</v>
      </c>
      <c r="F524" s="7">
        <v>483649</v>
      </c>
    </row>
    <row r="525" spans="1:6" s="20" customFormat="1" x14ac:dyDescent="0.25">
      <c r="A525" s="21" t="s">
        <v>61</v>
      </c>
      <c r="B525" s="25" t="s">
        <v>354</v>
      </c>
      <c r="C525" s="23"/>
      <c r="D525" s="24"/>
      <c r="E525" s="23"/>
      <c r="F525" s="9">
        <f>F526+F527+F528+F529</f>
        <v>8430091</v>
      </c>
    </row>
    <row r="526" spans="1:6" x14ac:dyDescent="0.25">
      <c r="A526" s="17" t="s">
        <v>355</v>
      </c>
      <c r="B526" s="26" t="s">
        <v>459</v>
      </c>
      <c r="C526" s="19">
        <v>21.6</v>
      </c>
      <c r="D526" s="5" t="s">
        <v>167</v>
      </c>
      <c r="E526" s="7">
        <v>214925.5</v>
      </c>
      <c r="F526" s="7">
        <v>4642391</v>
      </c>
    </row>
    <row r="527" spans="1:6" x14ac:dyDescent="0.25">
      <c r="A527" s="17" t="s">
        <v>357</v>
      </c>
      <c r="B527" s="26" t="s">
        <v>338</v>
      </c>
      <c r="C527" s="19">
        <v>73.98</v>
      </c>
      <c r="D527" s="5" t="s">
        <v>276</v>
      </c>
      <c r="E527" s="7">
        <v>13176.23</v>
      </c>
      <c r="F527" s="7">
        <v>974777</v>
      </c>
    </row>
    <row r="528" spans="1:6" x14ac:dyDescent="0.25">
      <c r="A528" s="17" t="s">
        <v>358</v>
      </c>
      <c r="B528" s="26" t="s">
        <v>339</v>
      </c>
      <c r="C528" s="19">
        <v>66.66</v>
      </c>
      <c r="D528" s="5" t="s">
        <v>276</v>
      </c>
      <c r="E528" s="7">
        <v>13176.23</v>
      </c>
      <c r="F528" s="7">
        <v>878327</v>
      </c>
    </row>
    <row r="529" spans="1:6" x14ac:dyDescent="0.25">
      <c r="A529" s="17" t="s">
        <v>359</v>
      </c>
      <c r="B529" s="26" t="s">
        <v>550</v>
      </c>
      <c r="C529" s="19">
        <v>1.68</v>
      </c>
      <c r="D529" s="5" t="s">
        <v>267</v>
      </c>
      <c r="E529" s="7">
        <v>1151545.01</v>
      </c>
      <c r="F529" s="7">
        <v>1934596</v>
      </c>
    </row>
    <row r="530" spans="1:6" s="20" customFormat="1" x14ac:dyDescent="0.25">
      <c r="A530" s="21" t="s">
        <v>63</v>
      </c>
      <c r="B530" s="25" t="s">
        <v>360</v>
      </c>
      <c r="C530" s="23"/>
      <c r="D530" s="24"/>
      <c r="E530" s="23"/>
      <c r="F530" s="9">
        <f>F531+F532+F533+F534</f>
        <v>5801446</v>
      </c>
    </row>
    <row r="531" spans="1:6" x14ac:dyDescent="0.25">
      <c r="A531" s="17" t="s">
        <v>238</v>
      </c>
      <c r="B531" s="26" t="s">
        <v>459</v>
      </c>
      <c r="C531" s="19">
        <v>14.85</v>
      </c>
      <c r="D531" s="5" t="s">
        <v>167</v>
      </c>
      <c r="E531" s="7">
        <v>214925.5</v>
      </c>
      <c r="F531" s="7">
        <v>3191644</v>
      </c>
    </row>
    <row r="532" spans="1:6" x14ac:dyDescent="0.25">
      <c r="A532" s="17" t="s">
        <v>241</v>
      </c>
      <c r="B532" s="26" t="s">
        <v>338</v>
      </c>
      <c r="C532" s="19">
        <v>50.86</v>
      </c>
      <c r="D532" s="5" t="s">
        <v>276</v>
      </c>
      <c r="E532" s="7">
        <v>13176.23</v>
      </c>
      <c r="F532" s="7">
        <v>670143</v>
      </c>
    </row>
    <row r="533" spans="1:6" x14ac:dyDescent="0.25">
      <c r="A533" s="17" t="s">
        <v>243</v>
      </c>
      <c r="B533" s="26" t="s">
        <v>339</v>
      </c>
      <c r="C533" s="19">
        <v>45.83</v>
      </c>
      <c r="D533" s="5" t="s">
        <v>276</v>
      </c>
      <c r="E533" s="7">
        <v>13176.23</v>
      </c>
      <c r="F533" s="7">
        <v>603867</v>
      </c>
    </row>
    <row r="534" spans="1:6" x14ac:dyDescent="0.25">
      <c r="A534" s="17" t="s">
        <v>245</v>
      </c>
      <c r="B534" s="26" t="s">
        <v>550</v>
      </c>
      <c r="C534" s="19">
        <v>1.16</v>
      </c>
      <c r="D534" s="5" t="s">
        <v>267</v>
      </c>
      <c r="E534" s="7">
        <v>1151545.01</v>
      </c>
      <c r="F534" s="7">
        <v>1335792</v>
      </c>
    </row>
    <row r="535" spans="1:6" s="20" customFormat="1" x14ac:dyDescent="0.25">
      <c r="A535" s="21" t="s">
        <v>65</v>
      </c>
      <c r="B535" s="25" t="s">
        <v>361</v>
      </c>
      <c r="C535" s="23"/>
      <c r="D535" s="24"/>
      <c r="E535" s="23"/>
      <c r="F535" s="9">
        <f>F536+F537+F538+F539</f>
        <v>3172260</v>
      </c>
    </row>
    <row r="536" spans="1:6" x14ac:dyDescent="0.25">
      <c r="A536" s="17" t="s">
        <v>253</v>
      </c>
      <c r="B536" s="26" t="s">
        <v>459</v>
      </c>
      <c r="C536" s="19">
        <v>8.1</v>
      </c>
      <c r="D536" s="5" t="s">
        <v>167</v>
      </c>
      <c r="E536" s="7">
        <v>214925.5</v>
      </c>
      <c r="F536" s="7">
        <v>1740897</v>
      </c>
    </row>
    <row r="537" spans="1:6" x14ac:dyDescent="0.25">
      <c r="A537" s="17" t="s">
        <v>255</v>
      </c>
      <c r="B537" s="26" t="s">
        <v>338</v>
      </c>
      <c r="C537" s="19">
        <v>44.39</v>
      </c>
      <c r="D537" s="5" t="s">
        <v>276</v>
      </c>
      <c r="E537" s="7">
        <v>13176.23</v>
      </c>
      <c r="F537" s="7">
        <v>584893</v>
      </c>
    </row>
    <row r="538" spans="1:6" x14ac:dyDescent="0.25">
      <c r="A538" s="17" t="s">
        <v>363</v>
      </c>
      <c r="B538" s="26" t="s">
        <v>339</v>
      </c>
      <c r="C538" s="19">
        <v>28.41</v>
      </c>
      <c r="D538" s="5" t="s">
        <v>276</v>
      </c>
      <c r="E538" s="7">
        <v>13176.23</v>
      </c>
      <c r="F538" s="7">
        <v>374337</v>
      </c>
    </row>
    <row r="539" spans="1:6" x14ac:dyDescent="0.25">
      <c r="A539" s="17" t="s">
        <v>364</v>
      </c>
      <c r="B539" s="26" t="s">
        <v>550</v>
      </c>
      <c r="C539" s="19">
        <v>0.41</v>
      </c>
      <c r="D539" s="5" t="s">
        <v>267</v>
      </c>
      <c r="E539" s="7">
        <v>1151545.01</v>
      </c>
      <c r="F539" s="7">
        <v>472133</v>
      </c>
    </row>
    <row r="540" spans="1:6" s="20" customFormat="1" x14ac:dyDescent="0.25">
      <c r="A540" s="21" t="s">
        <v>67</v>
      </c>
      <c r="B540" s="25" t="s">
        <v>340</v>
      </c>
      <c r="C540" s="23"/>
      <c r="D540" s="24"/>
      <c r="E540" s="23"/>
      <c r="F540" s="9">
        <f>F541+F542+F543+F544</f>
        <v>3332875</v>
      </c>
    </row>
    <row r="541" spans="1:6" x14ac:dyDescent="0.25">
      <c r="A541" s="17" t="s">
        <v>257</v>
      </c>
      <c r="B541" s="26" t="s">
        <v>341</v>
      </c>
      <c r="C541" s="19">
        <v>4.95</v>
      </c>
      <c r="D541" s="5" t="s">
        <v>267</v>
      </c>
      <c r="E541" s="7">
        <v>124258.76</v>
      </c>
      <c r="F541" s="7">
        <v>615081</v>
      </c>
    </row>
    <row r="542" spans="1:6" x14ac:dyDescent="0.25">
      <c r="A542" s="17" t="s">
        <v>259</v>
      </c>
      <c r="B542" s="26" t="s">
        <v>342</v>
      </c>
      <c r="C542" s="19">
        <v>4.95</v>
      </c>
      <c r="D542" s="5" t="s">
        <v>267</v>
      </c>
      <c r="E542" s="7">
        <v>53756.99</v>
      </c>
      <c r="F542" s="7">
        <v>266097</v>
      </c>
    </row>
    <row r="543" spans="1:6" x14ac:dyDescent="0.25">
      <c r="A543" s="17" t="s">
        <v>479</v>
      </c>
      <c r="B543" s="26" t="s">
        <v>102</v>
      </c>
      <c r="C543" s="19">
        <v>1.8</v>
      </c>
      <c r="D543" s="5" t="s">
        <v>267</v>
      </c>
      <c r="E543" s="7">
        <v>345522.98</v>
      </c>
      <c r="F543" s="7">
        <v>621941</v>
      </c>
    </row>
    <row r="544" spans="1:6" x14ac:dyDescent="0.25">
      <c r="A544" s="17" t="s">
        <v>481</v>
      </c>
      <c r="B544" s="26" t="s">
        <v>440</v>
      </c>
      <c r="C544" s="19">
        <v>1.8</v>
      </c>
      <c r="D544" s="5" t="s">
        <v>267</v>
      </c>
      <c r="E544" s="7">
        <v>1016530.97</v>
      </c>
      <c r="F544" s="7">
        <v>1829756</v>
      </c>
    </row>
    <row r="545" spans="1:6" s="20" customFormat="1" x14ac:dyDescent="0.25">
      <c r="A545" s="21" t="s">
        <v>69</v>
      </c>
      <c r="B545" s="25" t="s">
        <v>551</v>
      </c>
      <c r="C545" s="23"/>
      <c r="D545" s="24"/>
      <c r="E545" s="23"/>
      <c r="F545" s="9">
        <f>F546+F547+F548+F549+F550+F551</f>
        <v>3947120</v>
      </c>
    </row>
    <row r="546" spans="1:6" x14ac:dyDescent="0.25">
      <c r="A546" s="17" t="s">
        <v>261</v>
      </c>
      <c r="B546" s="26" t="s">
        <v>385</v>
      </c>
      <c r="C546" s="19">
        <v>0.77</v>
      </c>
      <c r="D546" s="5" t="s">
        <v>267</v>
      </c>
      <c r="E546" s="7">
        <v>56660.36</v>
      </c>
      <c r="F546" s="7">
        <v>43629</v>
      </c>
    </row>
    <row r="547" spans="1:6" x14ac:dyDescent="0.25">
      <c r="A547" s="17" t="s">
        <v>263</v>
      </c>
      <c r="B547" s="26" t="s">
        <v>386</v>
      </c>
      <c r="C547" s="19">
        <v>11.2</v>
      </c>
      <c r="D547" s="5" t="s">
        <v>167</v>
      </c>
      <c r="E547" s="7">
        <v>122466.89</v>
      </c>
      <c r="F547" s="7">
        <v>1371629</v>
      </c>
    </row>
    <row r="548" spans="1:6" x14ac:dyDescent="0.25">
      <c r="A548" s="17" t="s">
        <v>462</v>
      </c>
      <c r="B548" s="26" t="s">
        <v>341</v>
      </c>
      <c r="C548" s="19">
        <v>1.4</v>
      </c>
      <c r="D548" s="5" t="s">
        <v>267</v>
      </c>
      <c r="E548" s="7">
        <v>124258.76</v>
      </c>
      <c r="F548" s="7">
        <v>173962</v>
      </c>
    </row>
    <row r="549" spans="1:6" x14ac:dyDescent="0.25">
      <c r="A549" s="17" t="s">
        <v>463</v>
      </c>
      <c r="B549" s="26" t="s">
        <v>342</v>
      </c>
      <c r="C549" s="19">
        <v>1.4</v>
      </c>
      <c r="D549" s="5" t="s">
        <v>267</v>
      </c>
      <c r="E549" s="7">
        <v>53756.99</v>
      </c>
      <c r="F549" s="7">
        <v>75260</v>
      </c>
    </row>
    <row r="550" spans="1:6" x14ac:dyDescent="0.25">
      <c r="A550" s="17" t="s">
        <v>464</v>
      </c>
      <c r="B550" s="26" t="s">
        <v>388</v>
      </c>
      <c r="C550" s="19">
        <v>0.84</v>
      </c>
      <c r="D550" s="5" t="s">
        <v>267</v>
      </c>
      <c r="E550" s="7">
        <v>345522.98</v>
      </c>
      <c r="F550" s="7">
        <v>290239</v>
      </c>
    </row>
    <row r="551" spans="1:6" x14ac:dyDescent="0.25">
      <c r="A551" s="17" t="s">
        <v>465</v>
      </c>
      <c r="B551" s="26" t="s">
        <v>552</v>
      </c>
      <c r="C551" s="19">
        <v>1.96</v>
      </c>
      <c r="D551" s="5" t="s">
        <v>267</v>
      </c>
      <c r="E551" s="7">
        <v>1016530.97</v>
      </c>
      <c r="F551" s="7">
        <v>1992401</v>
      </c>
    </row>
    <row r="552" spans="1:6" s="20" customFormat="1" x14ac:dyDescent="0.25">
      <c r="A552" s="21" t="s">
        <v>69</v>
      </c>
      <c r="B552" s="25" t="s">
        <v>553</v>
      </c>
      <c r="C552" s="23"/>
      <c r="D552" s="24"/>
      <c r="E552" s="23"/>
      <c r="F552" s="9">
        <f>F553+F554+F555+F556+F557</f>
        <v>2212066</v>
      </c>
    </row>
    <row r="553" spans="1:6" x14ac:dyDescent="0.25">
      <c r="A553" s="17" t="s">
        <v>261</v>
      </c>
      <c r="B553" s="26" t="s">
        <v>449</v>
      </c>
      <c r="C553" s="19">
        <v>4.46</v>
      </c>
      <c r="D553" s="5" t="s">
        <v>167</v>
      </c>
      <c r="E553" s="7">
        <v>222495.38</v>
      </c>
      <c r="F553" s="7">
        <v>992329</v>
      </c>
    </row>
    <row r="554" spans="1:6" x14ac:dyDescent="0.25">
      <c r="A554" s="17" t="s">
        <v>263</v>
      </c>
      <c r="B554" s="26" t="s">
        <v>347</v>
      </c>
      <c r="C554" s="19">
        <v>22.23</v>
      </c>
      <c r="D554" s="5" t="s">
        <v>276</v>
      </c>
      <c r="E554" s="7">
        <v>13176.23</v>
      </c>
      <c r="F554" s="7">
        <v>292908</v>
      </c>
    </row>
    <row r="555" spans="1:6" x14ac:dyDescent="0.25">
      <c r="A555" s="17" t="s">
        <v>462</v>
      </c>
      <c r="B555" s="26" t="s">
        <v>348</v>
      </c>
      <c r="C555" s="19">
        <v>0.32</v>
      </c>
      <c r="D555" s="5" t="s">
        <v>267</v>
      </c>
      <c r="E555" s="7">
        <v>1151545.01</v>
      </c>
      <c r="F555" s="7">
        <v>368495</v>
      </c>
    </row>
    <row r="556" spans="1:6" x14ac:dyDescent="0.25">
      <c r="A556" s="17" t="s">
        <v>463</v>
      </c>
      <c r="B556" s="26" t="s">
        <v>433</v>
      </c>
      <c r="C556" s="19">
        <v>3.23</v>
      </c>
      <c r="D556" s="5" t="s">
        <v>167</v>
      </c>
      <c r="E556" s="7">
        <v>54647.67</v>
      </c>
      <c r="F556" s="7">
        <v>176512</v>
      </c>
    </row>
    <row r="557" spans="1:6" x14ac:dyDescent="0.25">
      <c r="A557" s="17" t="s">
        <v>464</v>
      </c>
      <c r="B557" s="26" t="s">
        <v>554</v>
      </c>
      <c r="C557" s="19">
        <v>3.23</v>
      </c>
      <c r="D557" s="5" t="s">
        <v>167</v>
      </c>
      <c r="E557" s="7">
        <v>118211.25</v>
      </c>
      <c r="F557" s="7">
        <v>381822</v>
      </c>
    </row>
    <row r="558" spans="1:6" s="20" customFormat="1" x14ac:dyDescent="0.25">
      <c r="A558" s="21" t="s">
        <v>112</v>
      </c>
      <c r="B558" s="22" t="s">
        <v>113</v>
      </c>
      <c r="C558" s="23"/>
      <c r="D558" s="24"/>
      <c r="E558" s="23"/>
      <c r="F558" s="9">
        <f>F559+F560+F561+F562+F587+F588+F589+F590+F591+F594+F595+F596+F601+F602+F603+F604+F605+F606+F607+F608+F609+F610+F611+F612+F613+F614+F628+F633+F634+F635+F636+F637+F638+F639+F640+F641+F642+F643</f>
        <v>208490212</v>
      </c>
    </row>
    <row r="559" spans="1:6" x14ac:dyDescent="0.25">
      <c r="A559" s="17" t="s">
        <v>45</v>
      </c>
      <c r="B559" s="27" t="s">
        <v>555</v>
      </c>
      <c r="C559" s="19">
        <v>61.65</v>
      </c>
      <c r="D559" s="5" t="s">
        <v>167</v>
      </c>
      <c r="E559" s="7">
        <v>122466.89</v>
      </c>
      <c r="F559" s="7">
        <v>7550084</v>
      </c>
    </row>
    <row r="560" spans="1:6" x14ac:dyDescent="0.25">
      <c r="A560" s="17" t="s">
        <v>47</v>
      </c>
      <c r="B560" s="27" t="s">
        <v>556</v>
      </c>
      <c r="C560" s="19">
        <v>123.3</v>
      </c>
      <c r="D560" s="5" t="s">
        <v>167</v>
      </c>
      <c r="E560" s="7">
        <v>54647.67</v>
      </c>
      <c r="F560" s="7">
        <v>6738058</v>
      </c>
    </row>
    <row r="561" spans="1:6" x14ac:dyDescent="0.25">
      <c r="A561" s="17" t="s">
        <v>49</v>
      </c>
      <c r="B561" s="27" t="s">
        <v>557</v>
      </c>
      <c r="C561" s="19">
        <v>107.57</v>
      </c>
      <c r="D561" s="5" t="s">
        <v>167</v>
      </c>
      <c r="E561" s="7">
        <v>45520.53</v>
      </c>
      <c r="F561" s="7">
        <v>4896643</v>
      </c>
    </row>
    <row r="562" spans="1:6" s="20" customFormat="1" x14ac:dyDescent="0.25">
      <c r="A562" s="21" t="s">
        <v>51</v>
      </c>
      <c r="B562" s="25" t="s">
        <v>558</v>
      </c>
      <c r="C562" s="23"/>
      <c r="D562" s="24"/>
      <c r="E562" s="23"/>
      <c r="F562" s="9">
        <f>F563+F569+F570+F577+F584</f>
        <v>68342916</v>
      </c>
    </row>
    <row r="563" spans="1:6" s="20" customFormat="1" x14ac:dyDescent="0.25">
      <c r="A563" s="21" t="s">
        <v>559</v>
      </c>
      <c r="B563" s="28" t="s">
        <v>560</v>
      </c>
      <c r="C563" s="23"/>
      <c r="D563" s="24"/>
      <c r="E563" s="23"/>
      <c r="F563" s="9">
        <f>F564+F565+F566+F567+F568</f>
        <v>3535565</v>
      </c>
    </row>
    <row r="564" spans="1:6" x14ac:dyDescent="0.25">
      <c r="A564" s="17" t="s">
        <v>561</v>
      </c>
      <c r="B564" s="29" t="s">
        <v>472</v>
      </c>
      <c r="C564" s="19">
        <v>5.16</v>
      </c>
      <c r="D564" s="5" t="s">
        <v>170</v>
      </c>
      <c r="E564" s="7">
        <v>184770.05</v>
      </c>
      <c r="F564" s="7">
        <v>953414</v>
      </c>
    </row>
    <row r="565" spans="1:6" x14ac:dyDescent="0.25">
      <c r="A565" s="17" t="s">
        <v>562</v>
      </c>
      <c r="B565" s="29" t="s">
        <v>563</v>
      </c>
      <c r="C565" s="19">
        <v>2</v>
      </c>
      <c r="D565" s="5" t="s">
        <v>167</v>
      </c>
      <c r="E565" s="7">
        <v>903954.55</v>
      </c>
      <c r="F565" s="7">
        <v>1807909</v>
      </c>
    </row>
    <row r="566" spans="1:6" x14ac:dyDescent="0.25">
      <c r="A566" s="17" t="s">
        <v>564</v>
      </c>
      <c r="B566" s="29" t="s">
        <v>565</v>
      </c>
      <c r="C566" s="19">
        <v>1.5</v>
      </c>
      <c r="D566" s="5" t="s">
        <v>198</v>
      </c>
      <c r="E566" s="7">
        <v>53024.44</v>
      </c>
      <c r="F566" s="7">
        <v>79537</v>
      </c>
    </row>
    <row r="567" spans="1:6" x14ac:dyDescent="0.25">
      <c r="A567" s="17" t="s">
        <v>566</v>
      </c>
      <c r="B567" s="29" t="s">
        <v>567</v>
      </c>
      <c r="C567" s="19">
        <v>1</v>
      </c>
      <c r="D567" s="5" t="s">
        <v>175</v>
      </c>
      <c r="E567" s="7">
        <v>366875.19</v>
      </c>
      <c r="F567" s="7">
        <v>366875</v>
      </c>
    </row>
    <row r="568" spans="1:6" x14ac:dyDescent="0.25">
      <c r="A568" s="17" t="s">
        <v>568</v>
      </c>
      <c r="B568" s="29" t="s">
        <v>569</v>
      </c>
      <c r="C568" s="19">
        <v>1</v>
      </c>
      <c r="D568" s="5" t="s">
        <v>175</v>
      </c>
      <c r="E568" s="7">
        <v>327830.33</v>
      </c>
      <c r="F568" s="7">
        <v>327830</v>
      </c>
    </row>
    <row r="569" spans="1:6" x14ac:dyDescent="0.25">
      <c r="A569" s="17" t="s">
        <v>570</v>
      </c>
      <c r="B569" s="26" t="s">
        <v>470</v>
      </c>
      <c r="C569" s="19">
        <v>2</v>
      </c>
      <c r="D569" s="5" t="s">
        <v>240</v>
      </c>
      <c r="E569" s="7">
        <v>1048511.96</v>
      </c>
      <c r="F569" s="7">
        <v>2097024</v>
      </c>
    </row>
    <row r="570" spans="1:6" s="20" customFormat="1" x14ac:dyDescent="0.25">
      <c r="A570" s="21" t="s">
        <v>571</v>
      </c>
      <c r="B570" s="28" t="s">
        <v>572</v>
      </c>
      <c r="C570" s="23"/>
      <c r="D570" s="24"/>
      <c r="E570" s="23"/>
      <c r="F570" s="9">
        <f>F571+F572+F573+F574+F575+F576</f>
        <v>20589433</v>
      </c>
    </row>
    <row r="571" spans="1:6" x14ac:dyDescent="0.25">
      <c r="A571" s="17" t="s">
        <v>573</v>
      </c>
      <c r="B571" s="29" t="s">
        <v>472</v>
      </c>
      <c r="C571" s="19">
        <v>16.24</v>
      </c>
      <c r="D571" s="5" t="s">
        <v>170</v>
      </c>
      <c r="E571" s="7">
        <v>184770.05</v>
      </c>
      <c r="F571" s="7">
        <v>3000665</v>
      </c>
    </row>
    <row r="572" spans="1:6" x14ac:dyDescent="0.25">
      <c r="A572" s="17" t="s">
        <v>574</v>
      </c>
      <c r="B572" s="29" t="s">
        <v>575</v>
      </c>
      <c r="C572" s="19">
        <v>4.15</v>
      </c>
      <c r="D572" s="5" t="s">
        <v>167</v>
      </c>
      <c r="E572" s="7">
        <v>4000000</v>
      </c>
      <c r="F572" s="7">
        <v>16600000</v>
      </c>
    </row>
    <row r="573" spans="1:6" x14ac:dyDescent="0.25">
      <c r="A573" s="17" t="s">
        <v>576</v>
      </c>
      <c r="B573" s="29" t="s">
        <v>577</v>
      </c>
      <c r="C573" s="19">
        <v>2.75</v>
      </c>
      <c r="D573" s="5" t="s">
        <v>167</v>
      </c>
      <c r="E573" s="7">
        <v>199633.19</v>
      </c>
      <c r="F573" s="7">
        <v>548991</v>
      </c>
    </row>
    <row r="574" spans="1:6" x14ac:dyDescent="0.25">
      <c r="A574" s="17" t="s">
        <v>578</v>
      </c>
      <c r="B574" s="29" t="s">
        <v>579</v>
      </c>
      <c r="C574" s="19">
        <v>4</v>
      </c>
      <c r="D574" s="5" t="s">
        <v>198</v>
      </c>
      <c r="E574" s="7">
        <v>33339.23</v>
      </c>
      <c r="F574" s="7">
        <v>133357</v>
      </c>
    </row>
    <row r="575" spans="1:6" x14ac:dyDescent="0.25">
      <c r="A575" s="17" t="s">
        <v>580</v>
      </c>
      <c r="B575" s="29" t="s">
        <v>581</v>
      </c>
      <c r="C575" s="19">
        <v>4</v>
      </c>
      <c r="D575" s="5" t="s">
        <v>198</v>
      </c>
      <c r="E575" s="7">
        <v>43328.49</v>
      </c>
      <c r="F575" s="7">
        <v>173314</v>
      </c>
    </row>
    <row r="576" spans="1:6" x14ac:dyDescent="0.25">
      <c r="A576" s="17" t="s">
        <v>582</v>
      </c>
      <c r="B576" s="29" t="s">
        <v>583</v>
      </c>
      <c r="C576" s="19">
        <v>2</v>
      </c>
      <c r="D576" s="5" t="s">
        <v>169</v>
      </c>
      <c r="E576" s="7">
        <v>66552.84</v>
      </c>
      <c r="F576" s="7">
        <v>133106</v>
      </c>
    </row>
    <row r="577" spans="1:6" s="20" customFormat="1" x14ac:dyDescent="0.25">
      <c r="A577" s="21" t="s">
        <v>584</v>
      </c>
      <c r="B577" s="28" t="s">
        <v>585</v>
      </c>
      <c r="C577" s="23"/>
      <c r="D577" s="24"/>
      <c r="E577" s="23"/>
      <c r="F577" s="9">
        <f>F578+F579+F580+F581+F582+F583</f>
        <v>41302835</v>
      </c>
    </row>
    <row r="578" spans="1:6" x14ac:dyDescent="0.25">
      <c r="A578" s="17" t="s">
        <v>586</v>
      </c>
      <c r="B578" s="29" t="s">
        <v>472</v>
      </c>
      <c r="C578" s="19">
        <v>48.12</v>
      </c>
      <c r="D578" s="5" t="s">
        <v>170</v>
      </c>
      <c r="E578" s="7">
        <v>184770.05</v>
      </c>
      <c r="F578" s="7">
        <v>8891135</v>
      </c>
    </row>
    <row r="579" spans="1:6" x14ac:dyDescent="0.25">
      <c r="A579" s="17" t="s">
        <v>587</v>
      </c>
      <c r="B579" s="29" t="s">
        <v>575</v>
      </c>
      <c r="C579" s="19">
        <v>7.16</v>
      </c>
      <c r="D579" s="5" t="s">
        <v>167</v>
      </c>
      <c r="E579" s="7">
        <v>4000000</v>
      </c>
      <c r="F579" s="7">
        <v>28640000</v>
      </c>
    </row>
    <row r="580" spans="1:6" x14ac:dyDescent="0.25">
      <c r="A580" s="17" t="s">
        <v>588</v>
      </c>
      <c r="B580" s="29" t="s">
        <v>577</v>
      </c>
      <c r="C580" s="19">
        <v>8.98</v>
      </c>
      <c r="D580" s="5" t="s">
        <v>167</v>
      </c>
      <c r="E580" s="7">
        <v>199633.19</v>
      </c>
      <c r="F580" s="7">
        <v>1792706</v>
      </c>
    </row>
    <row r="581" spans="1:6" x14ac:dyDescent="0.25">
      <c r="A581" s="17" t="s">
        <v>589</v>
      </c>
      <c r="B581" s="29" t="s">
        <v>579</v>
      </c>
      <c r="C581" s="19">
        <v>18</v>
      </c>
      <c r="D581" s="5" t="s">
        <v>198</v>
      </c>
      <c r="E581" s="7">
        <v>33339.23</v>
      </c>
      <c r="F581" s="7">
        <v>600106</v>
      </c>
    </row>
    <row r="582" spans="1:6" x14ac:dyDescent="0.25">
      <c r="A582" s="17" t="s">
        <v>590</v>
      </c>
      <c r="B582" s="29" t="s">
        <v>581</v>
      </c>
      <c r="C582" s="19">
        <v>18</v>
      </c>
      <c r="D582" s="5" t="s">
        <v>198</v>
      </c>
      <c r="E582" s="7">
        <v>43328.49</v>
      </c>
      <c r="F582" s="7">
        <v>779913</v>
      </c>
    </row>
    <row r="583" spans="1:6" x14ac:dyDescent="0.25">
      <c r="A583" s="17" t="s">
        <v>591</v>
      </c>
      <c r="B583" s="29" t="s">
        <v>583</v>
      </c>
      <c r="C583" s="19">
        <v>9</v>
      </c>
      <c r="D583" s="5" t="s">
        <v>169</v>
      </c>
      <c r="E583" s="7">
        <v>66552.84</v>
      </c>
      <c r="F583" s="7">
        <v>598975</v>
      </c>
    </row>
    <row r="584" spans="1:6" s="20" customFormat="1" x14ac:dyDescent="0.25">
      <c r="A584" s="21" t="s">
        <v>592</v>
      </c>
      <c r="B584" s="28" t="s">
        <v>593</v>
      </c>
      <c r="C584" s="23"/>
      <c r="D584" s="24"/>
      <c r="E584" s="23"/>
      <c r="F584" s="9">
        <f>F585+F586</f>
        <v>818059</v>
      </c>
    </row>
    <row r="585" spans="1:6" x14ac:dyDescent="0.25">
      <c r="A585" s="17" t="s">
        <v>594</v>
      </c>
      <c r="B585" s="29" t="s">
        <v>472</v>
      </c>
      <c r="C585" s="19">
        <v>3.52</v>
      </c>
      <c r="D585" s="5" t="s">
        <v>170</v>
      </c>
      <c r="E585" s="7">
        <v>184770.05</v>
      </c>
      <c r="F585" s="7">
        <v>650391</v>
      </c>
    </row>
    <row r="586" spans="1:6" x14ac:dyDescent="0.25">
      <c r="A586" s="17" t="s">
        <v>595</v>
      </c>
      <c r="B586" s="29" t="s">
        <v>473</v>
      </c>
      <c r="C586" s="19">
        <v>0.65</v>
      </c>
      <c r="D586" s="5" t="s">
        <v>167</v>
      </c>
      <c r="E586" s="7">
        <v>257951.45</v>
      </c>
      <c r="F586" s="7">
        <v>167668</v>
      </c>
    </row>
    <row r="587" spans="1:6" x14ac:dyDescent="0.25">
      <c r="A587" s="17" t="s">
        <v>53</v>
      </c>
      <c r="B587" s="27" t="s">
        <v>476</v>
      </c>
      <c r="C587" s="19">
        <v>27</v>
      </c>
      <c r="D587" s="5" t="s">
        <v>167</v>
      </c>
      <c r="E587" s="7">
        <v>276722.58</v>
      </c>
      <c r="F587" s="7">
        <v>7471510</v>
      </c>
    </row>
    <row r="588" spans="1:6" x14ac:dyDescent="0.25">
      <c r="A588" s="17" t="s">
        <v>55</v>
      </c>
      <c r="B588" s="27" t="s">
        <v>477</v>
      </c>
      <c r="C588" s="19">
        <v>4.5</v>
      </c>
      <c r="D588" s="5" t="s">
        <v>167</v>
      </c>
      <c r="E588" s="7">
        <v>276722.58</v>
      </c>
      <c r="F588" s="7">
        <v>1245252</v>
      </c>
    </row>
    <row r="589" spans="1:6" x14ac:dyDescent="0.25">
      <c r="A589" s="17" t="s">
        <v>57</v>
      </c>
      <c r="B589" s="27" t="s">
        <v>478</v>
      </c>
      <c r="C589" s="19">
        <v>21.83</v>
      </c>
      <c r="D589" s="5" t="s">
        <v>167</v>
      </c>
      <c r="E589" s="7">
        <v>230693.18</v>
      </c>
      <c r="F589" s="7">
        <v>5036032</v>
      </c>
    </row>
    <row r="590" spans="1:6" x14ac:dyDescent="0.25">
      <c r="A590" s="17" t="s">
        <v>59</v>
      </c>
      <c r="B590" s="27" t="s">
        <v>395</v>
      </c>
      <c r="C590" s="19">
        <v>55.3</v>
      </c>
      <c r="D590" s="5" t="s">
        <v>167</v>
      </c>
      <c r="E590" s="7">
        <v>241006.97</v>
      </c>
      <c r="F590" s="7">
        <v>13327685</v>
      </c>
    </row>
    <row r="591" spans="1:6" s="20" customFormat="1" x14ac:dyDescent="0.25">
      <c r="A591" s="21" t="s">
        <v>61</v>
      </c>
      <c r="B591" s="25" t="s">
        <v>596</v>
      </c>
      <c r="C591" s="23"/>
      <c r="D591" s="24"/>
      <c r="E591" s="23"/>
      <c r="F591" s="9">
        <f>F592+F593</f>
        <v>11696274</v>
      </c>
    </row>
    <row r="592" spans="1:6" x14ac:dyDescent="0.25">
      <c r="A592" s="17" t="s">
        <v>355</v>
      </c>
      <c r="B592" s="26" t="s">
        <v>597</v>
      </c>
      <c r="C592" s="19">
        <v>99.29</v>
      </c>
      <c r="D592" s="5" t="s">
        <v>167</v>
      </c>
      <c r="E592" s="7">
        <v>100014.84</v>
      </c>
      <c r="F592" s="7">
        <v>9930474</v>
      </c>
    </row>
    <row r="593" spans="1:6" x14ac:dyDescent="0.25">
      <c r="A593" s="17" t="s">
        <v>357</v>
      </c>
      <c r="B593" s="26" t="s">
        <v>598</v>
      </c>
      <c r="C593" s="19">
        <v>39.12</v>
      </c>
      <c r="D593" s="5" t="s">
        <v>167</v>
      </c>
      <c r="E593" s="7">
        <v>45138.04</v>
      </c>
      <c r="F593" s="7">
        <v>1765800</v>
      </c>
    </row>
    <row r="594" spans="1:6" x14ac:dyDescent="0.25">
      <c r="A594" s="17" t="s">
        <v>63</v>
      </c>
      <c r="B594" s="27" t="s">
        <v>500</v>
      </c>
      <c r="C594" s="19">
        <v>55.3</v>
      </c>
      <c r="D594" s="5" t="s">
        <v>167</v>
      </c>
      <c r="E594" s="7">
        <v>35591.98</v>
      </c>
      <c r="F594" s="7">
        <v>1968236</v>
      </c>
    </row>
    <row r="595" spans="1:6" x14ac:dyDescent="0.25">
      <c r="A595" s="17" t="s">
        <v>65</v>
      </c>
      <c r="B595" s="27" t="s">
        <v>599</v>
      </c>
      <c r="C595" s="19">
        <v>9.18</v>
      </c>
      <c r="D595" s="5" t="s">
        <v>167</v>
      </c>
      <c r="E595" s="7">
        <v>99462.99</v>
      </c>
      <c r="F595" s="7">
        <v>913070</v>
      </c>
    </row>
    <row r="596" spans="1:6" s="20" customFormat="1" x14ac:dyDescent="0.25">
      <c r="A596" s="21" t="s">
        <v>67</v>
      </c>
      <c r="B596" s="25" t="s">
        <v>390</v>
      </c>
      <c r="C596" s="23"/>
      <c r="D596" s="24"/>
      <c r="E596" s="23"/>
      <c r="F596" s="9">
        <f>F597+F598+F599+F600</f>
        <v>27816521</v>
      </c>
    </row>
    <row r="597" spans="1:6" x14ac:dyDescent="0.25">
      <c r="A597" s="17" t="s">
        <v>257</v>
      </c>
      <c r="B597" s="26" t="s">
        <v>600</v>
      </c>
      <c r="C597" s="19">
        <v>55.12</v>
      </c>
      <c r="D597" s="5" t="s">
        <v>167</v>
      </c>
      <c r="E597" s="7">
        <v>200000</v>
      </c>
      <c r="F597" s="7">
        <v>11024000</v>
      </c>
    </row>
    <row r="598" spans="1:6" x14ac:dyDescent="0.25">
      <c r="A598" s="17" t="s">
        <v>259</v>
      </c>
      <c r="B598" s="26" t="s">
        <v>392</v>
      </c>
      <c r="C598" s="19">
        <v>152.87</v>
      </c>
      <c r="D598" s="5" t="s">
        <v>170</v>
      </c>
      <c r="E598" s="7">
        <v>19268.19</v>
      </c>
      <c r="F598" s="7">
        <v>2945528</v>
      </c>
    </row>
    <row r="599" spans="1:6" x14ac:dyDescent="0.25">
      <c r="A599" s="17" t="s">
        <v>479</v>
      </c>
      <c r="B599" s="26" t="s">
        <v>480</v>
      </c>
      <c r="C599" s="19">
        <v>103.76</v>
      </c>
      <c r="D599" s="5" t="s">
        <v>167</v>
      </c>
      <c r="E599" s="7">
        <v>110928.31</v>
      </c>
      <c r="F599" s="7">
        <v>11509922</v>
      </c>
    </row>
    <row r="600" spans="1:6" x14ac:dyDescent="0.25">
      <c r="A600" s="17" t="s">
        <v>481</v>
      </c>
      <c r="B600" s="26" t="s">
        <v>394</v>
      </c>
      <c r="C600" s="19">
        <v>25.51</v>
      </c>
      <c r="D600" s="5" t="s">
        <v>170</v>
      </c>
      <c r="E600" s="7">
        <v>91613.93</v>
      </c>
      <c r="F600" s="7">
        <v>2337071</v>
      </c>
    </row>
    <row r="601" spans="1:6" x14ac:dyDescent="0.25">
      <c r="A601" s="17" t="s">
        <v>69</v>
      </c>
      <c r="B601" s="27" t="s">
        <v>399</v>
      </c>
      <c r="C601" s="19">
        <v>30.6</v>
      </c>
      <c r="D601" s="5" t="s">
        <v>170</v>
      </c>
      <c r="E601" s="7">
        <v>200000</v>
      </c>
      <c r="F601" s="7">
        <v>6120000</v>
      </c>
    </row>
    <row r="602" spans="1:6" x14ac:dyDescent="0.25">
      <c r="A602" s="17" t="s">
        <v>71</v>
      </c>
      <c r="B602" s="27" t="s">
        <v>601</v>
      </c>
      <c r="C602" s="19">
        <v>1</v>
      </c>
      <c r="D602" s="5" t="s">
        <v>240</v>
      </c>
      <c r="E602" s="7">
        <v>386714.63</v>
      </c>
      <c r="F602" s="7">
        <v>386715</v>
      </c>
    </row>
    <row r="603" spans="1:6" x14ac:dyDescent="0.25">
      <c r="A603" s="17" t="s">
        <v>73</v>
      </c>
      <c r="B603" s="27" t="s">
        <v>602</v>
      </c>
      <c r="C603" s="19">
        <v>15</v>
      </c>
      <c r="D603" s="5" t="s">
        <v>169</v>
      </c>
      <c r="E603" s="7">
        <v>156785.85</v>
      </c>
      <c r="F603" s="7">
        <v>2351788</v>
      </c>
    </row>
    <row r="604" spans="1:6" x14ac:dyDescent="0.25">
      <c r="A604" s="17" t="s">
        <v>499</v>
      </c>
      <c r="B604" s="27" t="s">
        <v>509</v>
      </c>
      <c r="C604" s="19">
        <v>2</v>
      </c>
      <c r="D604" s="5" t="s">
        <v>169</v>
      </c>
      <c r="E604" s="7">
        <v>2723029.35</v>
      </c>
      <c r="F604" s="7">
        <v>5446059</v>
      </c>
    </row>
    <row r="605" spans="1:6" x14ac:dyDescent="0.25">
      <c r="A605" s="17" t="s">
        <v>501</v>
      </c>
      <c r="B605" s="27" t="s">
        <v>510</v>
      </c>
      <c r="C605" s="19">
        <v>2</v>
      </c>
      <c r="D605" s="5" t="s">
        <v>169</v>
      </c>
      <c r="E605" s="7">
        <v>190300.21</v>
      </c>
      <c r="F605" s="7">
        <v>380600</v>
      </c>
    </row>
    <row r="606" spans="1:6" x14ac:dyDescent="0.25">
      <c r="A606" s="17" t="s">
        <v>502</v>
      </c>
      <c r="B606" s="27" t="s">
        <v>511</v>
      </c>
      <c r="C606" s="19">
        <v>2</v>
      </c>
      <c r="D606" s="5" t="s">
        <v>169</v>
      </c>
      <c r="E606" s="7">
        <v>82795.66</v>
      </c>
      <c r="F606" s="7">
        <v>165591</v>
      </c>
    </row>
    <row r="607" spans="1:6" x14ac:dyDescent="0.25">
      <c r="A607" s="17" t="s">
        <v>546</v>
      </c>
      <c r="B607" s="27" t="s">
        <v>512</v>
      </c>
      <c r="C607" s="19">
        <v>2</v>
      </c>
      <c r="D607" s="5" t="s">
        <v>169</v>
      </c>
      <c r="E607" s="7">
        <v>34114.81</v>
      </c>
      <c r="F607" s="7">
        <v>68230</v>
      </c>
    </row>
    <row r="608" spans="1:6" x14ac:dyDescent="0.25">
      <c r="A608" s="17" t="s">
        <v>548</v>
      </c>
      <c r="B608" s="27" t="s">
        <v>505</v>
      </c>
      <c r="C608" s="19">
        <v>2.4</v>
      </c>
      <c r="D608" s="5" t="s">
        <v>170</v>
      </c>
      <c r="E608" s="7">
        <v>40510.12</v>
      </c>
      <c r="F608" s="7">
        <v>97224</v>
      </c>
    </row>
    <row r="609" spans="1:6" x14ac:dyDescent="0.25">
      <c r="A609" s="17" t="s">
        <v>603</v>
      </c>
      <c r="B609" s="27" t="s">
        <v>506</v>
      </c>
      <c r="C609" s="19">
        <v>8</v>
      </c>
      <c r="D609" s="5" t="s">
        <v>170</v>
      </c>
      <c r="E609" s="7">
        <v>51497.56</v>
      </c>
      <c r="F609" s="7">
        <v>411980</v>
      </c>
    </row>
    <row r="610" spans="1:6" x14ac:dyDescent="0.25">
      <c r="A610" s="17" t="s">
        <v>604</v>
      </c>
      <c r="B610" s="27" t="s">
        <v>507</v>
      </c>
      <c r="C610" s="19">
        <v>3.8</v>
      </c>
      <c r="D610" s="5" t="s">
        <v>170</v>
      </c>
      <c r="E610" s="7">
        <v>168759.32</v>
      </c>
      <c r="F610" s="7">
        <v>641285</v>
      </c>
    </row>
    <row r="611" spans="1:6" x14ac:dyDescent="0.25">
      <c r="A611" s="17" t="s">
        <v>605</v>
      </c>
      <c r="B611" s="27" t="s">
        <v>508</v>
      </c>
      <c r="C611" s="19">
        <v>3.5</v>
      </c>
      <c r="D611" s="5" t="s">
        <v>170</v>
      </c>
      <c r="E611" s="7">
        <v>233097.83</v>
      </c>
      <c r="F611" s="7">
        <v>815842</v>
      </c>
    </row>
    <row r="612" spans="1:6" x14ac:dyDescent="0.25">
      <c r="A612" s="17" t="s">
        <v>606</v>
      </c>
      <c r="B612" s="27" t="s">
        <v>513</v>
      </c>
      <c r="C612" s="19">
        <v>1</v>
      </c>
      <c r="D612" s="5" t="s">
        <v>169</v>
      </c>
      <c r="E612" s="7">
        <v>1614611.28</v>
      </c>
      <c r="F612" s="7">
        <v>1614611</v>
      </c>
    </row>
    <row r="613" spans="1:6" x14ac:dyDescent="0.25">
      <c r="A613" s="17" t="s">
        <v>607</v>
      </c>
      <c r="B613" s="27" t="s">
        <v>536</v>
      </c>
      <c r="C613" s="19">
        <v>1</v>
      </c>
      <c r="D613" s="5" t="s">
        <v>240</v>
      </c>
      <c r="E613" s="7">
        <v>3340831.69</v>
      </c>
      <c r="F613" s="7">
        <v>3340832</v>
      </c>
    </row>
    <row r="614" spans="1:6" s="20" customFormat="1" x14ac:dyDescent="0.25">
      <c r="A614" s="21" t="s">
        <v>608</v>
      </c>
      <c r="B614" s="25" t="s">
        <v>514</v>
      </c>
      <c r="C614" s="23"/>
      <c r="D614" s="24"/>
      <c r="E614" s="23"/>
      <c r="F614" s="9">
        <f>F615+F616+F617+F618+F619+F620+F621+F622+F623+F624+F625+F626+F627</f>
        <v>4326071</v>
      </c>
    </row>
    <row r="615" spans="1:6" x14ac:dyDescent="0.25">
      <c r="A615" s="17" t="s">
        <v>609</v>
      </c>
      <c r="B615" s="26" t="s">
        <v>515</v>
      </c>
      <c r="C615" s="19">
        <v>1</v>
      </c>
      <c r="D615" s="5" t="s">
        <v>240</v>
      </c>
      <c r="E615" s="7">
        <v>1263303.87</v>
      </c>
      <c r="F615" s="7">
        <v>1263304</v>
      </c>
    </row>
    <row r="616" spans="1:6" x14ac:dyDescent="0.25">
      <c r="A616" s="17" t="s">
        <v>610</v>
      </c>
      <c r="B616" s="26" t="s">
        <v>516</v>
      </c>
      <c r="C616" s="19">
        <v>1</v>
      </c>
      <c r="D616" s="5" t="s">
        <v>240</v>
      </c>
      <c r="E616" s="7">
        <v>0</v>
      </c>
      <c r="F616" s="7">
        <v>0</v>
      </c>
    </row>
    <row r="617" spans="1:6" x14ac:dyDescent="0.25">
      <c r="A617" s="17" t="s">
        <v>611</v>
      </c>
      <c r="B617" s="26" t="s">
        <v>517</v>
      </c>
      <c r="C617" s="19">
        <v>0</v>
      </c>
      <c r="D617" s="5" t="s">
        <v>485</v>
      </c>
      <c r="E617" s="7">
        <v>0</v>
      </c>
      <c r="F617" s="7">
        <v>0</v>
      </c>
    </row>
    <row r="618" spans="1:6" x14ac:dyDescent="0.25">
      <c r="A618" s="17" t="s">
        <v>612</v>
      </c>
      <c r="B618" s="26" t="s">
        <v>519</v>
      </c>
      <c r="C618" s="19">
        <v>2.3</v>
      </c>
      <c r="D618" s="5" t="s">
        <v>267</v>
      </c>
      <c r="E618" s="7">
        <v>120211.9</v>
      </c>
      <c r="F618" s="7">
        <v>276488</v>
      </c>
    </row>
    <row r="619" spans="1:6" x14ac:dyDescent="0.25">
      <c r="A619" s="17" t="s">
        <v>613</v>
      </c>
      <c r="B619" s="26" t="s">
        <v>521</v>
      </c>
      <c r="C619" s="19">
        <v>2.88</v>
      </c>
      <c r="D619" s="5" t="s">
        <v>167</v>
      </c>
      <c r="E619" s="7">
        <v>130392.01</v>
      </c>
      <c r="F619" s="7">
        <v>375529</v>
      </c>
    </row>
    <row r="620" spans="1:6" x14ac:dyDescent="0.25">
      <c r="A620" s="17" t="s">
        <v>614</v>
      </c>
      <c r="B620" s="26" t="s">
        <v>523</v>
      </c>
      <c r="C620" s="19">
        <v>12.5</v>
      </c>
      <c r="D620" s="5" t="s">
        <v>276</v>
      </c>
      <c r="E620" s="7">
        <v>19248.5</v>
      </c>
      <c r="F620" s="7">
        <v>240606</v>
      </c>
    </row>
    <row r="621" spans="1:6" x14ac:dyDescent="0.25">
      <c r="A621" s="17" t="s">
        <v>615</v>
      </c>
      <c r="B621" s="26" t="s">
        <v>491</v>
      </c>
      <c r="C621" s="19">
        <v>0.43</v>
      </c>
      <c r="D621" s="5" t="s">
        <v>267</v>
      </c>
      <c r="E621" s="7">
        <v>1151545.01</v>
      </c>
      <c r="F621" s="7">
        <v>495164</v>
      </c>
    </row>
    <row r="622" spans="1:6" x14ac:dyDescent="0.25">
      <c r="A622" s="17" t="s">
        <v>616</v>
      </c>
      <c r="B622" s="26" t="s">
        <v>526</v>
      </c>
      <c r="C622" s="19">
        <v>0</v>
      </c>
      <c r="D622" s="5" t="s">
        <v>485</v>
      </c>
      <c r="E622" s="7">
        <v>0</v>
      </c>
      <c r="F622" s="7">
        <v>0</v>
      </c>
    </row>
    <row r="623" spans="1:6" x14ac:dyDescent="0.25">
      <c r="A623" s="17" t="s">
        <v>617</v>
      </c>
      <c r="B623" s="26" t="s">
        <v>528</v>
      </c>
      <c r="C623" s="19">
        <v>3.2</v>
      </c>
      <c r="D623" s="5" t="s">
        <v>167</v>
      </c>
      <c r="E623" s="7">
        <v>208190.98</v>
      </c>
      <c r="F623" s="7">
        <v>666211</v>
      </c>
    </row>
    <row r="624" spans="1:6" x14ac:dyDescent="0.25">
      <c r="A624" s="17" t="s">
        <v>618</v>
      </c>
      <c r="B624" s="26" t="s">
        <v>530</v>
      </c>
      <c r="C624" s="19">
        <v>22.5</v>
      </c>
      <c r="D624" s="5" t="s">
        <v>276</v>
      </c>
      <c r="E624" s="7">
        <v>19248.5</v>
      </c>
      <c r="F624" s="7">
        <v>433091</v>
      </c>
    </row>
    <row r="625" spans="1:6" x14ac:dyDescent="0.25">
      <c r="A625" s="17" t="s">
        <v>619</v>
      </c>
      <c r="B625" s="26" t="s">
        <v>532</v>
      </c>
      <c r="C625" s="19">
        <v>9.85</v>
      </c>
      <c r="D625" s="5" t="s">
        <v>276</v>
      </c>
      <c r="E625" s="7">
        <v>13176.23</v>
      </c>
      <c r="F625" s="7">
        <v>129786</v>
      </c>
    </row>
    <row r="626" spans="1:6" x14ac:dyDescent="0.25">
      <c r="A626" s="17" t="s">
        <v>620</v>
      </c>
      <c r="B626" s="26" t="s">
        <v>491</v>
      </c>
      <c r="C626" s="19">
        <v>0.2</v>
      </c>
      <c r="D626" s="5" t="s">
        <v>267</v>
      </c>
      <c r="E626" s="7">
        <v>1151545.01</v>
      </c>
      <c r="F626" s="7">
        <v>230309</v>
      </c>
    </row>
    <row r="627" spans="1:6" x14ac:dyDescent="0.25">
      <c r="A627" s="17" t="s">
        <v>621</v>
      </c>
      <c r="B627" s="26" t="s">
        <v>535</v>
      </c>
      <c r="C627" s="19">
        <v>11.2</v>
      </c>
      <c r="D627" s="5" t="s">
        <v>276</v>
      </c>
      <c r="E627" s="7">
        <v>19248.5</v>
      </c>
      <c r="F627" s="7">
        <v>215583</v>
      </c>
    </row>
    <row r="628" spans="1:6" s="20" customFormat="1" x14ac:dyDescent="0.25">
      <c r="A628" s="21" t="s">
        <v>622</v>
      </c>
      <c r="B628" s="25" t="s">
        <v>623</v>
      </c>
      <c r="C628" s="23"/>
      <c r="D628" s="24"/>
      <c r="E628" s="23"/>
      <c r="F628" s="9">
        <f>F629+F630+F631+F632</f>
        <v>4004103</v>
      </c>
    </row>
    <row r="629" spans="1:6" x14ac:dyDescent="0.25">
      <c r="A629" s="17" t="s">
        <v>624</v>
      </c>
      <c r="B629" s="26" t="s">
        <v>538</v>
      </c>
      <c r="C629" s="19">
        <v>3.94</v>
      </c>
      <c r="D629" s="5" t="s">
        <v>267</v>
      </c>
      <c r="E629" s="7">
        <v>103880.83</v>
      </c>
      <c r="F629" s="7">
        <v>409291</v>
      </c>
    </row>
    <row r="630" spans="1:6" x14ac:dyDescent="0.25">
      <c r="A630" s="17" t="s">
        <v>625</v>
      </c>
      <c r="B630" s="26" t="s">
        <v>539</v>
      </c>
      <c r="C630" s="19">
        <v>0.23</v>
      </c>
      <c r="D630" s="5" t="s">
        <v>267</v>
      </c>
      <c r="E630" s="7">
        <v>345522.98</v>
      </c>
      <c r="F630" s="7">
        <v>79470</v>
      </c>
    </row>
    <row r="631" spans="1:6" x14ac:dyDescent="0.25">
      <c r="A631" s="17" t="s">
        <v>626</v>
      </c>
      <c r="B631" s="26" t="s">
        <v>440</v>
      </c>
      <c r="C631" s="19">
        <v>0.11</v>
      </c>
      <c r="D631" s="5" t="s">
        <v>267</v>
      </c>
      <c r="E631" s="7">
        <v>1016530.97</v>
      </c>
      <c r="F631" s="7">
        <v>111818</v>
      </c>
    </row>
    <row r="632" spans="1:6" x14ac:dyDescent="0.25">
      <c r="A632" s="17" t="s">
        <v>627</v>
      </c>
      <c r="B632" s="26" t="s">
        <v>540</v>
      </c>
      <c r="C632" s="19">
        <v>1</v>
      </c>
      <c r="D632" s="5" t="s">
        <v>240</v>
      </c>
      <c r="E632" s="7">
        <v>3403523.41</v>
      </c>
      <c r="F632" s="7">
        <v>3403524</v>
      </c>
    </row>
    <row r="633" spans="1:6" x14ac:dyDescent="0.25">
      <c r="A633" s="17" t="s">
        <v>628</v>
      </c>
      <c r="B633" s="27" t="s">
        <v>629</v>
      </c>
      <c r="C633" s="19">
        <v>16</v>
      </c>
      <c r="D633" s="5" t="s">
        <v>237</v>
      </c>
      <c r="E633" s="7">
        <v>421873.56</v>
      </c>
      <c r="F633" s="7">
        <v>6749977</v>
      </c>
    </row>
    <row r="634" spans="1:6" x14ac:dyDescent="0.25">
      <c r="A634" s="17" t="s">
        <v>630</v>
      </c>
      <c r="B634" s="27" t="s">
        <v>631</v>
      </c>
      <c r="C634" s="19">
        <v>9</v>
      </c>
      <c r="D634" s="5" t="s">
        <v>237</v>
      </c>
      <c r="E634" s="7">
        <v>534274.39</v>
      </c>
      <c r="F634" s="7">
        <v>4808469</v>
      </c>
    </row>
    <row r="635" spans="1:6" x14ac:dyDescent="0.25">
      <c r="A635" s="17" t="s">
        <v>632</v>
      </c>
      <c r="B635" s="27" t="s">
        <v>633</v>
      </c>
      <c r="C635" s="19">
        <v>1</v>
      </c>
      <c r="D635" s="5" t="s">
        <v>237</v>
      </c>
      <c r="E635" s="7">
        <v>606888.15</v>
      </c>
      <c r="F635" s="7">
        <v>606888</v>
      </c>
    </row>
    <row r="636" spans="1:6" x14ac:dyDescent="0.25">
      <c r="A636" s="17" t="s">
        <v>634</v>
      </c>
      <c r="B636" s="27" t="s">
        <v>544</v>
      </c>
      <c r="C636" s="19">
        <v>4</v>
      </c>
      <c r="D636" s="5" t="s">
        <v>169</v>
      </c>
      <c r="E636" s="7">
        <v>69831.65</v>
      </c>
      <c r="F636" s="7">
        <v>279327</v>
      </c>
    </row>
    <row r="637" spans="1:6" x14ac:dyDescent="0.25">
      <c r="A637" s="17" t="s">
        <v>635</v>
      </c>
      <c r="B637" s="27" t="s">
        <v>636</v>
      </c>
      <c r="C637" s="19">
        <v>1</v>
      </c>
      <c r="D637" s="5" t="s">
        <v>169</v>
      </c>
      <c r="E637" s="7">
        <v>66848.01</v>
      </c>
      <c r="F637" s="7">
        <v>66848</v>
      </c>
    </row>
    <row r="638" spans="1:6" x14ac:dyDescent="0.25">
      <c r="A638" s="17" t="s">
        <v>637</v>
      </c>
      <c r="B638" s="27" t="s">
        <v>545</v>
      </c>
      <c r="C638" s="19">
        <v>7</v>
      </c>
      <c r="D638" s="5" t="s">
        <v>169</v>
      </c>
      <c r="E638" s="7">
        <v>55282.67</v>
      </c>
      <c r="F638" s="7">
        <v>386979</v>
      </c>
    </row>
    <row r="639" spans="1:6" x14ac:dyDescent="0.25">
      <c r="A639" s="17" t="s">
        <v>638</v>
      </c>
      <c r="B639" s="27" t="s">
        <v>639</v>
      </c>
      <c r="C639" s="19">
        <v>1</v>
      </c>
      <c r="D639" s="5" t="s">
        <v>169</v>
      </c>
      <c r="E639" s="7">
        <v>63292.81</v>
      </c>
      <c r="F639" s="7">
        <v>63293</v>
      </c>
    </row>
    <row r="640" spans="1:6" x14ac:dyDescent="0.25">
      <c r="A640" s="17" t="s">
        <v>640</v>
      </c>
      <c r="B640" s="27" t="s">
        <v>641</v>
      </c>
      <c r="C640" s="19">
        <v>1</v>
      </c>
      <c r="D640" s="5" t="s">
        <v>169</v>
      </c>
      <c r="E640" s="7">
        <v>58417.93</v>
      </c>
      <c r="F640" s="7">
        <v>58418</v>
      </c>
    </row>
    <row r="641" spans="1:6" x14ac:dyDescent="0.25">
      <c r="A641" s="17" t="s">
        <v>642</v>
      </c>
      <c r="B641" s="27" t="s">
        <v>542</v>
      </c>
      <c r="C641" s="19">
        <v>16</v>
      </c>
      <c r="D641" s="5" t="s">
        <v>169</v>
      </c>
      <c r="E641" s="7">
        <v>160506.41</v>
      </c>
      <c r="F641" s="7">
        <v>2568103</v>
      </c>
    </row>
    <row r="642" spans="1:6" x14ac:dyDescent="0.25">
      <c r="A642" s="17" t="s">
        <v>643</v>
      </c>
      <c r="B642" s="27" t="s">
        <v>644</v>
      </c>
      <c r="C642" s="19">
        <v>1</v>
      </c>
      <c r="D642" s="5" t="s">
        <v>240</v>
      </c>
      <c r="E642" s="7">
        <v>5687969.99</v>
      </c>
      <c r="F642" s="7">
        <v>5687970</v>
      </c>
    </row>
    <row r="643" spans="1:6" x14ac:dyDescent="0.25">
      <c r="A643" s="17" t="s">
        <v>645</v>
      </c>
      <c r="B643" s="27" t="s">
        <v>646</v>
      </c>
      <c r="C643" s="19">
        <v>1</v>
      </c>
      <c r="D643" s="5" t="s">
        <v>240</v>
      </c>
      <c r="E643" s="7">
        <v>40727.6</v>
      </c>
      <c r="F643" s="7">
        <v>40728</v>
      </c>
    </row>
    <row r="644" spans="1:6" s="10" customFormat="1" x14ac:dyDescent="0.25">
      <c r="A644" s="15" t="s">
        <v>22</v>
      </c>
      <c r="B644" s="16" t="s">
        <v>23</v>
      </c>
      <c r="C644" s="12"/>
      <c r="D644" s="11"/>
      <c r="E644" s="12"/>
      <c r="F644" s="14">
        <f>F645+F700+F729+F730+F750</f>
        <v>454593106</v>
      </c>
    </row>
    <row r="645" spans="1:6" s="20" customFormat="1" x14ac:dyDescent="0.25">
      <c r="A645" s="21" t="s">
        <v>115</v>
      </c>
      <c r="B645" s="22" t="s">
        <v>85</v>
      </c>
      <c r="C645" s="23"/>
      <c r="D645" s="24"/>
      <c r="E645" s="23"/>
      <c r="F645" s="9">
        <f>F646+F647+F657+F666+F673+F674+F682+F688+F695</f>
        <v>75375931</v>
      </c>
    </row>
    <row r="646" spans="1:6" x14ac:dyDescent="0.25">
      <c r="A646" s="17" t="s">
        <v>45</v>
      </c>
      <c r="B646" s="27" t="s">
        <v>153</v>
      </c>
      <c r="C646" s="19">
        <v>20</v>
      </c>
      <c r="D646" s="5" t="s">
        <v>170</v>
      </c>
      <c r="E646" s="7">
        <v>147990.68</v>
      </c>
      <c r="F646" s="7">
        <v>2959814</v>
      </c>
    </row>
    <row r="647" spans="1:6" s="20" customFormat="1" x14ac:dyDescent="0.25">
      <c r="A647" s="21" t="s">
        <v>47</v>
      </c>
      <c r="B647" s="25" t="s">
        <v>647</v>
      </c>
      <c r="C647" s="23"/>
      <c r="D647" s="24"/>
      <c r="E647" s="23"/>
      <c r="F647" s="9">
        <f>F648+F649+F650+F651+F652+F653+F654+F655+F656</f>
        <v>12947895</v>
      </c>
    </row>
    <row r="648" spans="1:6" x14ac:dyDescent="0.25">
      <c r="A648" s="17" t="s">
        <v>272</v>
      </c>
      <c r="B648" s="26" t="s">
        <v>648</v>
      </c>
      <c r="C648" s="19">
        <v>1.01</v>
      </c>
      <c r="D648" s="5" t="s">
        <v>267</v>
      </c>
      <c r="E648" s="7">
        <v>56660.36</v>
      </c>
      <c r="F648" s="7">
        <v>57227</v>
      </c>
    </row>
    <row r="649" spans="1:6" x14ac:dyDescent="0.25">
      <c r="A649" s="17" t="s">
        <v>274</v>
      </c>
      <c r="B649" s="26" t="s">
        <v>333</v>
      </c>
      <c r="C649" s="19">
        <v>144</v>
      </c>
      <c r="D649" s="5" t="s">
        <v>170</v>
      </c>
      <c r="E649" s="7">
        <v>26681.29</v>
      </c>
      <c r="F649" s="7">
        <v>3842106</v>
      </c>
    </row>
    <row r="650" spans="1:6" x14ac:dyDescent="0.25">
      <c r="A650" s="17" t="s">
        <v>277</v>
      </c>
      <c r="B650" s="26" t="s">
        <v>649</v>
      </c>
      <c r="C650" s="19">
        <v>0.07</v>
      </c>
      <c r="D650" s="5" t="s">
        <v>267</v>
      </c>
      <c r="E650" s="7">
        <v>345522.98</v>
      </c>
      <c r="F650" s="7">
        <v>24186</v>
      </c>
    </row>
    <row r="651" spans="1:6" x14ac:dyDescent="0.25">
      <c r="A651" s="17" t="s">
        <v>279</v>
      </c>
      <c r="B651" s="26" t="s">
        <v>440</v>
      </c>
      <c r="C651" s="19">
        <v>0.07</v>
      </c>
      <c r="D651" s="5" t="s">
        <v>267</v>
      </c>
      <c r="E651" s="7">
        <v>1016530.97</v>
      </c>
      <c r="F651" s="7">
        <v>71157</v>
      </c>
    </row>
    <row r="652" spans="1:6" x14ac:dyDescent="0.25">
      <c r="A652" s="17" t="s">
        <v>326</v>
      </c>
      <c r="B652" s="26" t="s">
        <v>325</v>
      </c>
      <c r="C652" s="19">
        <v>11.52</v>
      </c>
      <c r="D652" s="5" t="s">
        <v>167</v>
      </c>
      <c r="E652" s="7">
        <v>130392.01</v>
      </c>
      <c r="F652" s="7">
        <v>1502116</v>
      </c>
    </row>
    <row r="653" spans="1:6" x14ac:dyDescent="0.25">
      <c r="A653" s="17" t="s">
        <v>328</v>
      </c>
      <c r="B653" s="26" t="s">
        <v>650</v>
      </c>
      <c r="C653" s="19">
        <v>162.87</v>
      </c>
      <c r="D653" s="5" t="s">
        <v>276</v>
      </c>
      <c r="E653" s="7">
        <v>19248.5</v>
      </c>
      <c r="F653" s="7">
        <v>3135003</v>
      </c>
    </row>
    <row r="654" spans="1:6" x14ac:dyDescent="0.25">
      <c r="A654" s="17" t="s">
        <v>330</v>
      </c>
      <c r="B654" s="26" t="s">
        <v>651</v>
      </c>
      <c r="C654" s="19">
        <v>10</v>
      </c>
      <c r="D654" s="5" t="s">
        <v>276</v>
      </c>
      <c r="E654" s="7">
        <v>19248.5</v>
      </c>
      <c r="F654" s="7">
        <v>192485</v>
      </c>
    </row>
    <row r="655" spans="1:6" x14ac:dyDescent="0.25">
      <c r="A655" s="17" t="s">
        <v>414</v>
      </c>
      <c r="B655" s="26" t="s">
        <v>348</v>
      </c>
      <c r="C655" s="19">
        <v>3.46</v>
      </c>
      <c r="D655" s="5" t="s">
        <v>267</v>
      </c>
      <c r="E655" s="7">
        <v>1151545.01</v>
      </c>
      <c r="F655" s="7">
        <v>3984346</v>
      </c>
    </row>
    <row r="656" spans="1:6" x14ac:dyDescent="0.25">
      <c r="A656" s="17" t="s">
        <v>652</v>
      </c>
      <c r="B656" s="26" t="s">
        <v>653</v>
      </c>
      <c r="C656" s="19">
        <v>3.46</v>
      </c>
      <c r="D656" s="5" t="s">
        <v>267</v>
      </c>
      <c r="E656" s="7">
        <v>40251.08</v>
      </c>
      <c r="F656" s="7">
        <v>139269</v>
      </c>
    </row>
    <row r="657" spans="1:6" s="20" customFormat="1" x14ac:dyDescent="0.25">
      <c r="A657" s="21" t="s">
        <v>49</v>
      </c>
      <c r="B657" s="25" t="s">
        <v>654</v>
      </c>
      <c r="C657" s="23"/>
      <c r="D657" s="24"/>
      <c r="E657" s="23"/>
      <c r="F657" s="9">
        <f>F658+F659+F660+F661+F662+F663+F664+F665</f>
        <v>3955039</v>
      </c>
    </row>
    <row r="658" spans="1:6" x14ac:dyDescent="0.25">
      <c r="A658" s="17" t="s">
        <v>281</v>
      </c>
      <c r="B658" s="26" t="s">
        <v>648</v>
      </c>
      <c r="C658" s="19">
        <v>2.4</v>
      </c>
      <c r="D658" s="5" t="s">
        <v>267</v>
      </c>
      <c r="E658" s="7">
        <v>56660.36</v>
      </c>
      <c r="F658" s="7">
        <v>135985</v>
      </c>
    </row>
    <row r="659" spans="1:6" x14ac:dyDescent="0.25">
      <c r="A659" s="17" t="s">
        <v>282</v>
      </c>
      <c r="B659" s="26" t="s">
        <v>649</v>
      </c>
      <c r="C659" s="19">
        <v>0.3</v>
      </c>
      <c r="D659" s="5" t="s">
        <v>267</v>
      </c>
      <c r="E659" s="7">
        <v>345522.98</v>
      </c>
      <c r="F659" s="7">
        <v>103657</v>
      </c>
    </row>
    <row r="660" spans="1:6" x14ac:dyDescent="0.25">
      <c r="A660" s="17" t="s">
        <v>284</v>
      </c>
      <c r="B660" s="26" t="s">
        <v>440</v>
      </c>
      <c r="C660" s="19">
        <v>0.3</v>
      </c>
      <c r="D660" s="5" t="s">
        <v>267</v>
      </c>
      <c r="E660" s="7">
        <v>1016530.97</v>
      </c>
      <c r="F660" s="7">
        <v>304959</v>
      </c>
    </row>
    <row r="661" spans="1:6" x14ac:dyDescent="0.25">
      <c r="A661" s="17" t="s">
        <v>286</v>
      </c>
      <c r="B661" s="26" t="s">
        <v>325</v>
      </c>
      <c r="C661" s="19">
        <v>3.6</v>
      </c>
      <c r="D661" s="5" t="s">
        <v>167</v>
      </c>
      <c r="E661" s="7">
        <v>130392.01</v>
      </c>
      <c r="F661" s="7">
        <v>469411</v>
      </c>
    </row>
    <row r="662" spans="1:6" x14ac:dyDescent="0.25">
      <c r="A662" s="17" t="s">
        <v>287</v>
      </c>
      <c r="B662" s="26" t="s">
        <v>655</v>
      </c>
      <c r="C662" s="19">
        <v>77.1</v>
      </c>
      <c r="D662" s="5" t="s">
        <v>276</v>
      </c>
      <c r="E662" s="7">
        <v>19248.5</v>
      </c>
      <c r="F662" s="7">
        <v>1484059</v>
      </c>
    </row>
    <row r="663" spans="1:6" x14ac:dyDescent="0.25">
      <c r="A663" s="17" t="s">
        <v>289</v>
      </c>
      <c r="B663" s="26" t="s">
        <v>656</v>
      </c>
      <c r="C663" s="19">
        <v>29.17</v>
      </c>
      <c r="D663" s="5" t="s">
        <v>276</v>
      </c>
      <c r="E663" s="7">
        <v>13176.23</v>
      </c>
      <c r="F663" s="7">
        <v>384351</v>
      </c>
    </row>
    <row r="664" spans="1:6" x14ac:dyDescent="0.25">
      <c r="A664" s="17" t="s">
        <v>657</v>
      </c>
      <c r="B664" s="26" t="s">
        <v>348</v>
      </c>
      <c r="C664" s="19">
        <v>0.9</v>
      </c>
      <c r="D664" s="5" t="s">
        <v>267</v>
      </c>
      <c r="E664" s="7">
        <v>1151545.01</v>
      </c>
      <c r="F664" s="7">
        <v>1036391</v>
      </c>
    </row>
    <row r="665" spans="1:6" x14ac:dyDescent="0.25">
      <c r="A665" s="17" t="s">
        <v>658</v>
      </c>
      <c r="B665" s="26" t="s">
        <v>653</v>
      </c>
      <c r="C665" s="19">
        <v>0.9</v>
      </c>
      <c r="D665" s="5" t="s">
        <v>267</v>
      </c>
      <c r="E665" s="7">
        <v>40251.08</v>
      </c>
      <c r="F665" s="7">
        <v>36226</v>
      </c>
    </row>
    <row r="666" spans="1:6" s="20" customFormat="1" x14ac:dyDescent="0.25">
      <c r="A666" s="21" t="s">
        <v>51</v>
      </c>
      <c r="B666" s="25" t="s">
        <v>659</v>
      </c>
      <c r="C666" s="23"/>
      <c r="D666" s="24"/>
      <c r="E666" s="23"/>
      <c r="F666" s="9">
        <f>F667+F668+F669+F670+F671+F672</f>
        <v>9305271</v>
      </c>
    </row>
    <row r="667" spans="1:6" x14ac:dyDescent="0.25">
      <c r="A667" s="17" t="s">
        <v>291</v>
      </c>
      <c r="B667" s="26" t="s">
        <v>345</v>
      </c>
      <c r="C667" s="19">
        <v>12.48</v>
      </c>
      <c r="D667" s="5" t="s">
        <v>167</v>
      </c>
      <c r="E667" s="7">
        <v>208190.98</v>
      </c>
      <c r="F667" s="7">
        <v>2598224</v>
      </c>
    </row>
    <row r="668" spans="1:6" x14ac:dyDescent="0.25">
      <c r="A668" s="17" t="s">
        <v>293</v>
      </c>
      <c r="B668" s="26" t="s">
        <v>660</v>
      </c>
      <c r="C668" s="19">
        <v>235.05</v>
      </c>
      <c r="D668" s="5" t="s">
        <v>276</v>
      </c>
      <c r="E668" s="7">
        <v>19248.5</v>
      </c>
      <c r="F668" s="7">
        <v>4524360</v>
      </c>
    </row>
    <row r="669" spans="1:6" x14ac:dyDescent="0.25">
      <c r="A669" s="17" t="s">
        <v>294</v>
      </c>
      <c r="B669" s="26" t="s">
        <v>661</v>
      </c>
      <c r="C669" s="19">
        <v>23.67</v>
      </c>
      <c r="D669" s="5" t="s">
        <v>276</v>
      </c>
      <c r="E669" s="7">
        <v>13176.23</v>
      </c>
      <c r="F669" s="7">
        <v>311881</v>
      </c>
    </row>
    <row r="670" spans="1:6" x14ac:dyDescent="0.25">
      <c r="A670" s="17" t="s">
        <v>296</v>
      </c>
      <c r="B670" s="26" t="s">
        <v>662</v>
      </c>
      <c r="C670" s="19">
        <v>56.96</v>
      </c>
      <c r="D670" s="5" t="s">
        <v>276</v>
      </c>
      <c r="E670" s="7">
        <v>13176.23</v>
      </c>
      <c r="F670" s="7">
        <v>750518</v>
      </c>
    </row>
    <row r="671" spans="1:6" x14ac:dyDescent="0.25">
      <c r="A671" s="17" t="s">
        <v>435</v>
      </c>
      <c r="B671" s="26" t="s">
        <v>348</v>
      </c>
      <c r="C671" s="19">
        <v>0.94</v>
      </c>
      <c r="D671" s="5" t="s">
        <v>267</v>
      </c>
      <c r="E671" s="7">
        <v>1151545.01</v>
      </c>
      <c r="F671" s="7">
        <v>1082452</v>
      </c>
    </row>
    <row r="672" spans="1:6" x14ac:dyDescent="0.25">
      <c r="A672" s="17" t="s">
        <v>663</v>
      </c>
      <c r="B672" s="26" t="s">
        <v>653</v>
      </c>
      <c r="C672" s="19">
        <v>0.94</v>
      </c>
      <c r="D672" s="5" t="s">
        <v>267</v>
      </c>
      <c r="E672" s="7">
        <v>40251.08</v>
      </c>
      <c r="F672" s="7">
        <v>37836</v>
      </c>
    </row>
    <row r="673" spans="1:6" x14ac:dyDescent="0.25">
      <c r="A673" s="17" t="s">
        <v>53</v>
      </c>
      <c r="B673" s="27" t="s">
        <v>664</v>
      </c>
      <c r="C673" s="19">
        <v>20</v>
      </c>
      <c r="D673" s="5" t="s">
        <v>167</v>
      </c>
      <c r="E673" s="7">
        <v>384996.28</v>
      </c>
      <c r="F673" s="7">
        <v>7699925</v>
      </c>
    </row>
    <row r="674" spans="1:6" s="20" customFormat="1" x14ac:dyDescent="0.25">
      <c r="A674" s="21" t="s">
        <v>55</v>
      </c>
      <c r="B674" s="25" t="s">
        <v>665</v>
      </c>
      <c r="C674" s="23"/>
      <c r="D674" s="24"/>
      <c r="E674" s="23"/>
      <c r="F674" s="9">
        <f>F675+F676+F677+F678+F679+F680+F681</f>
        <v>11946768</v>
      </c>
    </row>
    <row r="675" spans="1:6" x14ac:dyDescent="0.25">
      <c r="A675" s="17" t="s">
        <v>303</v>
      </c>
      <c r="B675" s="26" t="s">
        <v>356</v>
      </c>
      <c r="C675" s="19">
        <v>21.2</v>
      </c>
      <c r="D675" s="5" t="s">
        <v>167</v>
      </c>
      <c r="E675" s="7">
        <v>214925.5</v>
      </c>
      <c r="F675" s="7">
        <v>4556420</v>
      </c>
    </row>
    <row r="676" spans="1:6" x14ac:dyDescent="0.25">
      <c r="A676" s="17" t="s">
        <v>305</v>
      </c>
      <c r="B676" s="26" t="s">
        <v>666</v>
      </c>
      <c r="C676" s="19">
        <v>142.53</v>
      </c>
      <c r="D676" s="5" t="s">
        <v>276</v>
      </c>
      <c r="E676" s="7">
        <v>19248.5</v>
      </c>
      <c r="F676" s="7">
        <v>2743489</v>
      </c>
    </row>
    <row r="677" spans="1:6" x14ac:dyDescent="0.25">
      <c r="A677" s="17" t="s">
        <v>306</v>
      </c>
      <c r="B677" s="26" t="s">
        <v>370</v>
      </c>
      <c r="C677" s="19">
        <v>56.22</v>
      </c>
      <c r="D677" s="5" t="s">
        <v>276</v>
      </c>
      <c r="E677" s="7">
        <v>13176.23</v>
      </c>
      <c r="F677" s="7">
        <v>740768</v>
      </c>
    </row>
    <row r="678" spans="1:6" x14ac:dyDescent="0.25">
      <c r="A678" s="17" t="s">
        <v>307</v>
      </c>
      <c r="B678" s="26" t="s">
        <v>661</v>
      </c>
      <c r="C678" s="19">
        <v>71.51</v>
      </c>
      <c r="D678" s="5" t="s">
        <v>276</v>
      </c>
      <c r="E678" s="7">
        <v>13176.23</v>
      </c>
      <c r="F678" s="7">
        <v>942232</v>
      </c>
    </row>
    <row r="679" spans="1:6" x14ac:dyDescent="0.25">
      <c r="A679" s="17" t="s">
        <v>309</v>
      </c>
      <c r="B679" s="26" t="s">
        <v>656</v>
      </c>
      <c r="C679" s="19">
        <v>60.32</v>
      </c>
      <c r="D679" s="5" t="s">
        <v>276</v>
      </c>
      <c r="E679" s="7">
        <v>13176.23</v>
      </c>
      <c r="F679" s="7">
        <v>794790</v>
      </c>
    </row>
    <row r="680" spans="1:6" x14ac:dyDescent="0.25">
      <c r="A680" s="17" t="s">
        <v>311</v>
      </c>
      <c r="B680" s="26" t="s">
        <v>348</v>
      </c>
      <c r="C680" s="19">
        <v>1.82</v>
      </c>
      <c r="D680" s="5" t="s">
        <v>267</v>
      </c>
      <c r="E680" s="7">
        <v>1151545.01</v>
      </c>
      <c r="F680" s="7">
        <v>2095812</v>
      </c>
    </row>
    <row r="681" spans="1:6" x14ac:dyDescent="0.25">
      <c r="A681" s="17" t="s">
        <v>312</v>
      </c>
      <c r="B681" s="26" t="s">
        <v>653</v>
      </c>
      <c r="C681" s="19">
        <v>1.82</v>
      </c>
      <c r="D681" s="5" t="s">
        <v>267</v>
      </c>
      <c r="E681" s="7">
        <v>40251.08</v>
      </c>
      <c r="F681" s="7">
        <v>73257</v>
      </c>
    </row>
    <row r="682" spans="1:6" s="20" customFormat="1" x14ac:dyDescent="0.25">
      <c r="A682" s="21" t="s">
        <v>57</v>
      </c>
      <c r="B682" s="25" t="s">
        <v>667</v>
      </c>
      <c r="C682" s="23"/>
      <c r="D682" s="24"/>
      <c r="E682" s="23"/>
      <c r="F682" s="9">
        <f>F683+F684+F685+F686+F687</f>
        <v>2422724</v>
      </c>
    </row>
    <row r="683" spans="1:6" x14ac:dyDescent="0.25">
      <c r="A683" s="17" t="s">
        <v>314</v>
      </c>
      <c r="B683" s="26" t="s">
        <v>356</v>
      </c>
      <c r="C683" s="19">
        <v>6.08</v>
      </c>
      <c r="D683" s="5" t="s">
        <v>167</v>
      </c>
      <c r="E683" s="7">
        <v>214925.5</v>
      </c>
      <c r="F683" s="7">
        <v>1306747</v>
      </c>
    </row>
    <row r="684" spans="1:6" x14ac:dyDescent="0.25">
      <c r="A684" s="17" t="s">
        <v>316</v>
      </c>
      <c r="B684" s="26" t="s">
        <v>668</v>
      </c>
      <c r="C684" s="19">
        <v>24.66</v>
      </c>
      <c r="D684" s="5" t="s">
        <v>276</v>
      </c>
      <c r="E684" s="7">
        <v>13176.23</v>
      </c>
      <c r="F684" s="7">
        <v>324926</v>
      </c>
    </row>
    <row r="685" spans="1:6" x14ac:dyDescent="0.25">
      <c r="A685" s="17" t="s">
        <v>318</v>
      </c>
      <c r="B685" s="26" t="s">
        <v>656</v>
      </c>
      <c r="C685" s="19">
        <v>16.62</v>
      </c>
      <c r="D685" s="5" t="s">
        <v>276</v>
      </c>
      <c r="E685" s="7">
        <v>13176.23</v>
      </c>
      <c r="F685" s="7">
        <v>218989</v>
      </c>
    </row>
    <row r="686" spans="1:6" x14ac:dyDescent="0.25">
      <c r="A686" s="17" t="s">
        <v>320</v>
      </c>
      <c r="B686" s="26" t="s">
        <v>348</v>
      </c>
      <c r="C686" s="19">
        <v>0.48</v>
      </c>
      <c r="D686" s="5" t="s">
        <v>267</v>
      </c>
      <c r="E686" s="7">
        <v>1151545.01</v>
      </c>
      <c r="F686" s="7">
        <v>552742</v>
      </c>
    </row>
    <row r="687" spans="1:6" x14ac:dyDescent="0.25">
      <c r="A687" s="17" t="s">
        <v>321</v>
      </c>
      <c r="B687" s="26" t="s">
        <v>653</v>
      </c>
      <c r="C687" s="19">
        <v>0.48</v>
      </c>
      <c r="D687" s="5" t="s">
        <v>267</v>
      </c>
      <c r="E687" s="7">
        <v>40251.08</v>
      </c>
      <c r="F687" s="7">
        <v>19320</v>
      </c>
    </row>
    <row r="688" spans="1:6" s="20" customFormat="1" x14ac:dyDescent="0.25">
      <c r="A688" s="21" t="s">
        <v>59</v>
      </c>
      <c r="B688" s="25" t="s">
        <v>669</v>
      </c>
      <c r="C688" s="23"/>
      <c r="D688" s="24"/>
      <c r="E688" s="23"/>
      <c r="F688" s="9">
        <f>F689+F690+F691+F692+F693+F694</f>
        <v>9284205</v>
      </c>
    </row>
    <row r="689" spans="1:6" x14ac:dyDescent="0.25">
      <c r="A689" s="17" t="s">
        <v>350</v>
      </c>
      <c r="B689" s="26" t="s">
        <v>356</v>
      </c>
      <c r="C689" s="19">
        <v>22.23</v>
      </c>
      <c r="D689" s="5" t="s">
        <v>167</v>
      </c>
      <c r="E689" s="7">
        <v>214925.5</v>
      </c>
      <c r="F689" s="7">
        <v>4777794</v>
      </c>
    </row>
    <row r="690" spans="1:6" x14ac:dyDescent="0.25">
      <c r="A690" s="17" t="s">
        <v>352</v>
      </c>
      <c r="B690" s="26" t="s">
        <v>670</v>
      </c>
      <c r="C690" s="19">
        <v>72.13</v>
      </c>
      <c r="D690" s="5" t="s">
        <v>276</v>
      </c>
      <c r="E690" s="7">
        <v>13176.23</v>
      </c>
      <c r="F690" s="7">
        <v>950401</v>
      </c>
    </row>
    <row r="691" spans="1:6" x14ac:dyDescent="0.25">
      <c r="A691" s="17" t="s">
        <v>353</v>
      </c>
      <c r="B691" s="26" t="s">
        <v>661</v>
      </c>
      <c r="C691" s="19">
        <v>81.38</v>
      </c>
      <c r="D691" s="5" t="s">
        <v>276</v>
      </c>
      <c r="E691" s="7">
        <v>13176.23</v>
      </c>
      <c r="F691" s="7">
        <v>1072282</v>
      </c>
    </row>
    <row r="692" spans="1:6" x14ac:dyDescent="0.25">
      <c r="A692" s="17" t="s">
        <v>428</v>
      </c>
      <c r="B692" s="26" t="s">
        <v>656</v>
      </c>
      <c r="C692" s="19">
        <v>61.87</v>
      </c>
      <c r="D692" s="5" t="s">
        <v>276</v>
      </c>
      <c r="E692" s="7">
        <v>13176.23</v>
      </c>
      <c r="F692" s="7">
        <v>815213</v>
      </c>
    </row>
    <row r="693" spans="1:6" x14ac:dyDescent="0.25">
      <c r="A693" s="17" t="s">
        <v>429</v>
      </c>
      <c r="B693" s="26" t="s">
        <v>348</v>
      </c>
      <c r="C693" s="19">
        <v>1.4</v>
      </c>
      <c r="D693" s="5" t="s">
        <v>267</v>
      </c>
      <c r="E693" s="7">
        <v>1151545.01</v>
      </c>
      <c r="F693" s="7">
        <v>1612163</v>
      </c>
    </row>
    <row r="694" spans="1:6" x14ac:dyDescent="0.25">
      <c r="A694" s="17" t="s">
        <v>430</v>
      </c>
      <c r="B694" s="26" t="s">
        <v>653</v>
      </c>
      <c r="C694" s="19">
        <v>1.4</v>
      </c>
      <c r="D694" s="5" t="s">
        <v>267</v>
      </c>
      <c r="E694" s="7">
        <v>40251.08</v>
      </c>
      <c r="F694" s="7">
        <v>56352</v>
      </c>
    </row>
    <row r="695" spans="1:6" s="20" customFormat="1" x14ac:dyDescent="0.25">
      <c r="A695" s="21" t="s">
        <v>61</v>
      </c>
      <c r="B695" s="25" t="s">
        <v>422</v>
      </c>
      <c r="C695" s="23"/>
      <c r="D695" s="24"/>
      <c r="E695" s="23"/>
      <c r="F695" s="9">
        <f>F696+F697+F698+F699</f>
        <v>14854290</v>
      </c>
    </row>
    <row r="696" spans="1:6" x14ac:dyDescent="0.25">
      <c r="A696" s="17" t="s">
        <v>355</v>
      </c>
      <c r="B696" s="26" t="s">
        <v>671</v>
      </c>
      <c r="C696" s="19">
        <v>33.44</v>
      </c>
      <c r="D696" s="5" t="s">
        <v>167</v>
      </c>
      <c r="E696" s="7">
        <v>222495.38</v>
      </c>
      <c r="F696" s="7">
        <v>7440246</v>
      </c>
    </row>
    <row r="697" spans="1:6" x14ac:dyDescent="0.25">
      <c r="A697" s="17" t="s">
        <v>357</v>
      </c>
      <c r="B697" s="26" t="s">
        <v>672</v>
      </c>
      <c r="C697" s="19">
        <v>72</v>
      </c>
      <c r="D697" s="5" t="s">
        <v>167</v>
      </c>
      <c r="E697" s="7">
        <v>24279.27</v>
      </c>
      <c r="F697" s="7">
        <v>1748107</v>
      </c>
    </row>
    <row r="698" spans="1:6" x14ac:dyDescent="0.25">
      <c r="A698" s="17" t="s">
        <v>358</v>
      </c>
      <c r="B698" s="26" t="s">
        <v>443</v>
      </c>
      <c r="C698" s="19">
        <v>4.48</v>
      </c>
      <c r="D698" s="5" t="s">
        <v>267</v>
      </c>
      <c r="E698" s="7">
        <v>1224466.96</v>
      </c>
      <c r="F698" s="7">
        <v>5485612</v>
      </c>
    </row>
    <row r="699" spans="1:6" x14ac:dyDescent="0.25">
      <c r="A699" s="17" t="s">
        <v>359</v>
      </c>
      <c r="B699" s="26" t="s">
        <v>653</v>
      </c>
      <c r="C699" s="19">
        <v>4.48</v>
      </c>
      <c r="D699" s="5" t="s">
        <v>267</v>
      </c>
      <c r="E699" s="7">
        <v>40251.08</v>
      </c>
      <c r="F699" s="7">
        <v>180325</v>
      </c>
    </row>
    <row r="700" spans="1:6" s="20" customFormat="1" x14ac:dyDescent="0.25">
      <c r="A700" s="21" t="s">
        <v>116</v>
      </c>
      <c r="B700" s="22" t="s">
        <v>117</v>
      </c>
      <c r="C700" s="23"/>
      <c r="D700" s="24"/>
      <c r="E700" s="23"/>
      <c r="F700" s="9">
        <f>F701+F704+F709+F712+F715+F718+F721+F724+F727+F728</f>
        <v>108193261</v>
      </c>
    </row>
    <row r="701" spans="1:6" s="20" customFormat="1" x14ac:dyDescent="0.25">
      <c r="A701" s="21" t="s">
        <v>45</v>
      </c>
      <c r="B701" s="25" t="s">
        <v>673</v>
      </c>
      <c r="C701" s="23"/>
      <c r="D701" s="24"/>
      <c r="E701" s="23"/>
      <c r="F701" s="9">
        <f>F702+F703</f>
        <v>71300000</v>
      </c>
    </row>
    <row r="702" spans="1:6" x14ac:dyDescent="0.25">
      <c r="A702" s="17" t="s">
        <v>265</v>
      </c>
      <c r="B702" s="26" t="s">
        <v>674</v>
      </c>
      <c r="C702" s="19">
        <v>1</v>
      </c>
      <c r="D702" s="5" t="s">
        <v>240</v>
      </c>
      <c r="E702" s="7">
        <v>16900000</v>
      </c>
      <c r="F702" s="7">
        <v>16900000</v>
      </c>
    </row>
    <row r="703" spans="1:6" x14ac:dyDescent="0.25">
      <c r="A703" s="17" t="s">
        <v>268</v>
      </c>
      <c r="B703" s="26" t="s">
        <v>675</v>
      </c>
      <c r="C703" s="19">
        <v>1</v>
      </c>
      <c r="D703" s="5" t="s">
        <v>240</v>
      </c>
      <c r="E703" s="7">
        <v>54400000</v>
      </c>
      <c r="F703" s="7">
        <v>54400000</v>
      </c>
    </row>
    <row r="704" spans="1:6" s="20" customFormat="1" x14ac:dyDescent="0.25">
      <c r="A704" s="21" t="s">
        <v>47</v>
      </c>
      <c r="B704" s="25" t="s">
        <v>676</v>
      </c>
      <c r="C704" s="23"/>
      <c r="D704" s="24"/>
      <c r="E704" s="23"/>
      <c r="F704" s="9">
        <f>F705+F706+F707+F708</f>
        <v>18553679</v>
      </c>
    </row>
    <row r="705" spans="1:6" x14ac:dyDescent="0.25">
      <c r="A705" s="17" t="s">
        <v>272</v>
      </c>
      <c r="B705" s="26" t="s">
        <v>677</v>
      </c>
      <c r="C705" s="19">
        <v>5</v>
      </c>
      <c r="D705" s="5" t="s">
        <v>169</v>
      </c>
      <c r="E705" s="7">
        <v>206959.99</v>
      </c>
      <c r="F705" s="7">
        <v>1034800</v>
      </c>
    </row>
    <row r="706" spans="1:6" x14ac:dyDescent="0.25">
      <c r="A706" s="17" t="s">
        <v>274</v>
      </c>
      <c r="B706" s="26" t="s">
        <v>678</v>
      </c>
      <c r="C706" s="19">
        <v>5</v>
      </c>
      <c r="D706" s="5" t="s">
        <v>169</v>
      </c>
      <c r="E706" s="7">
        <v>3005122.46</v>
      </c>
      <c r="F706" s="7">
        <v>15025612</v>
      </c>
    </row>
    <row r="707" spans="1:6" x14ac:dyDescent="0.25">
      <c r="A707" s="17" t="s">
        <v>277</v>
      </c>
      <c r="B707" s="26" t="s">
        <v>679</v>
      </c>
      <c r="C707" s="19">
        <v>5</v>
      </c>
      <c r="D707" s="5" t="s">
        <v>169</v>
      </c>
      <c r="E707" s="7">
        <v>251937.53</v>
      </c>
      <c r="F707" s="7">
        <v>1259688</v>
      </c>
    </row>
    <row r="708" spans="1:6" x14ac:dyDescent="0.25">
      <c r="A708" s="17" t="s">
        <v>279</v>
      </c>
      <c r="B708" s="26" t="s">
        <v>680</v>
      </c>
      <c r="C708" s="19">
        <v>5</v>
      </c>
      <c r="D708" s="5" t="s">
        <v>169</v>
      </c>
      <c r="E708" s="7">
        <v>246715.73</v>
      </c>
      <c r="F708" s="7">
        <v>1233579</v>
      </c>
    </row>
    <row r="709" spans="1:6" s="20" customFormat="1" x14ac:dyDescent="0.25">
      <c r="A709" s="21" t="s">
        <v>49</v>
      </c>
      <c r="B709" s="25" t="s">
        <v>681</v>
      </c>
      <c r="C709" s="23"/>
      <c r="D709" s="24"/>
      <c r="E709" s="23"/>
      <c r="F709" s="9">
        <f>F710+F711</f>
        <v>11081864</v>
      </c>
    </row>
    <row r="710" spans="1:6" x14ac:dyDescent="0.25">
      <c r="A710" s="17" t="s">
        <v>281</v>
      </c>
      <c r="B710" s="26" t="s">
        <v>682</v>
      </c>
      <c r="C710" s="19">
        <v>43.98</v>
      </c>
      <c r="D710" s="5" t="s">
        <v>170</v>
      </c>
      <c r="E710" s="7">
        <v>78400.17</v>
      </c>
      <c r="F710" s="7">
        <v>3448039</v>
      </c>
    </row>
    <row r="711" spans="1:6" x14ac:dyDescent="0.25">
      <c r="A711" s="17" t="s">
        <v>282</v>
      </c>
      <c r="B711" s="26" t="s">
        <v>683</v>
      </c>
      <c r="C711" s="19">
        <v>97.37</v>
      </c>
      <c r="D711" s="5" t="s">
        <v>170</v>
      </c>
      <c r="E711" s="7">
        <v>78400.17</v>
      </c>
      <c r="F711" s="7">
        <v>7633825</v>
      </c>
    </row>
    <row r="712" spans="1:6" s="20" customFormat="1" x14ac:dyDescent="0.25">
      <c r="A712" s="21" t="s">
        <v>51</v>
      </c>
      <c r="B712" s="25" t="s">
        <v>684</v>
      </c>
      <c r="C712" s="23"/>
      <c r="D712" s="24"/>
      <c r="E712" s="23"/>
      <c r="F712" s="9">
        <f>F713+F714</f>
        <v>212428</v>
      </c>
    </row>
    <row r="713" spans="1:6" x14ac:dyDescent="0.25">
      <c r="A713" s="17" t="s">
        <v>291</v>
      </c>
      <c r="B713" s="26" t="s">
        <v>685</v>
      </c>
      <c r="C713" s="19">
        <v>3.2</v>
      </c>
      <c r="D713" s="5" t="s">
        <v>170</v>
      </c>
      <c r="E713" s="7">
        <v>40510.12</v>
      </c>
      <c r="F713" s="7">
        <v>129632</v>
      </c>
    </row>
    <row r="714" spans="1:6" x14ac:dyDescent="0.25">
      <c r="A714" s="17" t="s">
        <v>293</v>
      </c>
      <c r="B714" s="26" t="s">
        <v>686</v>
      </c>
      <c r="C714" s="19">
        <v>1</v>
      </c>
      <c r="D714" s="5" t="s">
        <v>169</v>
      </c>
      <c r="E714" s="7">
        <v>82795.66</v>
      </c>
      <c r="F714" s="7">
        <v>82796</v>
      </c>
    </row>
    <row r="715" spans="1:6" s="20" customFormat="1" x14ac:dyDescent="0.25">
      <c r="A715" s="21" t="s">
        <v>53</v>
      </c>
      <c r="B715" s="25" t="s">
        <v>687</v>
      </c>
      <c r="C715" s="23"/>
      <c r="D715" s="24"/>
      <c r="E715" s="23"/>
      <c r="F715" s="9">
        <f>F716+F717</f>
        <v>212428</v>
      </c>
    </row>
    <row r="716" spans="1:6" x14ac:dyDescent="0.25">
      <c r="A716" s="17" t="s">
        <v>297</v>
      </c>
      <c r="B716" s="26" t="s">
        <v>685</v>
      </c>
      <c r="C716" s="19">
        <v>3.2</v>
      </c>
      <c r="D716" s="5" t="s">
        <v>170</v>
      </c>
      <c r="E716" s="7">
        <v>40510.12</v>
      </c>
      <c r="F716" s="7">
        <v>129632</v>
      </c>
    </row>
    <row r="717" spans="1:6" x14ac:dyDescent="0.25">
      <c r="A717" s="17" t="s">
        <v>299</v>
      </c>
      <c r="B717" s="26" t="s">
        <v>686</v>
      </c>
      <c r="C717" s="19">
        <v>1</v>
      </c>
      <c r="D717" s="5" t="s">
        <v>169</v>
      </c>
      <c r="E717" s="7">
        <v>82795.66</v>
      </c>
      <c r="F717" s="7">
        <v>82796</v>
      </c>
    </row>
    <row r="718" spans="1:6" s="20" customFormat="1" x14ac:dyDescent="0.25">
      <c r="A718" s="21" t="s">
        <v>55</v>
      </c>
      <c r="B718" s="25" t="s">
        <v>688</v>
      </c>
      <c r="C718" s="23"/>
      <c r="D718" s="24"/>
      <c r="E718" s="23"/>
      <c r="F718" s="9">
        <f>F719+F720</f>
        <v>212428</v>
      </c>
    </row>
    <row r="719" spans="1:6" x14ac:dyDescent="0.25">
      <c r="A719" s="17" t="s">
        <v>303</v>
      </c>
      <c r="B719" s="26" t="s">
        <v>685</v>
      </c>
      <c r="C719" s="19">
        <v>3.2</v>
      </c>
      <c r="D719" s="5" t="s">
        <v>170</v>
      </c>
      <c r="E719" s="7">
        <v>40510.12</v>
      </c>
      <c r="F719" s="7">
        <v>129632</v>
      </c>
    </row>
    <row r="720" spans="1:6" x14ac:dyDescent="0.25">
      <c r="A720" s="17" t="s">
        <v>305</v>
      </c>
      <c r="B720" s="26" t="s">
        <v>686</v>
      </c>
      <c r="C720" s="19">
        <v>1</v>
      </c>
      <c r="D720" s="5" t="s">
        <v>169</v>
      </c>
      <c r="E720" s="7">
        <v>82795.66</v>
      </c>
      <c r="F720" s="7">
        <v>82796</v>
      </c>
    </row>
    <row r="721" spans="1:6" s="20" customFormat="1" x14ac:dyDescent="0.25">
      <c r="A721" s="21" t="s">
        <v>57</v>
      </c>
      <c r="B721" s="25" t="s">
        <v>689</v>
      </c>
      <c r="C721" s="23"/>
      <c r="D721" s="24"/>
      <c r="E721" s="23"/>
      <c r="F721" s="9">
        <f>F722+F723</f>
        <v>212428</v>
      </c>
    </row>
    <row r="722" spans="1:6" x14ac:dyDescent="0.25">
      <c r="A722" s="17" t="s">
        <v>314</v>
      </c>
      <c r="B722" s="26" t="s">
        <v>685</v>
      </c>
      <c r="C722" s="19">
        <v>3.2</v>
      </c>
      <c r="D722" s="5" t="s">
        <v>170</v>
      </c>
      <c r="E722" s="7">
        <v>40510.12</v>
      </c>
      <c r="F722" s="7">
        <v>129632</v>
      </c>
    </row>
    <row r="723" spans="1:6" x14ac:dyDescent="0.25">
      <c r="A723" s="17" t="s">
        <v>316</v>
      </c>
      <c r="B723" s="26" t="s">
        <v>686</v>
      </c>
      <c r="C723" s="19">
        <v>1</v>
      </c>
      <c r="D723" s="5" t="s">
        <v>169</v>
      </c>
      <c r="E723" s="7">
        <v>82795.66</v>
      </c>
      <c r="F723" s="7">
        <v>82796</v>
      </c>
    </row>
    <row r="724" spans="1:6" s="20" customFormat="1" x14ac:dyDescent="0.25">
      <c r="A724" s="21" t="s">
        <v>59</v>
      </c>
      <c r="B724" s="25" t="s">
        <v>690</v>
      </c>
      <c r="C724" s="23"/>
      <c r="D724" s="24"/>
      <c r="E724" s="23"/>
      <c r="F724" s="9">
        <f>F725+F726</f>
        <v>212428</v>
      </c>
    </row>
    <row r="725" spans="1:6" x14ac:dyDescent="0.25">
      <c r="A725" s="17" t="s">
        <v>350</v>
      </c>
      <c r="B725" s="26" t="s">
        <v>685</v>
      </c>
      <c r="C725" s="19">
        <v>3.2</v>
      </c>
      <c r="D725" s="5" t="s">
        <v>170</v>
      </c>
      <c r="E725" s="7">
        <v>40510.12</v>
      </c>
      <c r="F725" s="7">
        <v>129632</v>
      </c>
    </row>
    <row r="726" spans="1:6" x14ac:dyDescent="0.25">
      <c r="A726" s="17" t="s">
        <v>351</v>
      </c>
      <c r="B726" s="26" t="s">
        <v>686</v>
      </c>
      <c r="C726" s="19">
        <v>1</v>
      </c>
      <c r="D726" s="5" t="s">
        <v>169</v>
      </c>
      <c r="E726" s="7">
        <v>82795.66</v>
      </c>
      <c r="F726" s="7">
        <v>82796</v>
      </c>
    </row>
    <row r="727" spans="1:6" x14ac:dyDescent="0.25">
      <c r="A727" s="17" t="s">
        <v>61</v>
      </c>
      <c r="B727" s="27" t="s">
        <v>691</v>
      </c>
      <c r="C727" s="19">
        <v>1</v>
      </c>
      <c r="D727" s="5" t="s">
        <v>240</v>
      </c>
      <c r="E727" s="7">
        <v>1222114.53</v>
      </c>
      <c r="F727" s="7">
        <v>1222115</v>
      </c>
    </row>
    <row r="728" spans="1:6" x14ac:dyDescent="0.25">
      <c r="A728" s="17" t="s">
        <v>63</v>
      </c>
      <c r="B728" s="27" t="s">
        <v>513</v>
      </c>
      <c r="C728" s="19">
        <v>1</v>
      </c>
      <c r="D728" s="5" t="s">
        <v>240</v>
      </c>
      <c r="E728" s="7">
        <v>4973463.47</v>
      </c>
      <c r="F728" s="7">
        <v>4973463</v>
      </c>
    </row>
    <row r="729" spans="1:6" s="20" customFormat="1" x14ac:dyDescent="0.25">
      <c r="A729" s="21" t="s">
        <v>118</v>
      </c>
      <c r="B729" s="22" t="s">
        <v>119</v>
      </c>
      <c r="C729" s="23"/>
      <c r="D729" s="24"/>
      <c r="E729" s="23"/>
      <c r="F729" s="9">
        <v>0</v>
      </c>
    </row>
    <row r="730" spans="1:6" s="20" customFormat="1" x14ac:dyDescent="0.25">
      <c r="A730" s="21" t="s">
        <v>120</v>
      </c>
      <c r="B730" s="22" t="s">
        <v>121</v>
      </c>
      <c r="C730" s="23"/>
      <c r="D730" s="24"/>
      <c r="E730" s="23"/>
      <c r="F730" s="9">
        <f>F731+F733+F738+F739+F740</f>
        <v>183122412</v>
      </c>
    </row>
    <row r="731" spans="1:6" s="20" customFormat="1" x14ac:dyDescent="0.25">
      <c r="A731" s="21" t="s">
        <v>45</v>
      </c>
      <c r="B731" s="25" t="s">
        <v>692</v>
      </c>
      <c r="C731" s="23"/>
      <c r="D731" s="24"/>
      <c r="E731" s="23"/>
      <c r="F731" s="9">
        <f>F732</f>
        <v>12100000</v>
      </c>
    </row>
    <row r="732" spans="1:6" x14ac:dyDescent="0.25">
      <c r="A732" s="17" t="s">
        <v>265</v>
      </c>
      <c r="B732" s="26" t="s">
        <v>693</v>
      </c>
      <c r="C732" s="19">
        <v>1</v>
      </c>
      <c r="D732" s="5" t="s">
        <v>237</v>
      </c>
      <c r="E732" s="7">
        <v>12100000</v>
      </c>
      <c r="F732" s="7">
        <v>12100000</v>
      </c>
    </row>
    <row r="733" spans="1:6" s="20" customFormat="1" x14ac:dyDescent="0.25">
      <c r="A733" s="21" t="s">
        <v>47</v>
      </c>
      <c r="B733" s="25" t="s">
        <v>694</v>
      </c>
      <c r="C733" s="23"/>
      <c r="D733" s="24"/>
      <c r="E733" s="23"/>
      <c r="F733" s="9">
        <f>F734+F735+F736+F737</f>
        <v>154499748</v>
      </c>
    </row>
    <row r="734" spans="1:6" x14ac:dyDescent="0.25">
      <c r="A734" s="17" t="s">
        <v>272</v>
      </c>
      <c r="B734" s="26" t="s">
        <v>695</v>
      </c>
      <c r="C734" s="19">
        <v>60</v>
      </c>
      <c r="D734" s="5" t="s">
        <v>170</v>
      </c>
      <c r="E734" s="7">
        <v>520756.4</v>
      </c>
      <c r="F734" s="7">
        <v>31245384</v>
      </c>
    </row>
    <row r="735" spans="1:6" x14ac:dyDescent="0.25">
      <c r="A735" s="17" t="s">
        <v>274</v>
      </c>
      <c r="B735" s="26" t="s">
        <v>696</v>
      </c>
      <c r="C735" s="19">
        <v>60</v>
      </c>
      <c r="D735" s="5" t="s">
        <v>170</v>
      </c>
      <c r="E735" s="7">
        <v>2000000</v>
      </c>
      <c r="F735" s="7">
        <v>120000000</v>
      </c>
    </row>
    <row r="736" spans="1:6" x14ac:dyDescent="0.25">
      <c r="A736" s="17" t="s">
        <v>277</v>
      </c>
      <c r="B736" s="26" t="s">
        <v>697</v>
      </c>
      <c r="C736" s="19">
        <v>6.594</v>
      </c>
      <c r="D736" s="5" t="s">
        <v>170</v>
      </c>
      <c r="E736" s="7">
        <v>83601.33</v>
      </c>
      <c r="F736" s="7">
        <v>551267</v>
      </c>
    </row>
    <row r="737" spans="1:6" x14ac:dyDescent="0.25">
      <c r="A737" s="17" t="s">
        <v>279</v>
      </c>
      <c r="B737" s="26" t="s">
        <v>698</v>
      </c>
      <c r="C737" s="19">
        <v>8</v>
      </c>
      <c r="D737" s="5" t="s">
        <v>170</v>
      </c>
      <c r="E737" s="7">
        <v>337887.13</v>
      </c>
      <c r="F737" s="7">
        <v>2703097</v>
      </c>
    </row>
    <row r="738" spans="1:6" x14ac:dyDescent="0.25">
      <c r="A738" s="17" t="s">
        <v>49</v>
      </c>
      <c r="B738" s="27" t="s">
        <v>699</v>
      </c>
      <c r="C738" s="19">
        <v>1.914</v>
      </c>
      <c r="D738" s="5" t="s">
        <v>267</v>
      </c>
      <c r="E738" s="7">
        <v>350789.78</v>
      </c>
      <c r="F738" s="7">
        <v>671462</v>
      </c>
    </row>
    <row r="739" spans="1:6" x14ac:dyDescent="0.25">
      <c r="A739" s="17" t="s">
        <v>51</v>
      </c>
      <c r="B739" s="27" t="s">
        <v>700</v>
      </c>
      <c r="C739" s="19">
        <v>0.027</v>
      </c>
      <c r="D739" s="5" t="s">
        <v>267</v>
      </c>
      <c r="E739" s="7">
        <v>32700000</v>
      </c>
      <c r="F739" s="7">
        <v>882900</v>
      </c>
    </row>
    <row r="740" spans="1:6" s="20" customFormat="1" x14ac:dyDescent="0.25">
      <c r="A740" s="21" t="s">
        <v>53</v>
      </c>
      <c r="B740" s="25" t="s">
        <v>701</v>
      </c>
      <c r="C740" s="23"/>
      <c r="D740" s="24"/>
      <c r="E740" s="23"/>
      <c r="F740" s="9">
        <f>F741+F742+F743+F744+F745+F746+F747+F748+F749</f>
        <v>14968302</v>
      </c>
    </row>
    <row r="741" spans="1:6" x14ac:dyDescent="0.25">
      <c r="A741" s="17" t="s">
        <v>297</v>
      </c>
      <c r="B741" s="26" t="s">
        <v>385</v>
      </c>
      <c r="C741" s="19">
        <v>1.14</v>
      </c>
      <c r="D741" s="5" t="s">
        <v>267</v>
      </c>
      <c r="E741" s="7">
        <v>56660.36</v>
      </c>
      <c r="F741" s="7">
        <v>64593</v>
      </c>
    </row>
    <row r="742" spans="1:6" x14ac:dyDescent="0.25">
      <c r="A742" s="17" t="s">
        <v>299</v>
      </c>
      <c r="B742" s="26" t="s">
        <v>156</v>
      </c>
      <c r="C742" s="19">
        <v>0</v>
      </c>
      <c r="D742" s="5" t="s">
        <v>485</v>
      </c>
      <c r="E742" s="7">
        <v>0</v>
      </c>
      <c r="F742" s="7">
        <v>0</v>
      </c>
    </row>
    <row r="743" spans="1:6" x14ac:dyDescent="0.25">
      <c r="A743" s="17" t="s">
        <v>702</v>
      </c>
      <c r="B743" s="26" t="s">
        <v>521</v>
      </c>
      <c r="C743" s="19">
        <v>1.24</v>
      </c>
      <c r="D743" s="5" t="s">
        <v>167</v>
      </c>
      <c r="E743" s="7">
        <v>130392.01</v>
      </c>
      <c r="F743" s="7">
        <v>161686</v>
      </c>
    </row>
    <row r="744" spans="1:6" x14ac:dyDescent="0.25">
      <c r="A744" s="17" t="s">
        <v>703</v>
      </c>
      <c r="B744" s="26" t="s">
        <v>704</v>
      </c>
      <c r="C744" s="19">
        <v>2.94</v>
      </c>
      <c r="D744" s="5" t="s">
        <v>167</v>
      </c>
      <c r="E744" s="7">
        <v>24279.27</v>
      </c>
      <c r="F744" s="7">
        <v>71381</v>
      </c>
    </row>
    <row r="745" spans="1:6" x14ac:dyDescent="0.25">
      <c r="A745" s="17" t="s">
        <v>705</v>
      </c>
      <c r="B745" s="26" t="s">
        <v>525</v>
      </c>
      <c r="C745" s="19">
        <v>0.588</v>
      </c>
      <c r="D745" s="5" t="s">
        <v>267</v>
      </c>
      <c r="E745" s="7">
        <v>1151545.01</v>
      </c>
      <c r="F745" s="7">
        <v>677108</v>
      </c>
    </row>
    <row r="746" spans="1:6" x14ac:dyDescent="0.25">
      <c r="A746" s="17" t="s">
        <v>301</v>
      </c>
      <c r="B746" s="26" t="s">
        <v>706</v>
      </c>
      <c r="C746" s="19">
        <v>2.3</v>
      </c>
      <c r="D746" s="5" t="s">
        <v>167</v>
      </c>
      <c r="E746" s="7">
        <v>122466.89</v>
      </c>
      <c r="F746" s="7">
        <v>281674</v>
      </c>
    </row>
    <row r="747" spans="1:6" x14ac:dyDescent="0.25">
      <c r="A747" s="17" t="s">
        <v>302</v>
      </c>
      <c r="B747" s="26" t="s">
        <v>158</v>
      </c>
      <c r="C747" s="19">
        <v>5.11</v>
      </c>
      <c r="D747" s="5" t="s">
        <v>167</v>
      </c>
      <c r="E747" s="7">
        <v>54647.67</v>
      </c>
      <c r="F747" s="7">
        <v>279250</v>
      </c>
    </row>
    <row r="748" spans="1:6" x14ac:dyDescent="0.25">
      <c r="A748" s="17" t="s">
        <v>420</v>
      </c>
      <c r="B748" s="26" t="s">
        <v>288</v>
      </c>
      <c r="C748" s="19">
        <v>5.11</v>
      </c>
      <c r="D748" s="5" t="s">
        <v>167</v>
      </c>
      <c r="E748" s="7">
        <v>45520.53</v>
      </c>
      <c r="F748" s="7">
        <v>232610</v>
      </c>
    </row>
    <row r="749" spans="1:6" x14ac:dyDescent="0.25">
      <c r="A749" s="17" t="s">
        <v>436</v>
      </c>
      <c r="B749" s="26" t="s">
        <v>707</v>
      </c>
      <c r="C749" s="19">
        <v>1</v>
      </c>
      <c r="D749" s="5" t="s">
        <v>240</v>
      </c>
      <c r="E749" s="7">
        <v>13200000</v>
      </c>
      <c r="F749" s="7">
        <v>13200000</v>
      </c>
    </row>
    <row r="750" spans="1:6" s="20" customFormat="1" x14ac:dyDescent="0.25">
      <c r="A750" s="21" t="s">
        <v>122</v>
      </c>
      <c r="B750" s="22" t="s">
        <v>123</v>
      </c>
      <c r="C750" s="23"/>
      <c r="D750" s="24"/>
      <c r="E750" s="23"/>
      <c r="F750" s="9">
        <f>F751+F752+F753+F754+F755+F756</f>
        <v>87901502</v>
      </c>
    </row>
    <row r="751" spans="1:6" x14ac:dyDescent="0.25">
      <c r="A751" s="17" t="s">
        <v>45</v>
      </c>
      <c r="B751" s="27" t="s">
        <v>708</v>
      </c>
      <c r="C751" s="19">
        <v>1</v>
      </c>
      <c r="D751" s="5" t="s">
        <v>240</v>
      </c>
      <c r="E751" s="7">
        <v>64300000</v>
      </c>
      <c r="F751" s="7">
        <v>64300000</v>
      </c>
    </row>
    <row r="752" spans="1:6" x14ac:dyDescent="0.25">
      <c r="A752" s="17" t="s">
        <v>47</v>
      </c>
      <c r="B752" s="27" t="s">
        <v>709</v>
      </c>
      <c r="C752" s="19">
        <v>1</v>
      </c>
      <c r="D752" s="5" t="s">
        <v>240</v>
      </c>
      <c r="E752" s="7">
        <v>4880093.67</v>
      </c>
      <c r="F752" s="7">
        <v>4880094</v>
      </c>
    </row>
    <row r="753" spans="1:6" x14ac:dyDescent="0.25">
      <c r="A753" s="17" t="s">
        <v>49</v>
      </c>
      <c r="B753" s="27" t="s">
        <v>710</v>
      </c>
      <c r="C753" s="19">
        <v>60</v>
      </c>
      <c r="D753" s="5" t="s">
        <v>170</v>
      </c>
      <c r="E753" s="7">
        <v>33440.21</v>
      </c>
      <c r="F753" s="7">
        <v>2006413</v>
      </c>
    </row>
    <row r="754" spans="1:6" x14ac:dyDescent="0.25">
      <c r="A754" s="17" t="s">
        <v>51</v>
      </c>
      <c r="B754" s="27" t="s">
        <v>711</v>
      </c>
      <c r="C754" s="19">
        <v>60</v>
      </c>
      <c r="D754" s="5" t="s">
        <v>170</v>
      </c>
      <c r="E754" s="7">
        <v>60806.87</v>
      </c>
      <c r="F754" s="7">
        <v>3648412</v>
      </c>
    </row>
    <row r="755" spans="1:6" x14ac:dyDescent="0.25">
      <c r="A755" s="17" t="s">
        <v>53</v>
      </c>
      <c r="B755" s="27" t="s">
        <v>712</v>
      </c>
      <c r="C755" s="19">
        <v>1</v>
      </c>
      <c r="D755" s="5" t="s">
        <v>240</v>
      </c>
      <c r="E755" s="7">
        <v>4280108.36</v>
      </c>
      <c r="F755" s="7">
        <v>4280108</v>
      </c>
    </row>
    <row r="756" spans="1:6" x14ac:dyDescent="0.25">
      <c r="A756" s="17" t="s">
        <v>55</v>
      </c>
      <c r="B756" s="27" t="s">
        <v>713</v>
      </c>
      <c r="C756" s="19">
        <v>60</v>
      </c>
      <c r="D756" s="5" t="s">
        <v>170</v>
      </c>
      <c r="E756" s="7">
        <v>146441.25</v>
      </c>
      <c r="F756" s="7">
        <v>8786475</v>
      </c>
    </row>
    <row r="757" spans="1:6" s="10" customFormat="1" x14ac:dyDescent="0.25">
      <c r="A757" s="15" t="s">
        <v>24</v>
      </c>
      <c r="B757" s="16" t="s">
        <v>25</v>
      </c>
      <c r="C757" s="12"/>
      <c r="D757" s="11"/>
      <c r="E757" s="12"/>
      <c r="F757" s="14">
        <f>F758+F774</f>
        <v>312598200</v>
      </c>
    </row>
    <row r="758" spans="1:6" s="20" customFormat="1" x14ac:dyDescent="0.25">
      <c r="A758" s="21" t="s">
        <v>125</v>
      </c>
      <c r="B758" s="22" t="s">
        <v>126</v>
      </c>
      <c r="C758" s="23"/>
      <c r="D758" s="24"/>
      <c r="E758" s="23"/>
      <c r="F758" s="9">
        <f>F759+F766+F771+F772+F773</f>
        <v>110142311</v>
      </c>
    </row>
    <row r="759" spans="1:6" s="20" customFormat="1" x14ac:dyDescent="0.25">
      <c r="A759" s="21" t="s">
        <v>45</v>
      </c>
      <c r="B759" s="25" t="s">
        <v>714</v>
      </c>
      <c r="C759" s="23"/>
      <c r="D759" s="24"/>
      <c r="E759" s="23"/>
      <c r="F759" s="9">
        <f>F760+F761+F762+F763+F764+F765</f>
        <v>9805153</v>
      </c>
    </row>
    <row r="760" spans="1:6" x14ac:dyDescent="0.25">
      <c r="A760" s="17" t="s">
        <v>265</v>
      </c>
      <c r="B760" s="26" t="s">
        <v>385</v>
      </c>
      <c r="C760" s="19">
        <v>11.66</v>
      </c>
      <c r="D760" s="5" t="s">
        <v>267</v>
      </c>
      <c r="E760" s="7">
        <v>56660.36</v>
      </c>
      <c r="F760" s="7">
        <v>660660</v>
      </c>
    </row>
    <row r="761" spans="1:6" x14ac:dyDescent="0.25">
      <c r="A761" s="17" t="s">
        <v>268</v>
      </c>
      <c r="B761" s="26" t="s">
        <v>649</v>
      </c>
      <c r="C761" s="19">
        <v>0.65</v>
      </c>
      <c r="D761" s="5" t="s">
        <v>267</v>
      </c>
      <c r="E761" s="7">
        <v>345522.98</v>
      </c>
      <c r="F761" s="7">
        <v>224590</v>
      </c>
    </row>
    <row r="762" spans="1:6" x14ac:dyDescent="0.25">
      <c r="A762" s="17" t="s">
        <v>270</v>
      </c>
      <c r="B762" s="26" t="s">
        <v>324</v>
      </c>
      <c r="C762" s="19">
        <v>0.39</v>
      </c>
      <c r="D762" s="5" t="s">
        <v>267</v>
      </c>
      <c r="E762" s="7">
        <v>1016530.97</v>
      </c>
      <c r="F762" s="7">
        <v>396447</v>
      </c>
    </row>
    <row r="763" spans="1:6" x14ac:dyDescent="0.25">
      <c r="A763" s="17" t="s">
        <v>715</v>
      </c>
      <c r="B763" s="26" t="s">
        <v>716</v>
      </c>
      <c r="C763" s="19">
        <v>12.96</v>
      </c>
      <c r="D763" s="5" t="s">
        <v>167</v>
      </c>
      <c r="E763" s="7">
        <v>130392.01</v>
      </c>
      <c r="F763" s="7">
        <v>1689881</v>
      </c>
    </row>
    <row r="764" spans="1:6" x14ac:dyDescent="0.25">
      <c r="A764" s="17" t="s">
        <v>717</v>
      </c>
      <c r="B764" s="26" t="s">
        <v>718</v>
      </c>
      <c r="C764" s="19">
        <v>178.66</v>
      </c>
      <c r="D764" s="5" t="s">
        <v>276</v>
      </c>
      <c r="E764" s="7">
        <v>13176.23</v>
      </c>
      <c r="F764" s="7">
        <v>2354065</v>
      </c>
    </row>
    <row r="765" spans="1:6" x14ac:dyDescent="0.25">
      <c r="A765" s="17" t="s">
        <v>719</v>
      </c>
      <c r="B765" s="26" t="s">
        <v>348</v>
      </c>
      <c r="C765" s="19">
        <v>3.89</v>
      </c>
      <c r="D765" s="5" t="s">
        <v>267</v>
      </c>
      <c r="E765" s="7">
        <v>1151545.01</v>
      </c>
      <c r="F765" s="7">
        <v>4479510</v>
      </c>
    </row>
    <row r="766" spans="1:6" s="20" customFormat="1" x14ac:dyDescent="0.25">
      <c r="A766" s="21" t="s">
        <v>47</v>
      </c>
      <c r="B766" s="25" t="s">
        <v>720</v>
      </c>
      <c r="C766" s="23"/>
      <c r="D766" s="24"/>
      <c r="E766" s="23"/>
      <c r="F766" s="9">
        <f>F767+F768+F769+F770</f>
        <v>5334546</v>
      </c>
    </row>
    <row r="767" spans="1:6" x14ac:dyDescent="0.25">
      <c r="A767" s="17" t="s">
        <v>272</v>
      </c>
      <c r="B767" s="26" t="s">
        <v>345</v>
      </c>
      <c r="C767" s="19">
        <v>12.6</v>
      </c>
      <c r="D767" s="5" t="s">
        <v>167</v>
      </c>
      <c r="E767" s="7">
        <v>208190.98</v>
      </c>
      <c r="F767" s="7">
        <v>2623206</v>
      </c>
    </row>
    <row r="768" spans="1:6" x14ac:dyDescent="0.25">
      <c r="A768" s="17" t="s">
        <v>274</v>
      </c>
      <c r="B768" s="26" t="s">
        <v>721</v>
      </c>
      <c r="C768" s="19">
        <v>41.06</v>
      </c>
      <c r="D768" s="5" t="s">
        <v>276</v>
      </c>
      <c r="E768" s="7">
        <v>13176.23</v>
      </c>
      <c r="F768" s="7">
        <v>541016</v>
      </c>
    </row>
    <row r="769" spans="1:6" x14ac:dyDescent="0.25">
      <c r="A769" s="17" t="s">
        <v>277</v>
      </c>
      <c r="B769" s="26" t="s">
        <v>722</v>
      </c>
      <c r="C769" s="19">
        <v>26.63</v>
      </c>
      <c r="D769" s="5" t="s">
        <v>276</v>
      </c>
      <c r="E769" s="7">
        <v>13176.23</v>
      </c>
      <c r="F769" s="7">
        <v>350883</v>
      </c>
    </row>
    <row r="770" spans="1:6" x14ac:dyDescent="0.25">
      <c r="A770" s="17" t="s">
        <v>279</v>
      </c>
      <c r="B770" s="26" t="s">
        <v>348</v>
      </c>
      <c r="C770" s="19">
        <v>1.58</v>
      </c>
      <c r="D770" s="5" t="s">
        <v>267</v>
      </c>
      <c r="E770" s="7">
        <v>1151545.01</v>
      </c>
      <c r="F770" s="7">
        <v>1819441</v>
      </c>
    </row>
    <row r="771" spans="1:6" x14ac:dyDescent="0.25">
      <c r="A771" s="17" t="s">
        <v>49</v>
      </c>
      <c r="B771" s="27" t="s">
        <v>723</v>
      </c>
      <c r="C771" s="19">
        <v>4</v>
      </c>
      <c r="D771" s="5" t="s">
        <v>240</v>
      </c>
      <c r="E771" s="7">
        <v>9500000</v>
      </c>
      <c r="F771" s="7">
        <v>38000000</v>
      </c>
    </row>
    <row r="772" spans="1:6" x14ac:dyDescent="0.25">
      <c r="A772" s="17" t="s">
        <v>51</v>
      </c>
      <c r="B772" s="27" t="s">
        <v>724</v>
      </c>
      <c r="C772" s="19">
        <v>5</v>
      </c>
      <c r="D772" s="5" t="s">
        <v>240</v>
      </c>
      <c r="E772" s="7">
        <v>5700000</v>
      </c>
      <c r="F772" s="7">
        <v>28500000</v>
      </c>
    </row>
    <row r="773" spans="1:6" x14ac:dyDescent="0.25">
      <c r="A773" s="17" t="s">
        <v>53</v>
      </c>
      <c r="B773" s="27" t="s">
        <v>725</v>
      </c>
      <c r="C773" s="19">
        <v>9</v>
      </c>
      <c r="D773" s="5" t="s">
        <v>240</v>
      </c>
      <c r="E773" s="7">
        <v>3166956.91</v>
      </c>
      <c r="F773" s="7">
        <v>28502612</v>
      </c>
    </row>
    <row r="774" spans="1:6" s="20" customFormat="1" x14ac:dyDescent="0.25">
      <c r="A774" s="21" t="s">
        <v>127</v>
      </c>
      <c r="B774" s="22" t="s">
        <v>89</v>
      </c>
      <c r="C774" s="23"/>
      <c r="D774" s="24"/>
      <c r="E774" s="23"/>
      <c r="F774" s="9">
        <f>F775+F776+F777+F778+F779+F780+F781+F782+F783+F784</f>
        <v>202455889</v>
      </c>
    </row>
    <row r="775" spans="1:6" x14ac:dyDescent="0.25">
      <c r="A775" s="17" t="s">
        <v>45</v>
      </c>
      <c r="B775" s="27" t="s">
        <v>726</v>
      </c>
      <c r="C775" s="19">
        <v>1</v>
      </c>
      <c r="D775" s="5" t="s">
        <v>240</v>
      </c>
      <c r="E775" s="7">
        <v>1498449.58</v>
      </c>
      <c r="F775" s="7">
        <v>1498450</v>
      </c>
    </row>
    <row r="776" spans="1:6" x14ac:dyDescent="0.25">
      <c r="A776" s="17" t="s">
        <v>47</v>
      </c>
      <c r="B776" s="27" t="s">
        <v>727</v>
      </c>
      <c r="C776" s="19">
        <v>1</v>
      </c>
      <c r="D776" s="5" t="s">
        <v>240</v>
      </c>
      <c r="E776" s="7">
        <v>1452051.97</v>
      </c>
      <c r="F776" s="7">
        <v>1452052</v>
      </c>
    </row>
    <row r="777" spans="1:6" x14ac:dyDescent="0.25">
      <c r="A777" s="17" t="s">
        <v>49</v>
      </c>
      <c r="B777" s="27" t="s">
        <v>728</v>
      </c>
      <c r="C777" s="19">
        <v>9</v>
      </c>
      <c r="D777" s="5" t="s">
        <v>237</v>
      </c>
      <c r="E777" s="7">
        <v>845144.28</v>
      </c>
      <c r="F777" s="7">
        <v>7606299</v>
      </c>
    </row>
    <row r="778" spans="1:6" x14ac:dyDescent="0.25">
      <c r="A778" s="17" t="s">
        <v>51</v>
      </c>
      <c r="B778" s="27" t="s">
        <v>729</v>
      </c>
      <c r="C778" s="19">
        <v>747.6</v>
      </c>
      <c r="D778" s="5" t="s">
        <v>730</v>
      </c>
      <c r="E778" s="7">
        <v>200000</v>
      </c>
      <c r="F778" s="7">
        <v>149520000</v>
      </c>
    </row>
    <row r="779" spans="1:6" x14ac:dyDescent="0.25">
      <c r="A779" s="17" t="s">
        <v>53</v>
      </c>
      <c r="B779" s="27" t="s">
        <v>731</v>
      </c>
      <c r="C779" s="19">
        <v>22.6</v>
      </c>
      <c r="D779" s="5" t="s">
        <v>730</v>
      </c>
      <c r="E779" s="7">
        <v>228575.99</v>
      </c>
      <c r="F779" s="7">
        <v>5165817</v>
      </c>
    </row>
    <row r="780" spans="1:6" x14ac:dyDescent="0.25">
      <c r="A780" s="17" t="s">
        <v>55</v>
      </c>
      <c r="B780" s="27" t="s">
        <v>732</v>
      </c>
      <c r="C780" s="19">
        <v>747.6</v>
      </c>
      <c r="D780" s="5" t="s">
        <v>730</v>
      </c>
      <c r="E780" s="7">
        <v>43447.23</v>
      </c>
      <c r="F780" s="7">
        <v>32481149</v>
      </c>
    </row>
    <row r="781" spans="1:6" x14ac:dyDescent="0.25">
      <c r="A781" s="17" t="s">
        <v>57</v>
      </c>
      <c r="B781" s="27" t="s">
        <v>733</v>
      </c>
      <c r="C781" s="19">
        <v>26.88</v>
      </c>
      <c r="D781" s="5" t="s">
        <v>267</v>
      </c>
      <c r="E781" s="7">
        <v>56660.36</v>
      </c>
      <c r="F781" s="7">
        <v>1523030</v>
      </c>
    </row>
    <row r="782" spans="1:6" x14ac:dyDescent="0.25">
      <c r="A782" s="17" t="s">
        <v>59</v>
      </c>
      <c r="B782" s="27" t="s">
        <v>734</v>
      </c>
      <c r="C782" s="19">
        <v>30</v>
      </c>
      <c r="D782" s="5" t="s">
        <v>169</v>
      </c>
      <c r="E782" s="7">
        <v>0</v>
      </c>
      <c r="F782" s="7">
        <v>0</v>
      </c>
    </row>
    <row r="783" spans="1:6" x14ac:dyDescent="0.25">
      <c r="A783" s="17" t="s">
        <v>61</v>
      </c>
      <c r="B783" s="27" t="s">
        <v>735</v>
      </c>
      <c r="C783" s="19">
        <v>2</v>
      </c>
      <c r="D783" s="5" t="s">
        <v>240</v>
      </c>
      <c r="E783" s="7">
        <v>772887.39</v>
      </c>
      <c r="F783" s="7">
        <v>1545775</v>
      </c>
    </row>
    <row r="784" spans="1:6" x14ac:dyDescent="0.25">
      <c r="A784" s="17" t="s">
        <v>63</v>
      </c>
      <c r="B784" s="27" t="s">
        <v>736</v>
      </c>
      <c r="C784" s="19">
        <v>1</v>
      </c>
      <c r="D784" s="5" t="s">
        <v>240</v>
      </c>
      <c r="E784" s="7">
        <v>1663316.95</v>
      </c>
      <c r="F784" s="7">
        <v>1663317</v>
      </c>
    </row>
    <row r="785" spans="1:6" s="10" customFormat="1" x14ac:dyDescent="0.25">
      <c r="A785" s="15" t="s">
        <v>26</v>
      </c>
      <c r="B785" s="16" t="s">
        <v>27</v>
      </c>
      <c r="C785" s="12"/>
      <c r="D785" s="11"/>
      <c r="E785" s="12"/>
      <c r="F785" s="14">
        <f>F786+F880</f>
        <v>187049986</v>
      </c>
    </row>
    <row r="786" spans="1:6" s="20" customFormat="1" x14ac:dyDescent="0.25">
      <c r="A786" s="21" t="s">
        <v>129</v>
      </c>
      <c r="B786" s="22" t="s">
        <v>85</v>
      </c>
      <c r="C786" s="23"/>
      <c r="D786" s="24"/>
      <c r="E786" s="23"/>
      <c r="F786" s="9">
        <f>F787+F788+F796+F801+F802+F807+F813+F821+F826+F831+F836+F841+F846+F857+F863+F870</f>
        <v>78227212</v>
      </c>
    </row>
    <row r="787" spans="1:6" x14ac:dyDescent="0.25">
      <c r="A787" s="17" t="s">
        <v>45</v>
      </c>
      <c r="B787" s="27" t="s">
        <v>153</v>
      </c>
      <c r="C787" s="19">
        <v>31</v>
      </c>
      <c r="D787" s="5" t="s">
        <v>170</v>
      </c>
      <c r="E787" s="7">
        <v>147990.68</v>
      </c>
      <c r="F787" s="7">
        <v>4587711</v>
      </c>
    </row>
    <row r="788" spans="1:6" s="20" customFormat="1" x14ac:dyDescent="0.25">
      <c r="A788" s="21" t="s">
        <v>47</v>
      </c>
      <c r="B788" s="25" t="s">
        <v>322</v>
      </c>
      <c r="C788" s="23"/>
      <c r="D788" s="24"/>
      <c r="E788" s="23"/>
      <c r="F788" s="9">
        <f>F789+F790+F791+F792+F793+F794+F795</f>
        <v>6641857</v>
      </c>
    </row>
    <row r="789" spans="1:6" x14ac:dyDescent="0.25">
      <c r="A789" s="17" t="s">
        <v>272</v>
      </c>
      <c r="B789" s="26" t="s">
        <v>266</v>
      </c>
      <c r="C789" s="19">
        <v>7.2</v>
      </c>
      <c r="D789" s="5" t="s">
        <v>267</v>
      </c>
      <c r="E789" s="7">
        <v>56660.36</v>
      </c>
      <c r="F789" s="7">
        <v>407955</v>
      </c>
    </row>
    <row r="790" spans="1:6" x14ac:dyDescent="0.25">
      <c r="A790" s="17" t="s">
        <v>274</v>
      </c>
      <c r="B790" s="26" t="s">
        <v>323</v>
      </c>
      <c r="C790" s="19">
        <v>0.42</v>
      </c>
      <c r="D790" s="5" t="s">
        <v>267</v>
      </c>
      <c r="E790" s="7">
        <v>345522.98</v>
      </c>
      <c r="F790" s="7">
        <v>145120</v>
      </c>
    </row>
    <row r="791" spans="1:6" x14ac:dyDescent="0.25">
      <c r="A791" s="17" t="s">
        <v>277</v>
      </c>
      <c r="B791" s="26" t="s">
        <v>324</v>
      </c>
      <c r="C791" s="19">
        <v>0.18</v>
      </c>
      <c r="D791" s="5" t="s">
        <v>267</v>
      </c>
      <c r="E791" s="7">
        <v>1016530.97</v>
      </c>
      <c r="F791" s="7">
        <v>182975</v>
      </c>
    </row>
    <row r="792" spans="1:6" x14ac:dyDescent="0.25">
      <c r="A792" s="17" t="s">
        <v>279</v>
      </c>
      <c r="B792" s="26" t="s">
        <v>325</v>
      </c>
      <c r="C792" s="19">
        <v>7.2</v>
      </c>
      <c r="D792" s="5" t="s">
        <v>267</v>
      </c>
      <c r="E792" s="7">
        <v>130392.01</v>
      </c>
      <c r="F792" s="7">
        <v>938822</v>
      </c>
    </row>
    <row r="793" spans="1:6" x14ac:dyDescent="0.25">
      <c r="A793" s="17" t="s">
        <v>326</v>
      </c>
      <c r="B793" s="26" t="s">
        <v>327</v>
      </c>
      <c r="C793" s="19">
        <v>33.291</v>
      </c>
      <c r="D793" s="5" t="s">
        <v>276</v>
      </c>
      <c r="E793" s="7">
        <v>13176.23</v>
      </c>
      <c r="F793" s="7">
        <v>438650</v>
      </c>
    </row>
    <row r="794" spans="1:6" x14ac:dyDescent="0.25">
      <c r="A794" s="17" t="s">
        <v>328</v>
      </c>
      <c r="B794" s="26" t="s">
        <v>348</v>
      </c>
      <c r="C794" s="19">
        <v>1.152</v>
      </c>
      <c r="D794" s="5" t="s">
        <v>267</v>
      </c>
      <c r="E794" s="7">
        <v>1151545.01</v>
      </c>
      <c r="F794" s="7">
        <v>1326580</v>
      </c>
    </row>
    <row r="795" spans="1:6" x14ac:dyDescent="0.25">
      <c r="A795" s="17" t="s">
        <v>330</v>
      </c>
      <c r="B795" s="26" t="s">
        <v>298</v>
      </c>
      <c r="C795" s="19">
        <v>120</v>
      </c>
      <c r="D795" s="5" t="s">
        <v>170</v>
      </c>
      <c r="E795" s="7">
        <v>26681.29</v>
      </c>
      <c r="F795" s="7">
        <v>3201755</v>
      </c>
    </row>
    <row r="796" spans="1:6" s="20" customFormat="1" x14ac:dyDescent="0.25">
      <c r="A796" s="21" t="s">
        <v>49</v>
      </c>
      <c r="B796" s="25" t="s">
        <v>335</v>
      </c>
      <c r="C796" s="23"/>
      <c r="D796" s="24"/>
      <c r="E796" s="23"/>
      <c r="F796" s="9">
        <f>F797+F798+F799+F800</f>
        <v>9534506</v>
      </c>
    </row>
    <row r="797" spans="1:6" x14ac:dyDescent="0.25">
      <c r="A797" s="17" t="s">
        <v>281</v>
      </c>
      <c r="B797" s="26" t="s">
        <v>648</v>
      </c>
      <c r="C797" s="19">
        <v>22.272</v>
      </c>
      <c r="D797" s="5" t="s">
        <v>267</v>
      </c>
      <c r="E797" s="7">
        <v>56660.36</v>
      </c>
      <c r="F797" s="7">
        <v>1261940</v>
      </c>
    </row>
    <row r="798" spans="1:6" x14ac:dyDescent="0.25">
      <c r="A798" s="17" t="s">
        <v>282</v>
      </c>
      <c r="B798" s="26" t="s">
        <v>333</v>
      </c>
      <c r="C798" s="19">
        <v>0</v>
      </c>
      <c r="D798" s="5" t="s">
        <v>170</v>
      </c>
      <c r="E798" s="7">
        <v>26681.29</v>
      </c>
      <c r="F798" s="7">
        <v>0</v>
      </c>
    </row>
    <row r="799" spans="1:6" x14ac:dyDescent="0.25">
      <c r="A799" s="17" t="s">
        <v>284</v>
      </c>
      <c r="B799" s="26" t="s">
        <v>737</v>
      </c>
      <c r="C799" s="19">
        <v>1.792</v>
      </c>
      <c r="D799" s="5" t="s">
        <v>267</v>
      </c>
      <c r="E799" s="7">
        <v>345522.98</v>
      </c>
      <c r="F799" s="7">
        <v>619177</v>
      </c>
    </row>
    <row r="800" spans="1:6" x14ac:dyDescent="0.25">
      <c r="A800" s="17" t="s">
        <v>286</v>
      </c>
      <c r="B800" s="26" t="s">
        <v>738</v>
      </c>
      <c r="C800" s="19">
        <v>14.08</v>
      </c>
      <c r="D800" s="5" t="s">
        <v>267</v>
      </c>
      <c r="E800" s="7">
        <v>543564.56</v>
      </c>
      <c r="F800" s="7">
        <v>7653389</v>
      </c>
    </row>
    <row r="801" spans="1:6" x14ac:dyDescent="0.25">
      <c r="A801" s="17" t="s">
        <v>51</v>
      </c>
      <c r="B801" s="27" t="s">
        <v>336</v>
      </c>
      <c r="C801" s="19">
        <v>9.864</v>
      </c>
      <c r="D801" s="5" t="s">
        <v>276</v>
      </c>
      <c r="E801" s="7">
        <v>19248.5</v>
      </c>
      <c r="F801" s="7">
        <v>189867</v>
      </c>
    </row>
    <row r="802" spans="1:6" s="20" customFormat="1" x14ac:dyDescent="0.25">
      <c r="A802" s="21" t="s">
        <v>53</v>
      </c>
      <c r="B802" s="25" t="s">
        <v>337</v>
      </c>
      <c r="C802" s="23"/>
      <c r="D802" s="24"/>
      <c r="E802" s="23"/>
      <c r="F802" s="9">
        <f>F803+F804+F805+F806</f>
        <v>9976547</v>
      </c>
    </row>
    <row r="803" spans="1:6" x14ac:dyDescent="0.25">
      <c r="A803" s="17" t="s">
        <v>297</v>
      </c>
      <c r="B803" s="26" t="s">
        <v>292</v>
      </c>
      <c r="C803" s="19">
        <v>19.2</v>
      </c>
      <c r="D803" s="5" t="s">
        <v>167</v>
      </c>
      <c r="E803" s="7">
        <v>246976.42</v>
      </c>
      <c r="F803" s="7">
        <v>4741947</v>
      </c>
    </row>
    <row r="804" spans="1:6" x14ac:dyDescent="0.25">
      <c r="A804" s="17" t="s">
        <v>299</v>
      </c>
      <c r="B804" s="26" t="s">
        <v>338</v>
      </c>
      <c r="C804" s="19">
        <v>98.64</v>
      </c>
      <c r="D804" s="5" t="s">
        <v>276</v>
      </c>
      <c r="E804" s="7">
        <v>13176.23</v>
      </c>
      <c r="F804" s="7">
        <v>1299703</v>
      </c>
    </row>
    <row r="805" spans="1:6" x14ac:dyDescent="0.25">
      <c r="A805" s="17" t="s">
        <v>301</v>
      </c>
      <c r="B805" s="26" t="s">
        <v>372</v>
      </c>
      <c r="C805" s="19">
        <v>88.886</v>
      </c>
      <c r="D805" s="5" t="s">
        <v>276</v>
      </c>
      <c r="E805" s="7">
        <v>13176.23</v>
      </c>
      <c r="F805" s="7">
        <v>1171189</v>
      </c>
    </row>
    <row r="806" spans="1:6" x14ac:dyDescent="0.25">
      <c r="A806" s="17" t="s">
        <v>302</v>
      </c>
      <c r="B806" s="26" t="s">
        <v>348</v>
      </c>
      <c r="C806" s="19">
        <v>2.4</v>
      </c>
      <c r="D806" s="5" t="s">
        <v>267</v>
      </c>
      <c r="E806" s="7">
        <v>1151545.01</v>
      </c>
      <c r="F806" s="7">
        <v>2763708</v>
      </c>
    </row>
    <row r="807" spans="1:6" s="20" customFormat="1" x14ac:dyDescent="0.25">
      <c r="A807" s="21" t="s">
        <v>55</v>
      </c>
      <c r="B807" s="25" t="s">
        <v>739</v>
      </c>
      <c r="C807" s="23"/>
      <c r="D807" s="24"/>
      <c r="E807" s="23"/>
      <c r="F807" s="9">
        <f>F808+F809+F810+F811+F812</f>
        <v>1378753</v>
      </c>
    </row>
    <row r="808" spans="1:6" x14ac:dyDescent="0.25">
      <c r="A808" s="17" t="s">
        <v>303</v>
      </c>
      <c r="B808" s="26" t="s">
        <v>648</v>
      </c>
      <c r="C808" s="19">
        <v>0.215</v>
      </c>
      <c r="D808" s="5" t="s">
        <v>267</v>
      </c>
      <c r="E808" s="7">
        <v>56660.36</v>
      </c>
      <c r="F808" s="7">
        <v>12154</v>
      </c>
    </row>
    <row r="809" spans="1:6" x14ac:dyDescent="0.25">
      <c r="A809" s="17" t="s">
        <v>305</v>
      </c>
      <c r="B809" s="26" t="s">
        <v>292</v>
      </c>
      <c r="C809" s="19">
        <v>2.86</v>
      </c>
      <c r="D809" s="5" t="s">
        <v>167</v>
      </c>
      <c r="E809" s="7">
        <v>246976.42</v>
      </c>
      <c r="F809" s="7">
        <v>706352</v>
      </c>
    </row>
    <row r="810" spans="1:6" x14ac:dyDescent="0.25">
      <c r="A810" s="17" t="s">
        <v>306</v>
      </c>
      <c r="B810" s="26" t="s">
        <v>362</v>
      </c>
      <c r="C810" s="19">
        <v>17.632</v>
      </c>
      <c r="D810" s="5" t="s">
        <v>276</v>
      </c>
      <c r="E810" s="7">
        <v>13176.23</v>
      </c>
      <c r="F810" s="7">
        <v>232322</v>
      </c>
    </row>
    <row r="811" spans="1:6" x14ac:dyDescent="0.25">
      <c r="A811" s="17" t="s">
        <v>307</v>
      </c>
      <c r="B811" s="26" t="s">
        <v>372</v>
      </c>
      <c r="C811" s="19">
        <v>13.731</v>
      </c>
      <c r="D811" s="5" t="s">
        <v>276</v>
      </c>
      <c r="E811" s="7">
        <v>13176.23</v>
      </c>
      <c r="F811" s="7">
        <v>180919</v>
      </c>
    </row>
    <row r="812" spans="1:6" x14ac:dyDescent="0.25">
      <c r="A812" s="17" t="s">
        <v>309</v>
      </c>
      <c r="B812" s="26" t="s">
        <v>348</v>
      </c>
      <c r="C812" s="19">
        <v>0.215</v>
      </c>
      <c r="D812" s="5" t="s">
        <v>267</v>
      </c>
      <c r="E812" s="7">
        <v>1151545.01</v>
      </c>
      <c r="F812" s="7">
        <v>247006</v>
      </c>
    </row>
    <row r="813" spans="1:6" s="20" customFormat="1" x14ac:dyDescent="0.25">
      <c r="A813" s="21" t="s">
        <v>57</v>
      </c>
      <c r="B813" s="25" t="s">
        <v>740</v>
      </c>
      <c r="C813" s="23"/>
      <c r="D813" s="24"/>
      <c r="E813" s="23"/>
      <c r="F813" s="9">
        <f>F814+F815+F816+F817+F818+F819+F820</f>
        <v>5327854</v>
      </c>
    </row>
    <row r="814" spans="1:6" x14ac:dyDescent="0.25">
      <c r="A814" s="17" t="s">
        <v>314</v>
      </c>
      <c r="B814" s="26" t="s">
        <v>304</v>
      </c>
      <c r="C814" s="19">
        <v>0.6</v>
      </c>
      <c r="D814" s="5" t="s">
        <v>267</v>
      </c>
      <c r="E814" s="7">
        <v>56660.36</v>
      </c>
      <c r="F814" s="7">
        <v>33996</v>
      </c>
    </row>
    <row r="815" spans="1:6" x14ac:dyDescent="0.25">
      <c r="A815" s="17" t="s">
        <v>316</v>
      </c>
      <c r="B815" s="26" t="s">
        <v>102</v>
      </c>
      <c r="C815" s="19">
        <v>0.15</v>
      </c>
      <c r="D815" s="5" t="s">
        <v>267</v>
      </c>
      <c r="E815" s="7">
        <v>345522.98</v>
      </c>
      <c r="F815" s="7">
        <v>51828</v>
      </c>
    </row>
    <row r="816" spans="1:6" x14ac:dyDescent="0.25">
      <c r="A816" s="17" t="s">
        <v>318</v>
      </c>
      <c r="B816" s="26" t="s">
        <v>440</v>
      </c>
      <c r="C816" s="19">
        <v>0.15</v>
      </c>
      <c r="D816" s="5" t="s">
        <v>267</v>
      </c>
      <c r="E816" s="7">
        <v>1016530.97</v>
      </c>
      <c r="F816" s="7">
        <v>152480</v>
      </c>
    </row>
    <row r="817" spans="1:6" x14ac:dyDescent="0.25">
      <c r="A817" s="17" t="s">
        <v>320</v>
      </c>
      <c r="B817" s="26" t="s">
        <v>292</v>
      </c>
      <c r="C817" s="19">
        <v>4.8</v>
      </c>
      <c r="D817" s="5" t="s">
        <v>167</v>
      </c>
      <c r="E817" s="7">
        <v>246976.42</v>
      </c>
      <c r="F817" s="7">
        <v>1185487</v>
      </c>
    </row>
    <row r="818" spans="1:6" x14ac:dyDescent="0.25">
      <c r="A818" s="17" t="s">
        <v>321</v>
      </c>
      <c r="B818" s="26" t="s">
        <v>718</v>
      </c>
      <c r="C818" s="19">
        <v>108.997</v>
      </c>
      <c r="D818" s="5" t="s">
        <v>276</v>
      </c>
      <c r="E818" s="7">
        <v>13176.23</v>
      </c>
      <c r="F818" s="7">
        <v>1436172</v>
      </c>
    </row>
    <row r="819" spans="1:6" x14ac:dyDescent="0.25">
      <c r="A819" s="17" t="s">
        <v>425</v>
      </c>
      <c r="B819" s="26" t="s">
        <v>741</v>
      </c>
      <c r="C819" s="19">
        <v>29.987</v>
      </c>
      <c r="D819" s="5" t="s">
        <v>276</v>
      </c>
      <c r="E819" s="7">
        <v>13176.23</v>
      </c>
      <c r="F819" s="7">
        <v>395110</v>
      </c>
    </row>
    <row r="820" spans="1:6" x14ac:dyDescent="0.25">
      <c r="A820" s="17" t="s">
        <v>427</v>
      </c>
      <c r="B820" s="26" t="s">
        <v>348</v>
      </c>
      <c r="C820" s="19">
        <v>1.8</v>
      </c>
      <c r="D820" s="5" t="s">
        <v>267</v>
      </c>
      <c r="E820" s="7">
        <v>1151545.01</v>
      </c>
      <c r="F820" s="7">
        <v>2072781</v>
      </c>
    </row>
    <row r="821" spans="1:6" s="20" customFormat="1" x14ac:dyDescent="0.25">
      <c r="A821" s="21" t="s">
        <v>59</v>
      </c>
      <c r="B821" s="25" t="s">
        <v>344</v>
      </c>
      <c r="C821" s="23"/>
      <c r="D821" s="24"/>
      <c r="E821" s="23"/>
      <c r="F821" s="9">
        <f>F822+F823+F824+F825</f>
        <v>1875839</v>
      </c>
    </row>
    <row r="822" spans="1:6" x14ac:dyDescent="0.25">
      <c r="A822" s="17" t="s">
        <v>350</v>
      </c>
      <c r="B822" s="26" t="s">
        <v>345</v>
      </c>
      <c r="C822" s="19">
        <v>4.8</v>
      </c>
      <c r="D822" s="5" t="s">
        <v>167</v>
      </c>
      <c r="E822" s="7">
        <v>208190.98</v>
      </c>
      <c r="F822" s="7">
        <v>999317</v>
      </c>
    </row>
    <row r="823" spans="1:6" x14ac:dyDescent="0.25">
      <c r="A823" s="17" t="s">
        <v>351</v>
      </c>
      <c r="B823" s="26" t="s">
        <v>346</v>
      </c>
      <c r="C823" s="19">
        <v>31.072</v>
      </c>
      <c r="D823" s="5" t="s">
        <v>276</v>
      </c>
      <c r="E823" s="7">
        <v>13176.23</v>
      </c>
      <c r="F823" s="7">
        <v>409407</v>
      </c>
    </row>
    <row r="824" spans="1:6" x14ac:dyDescent="0.25">
      <c r="A824" s="17" t="s">
        <v>352</v>
      </c>
      <c r="B824" s="26" t="s">
        <v>347</v>
      </c>
      <c r="C824" s="19">
        <v>9.233</v>
      </c>
      <c r="D824" s="5" t="s">
        <v>276</v>
      </c>
      <c r="E824" s="7">
        <v>13176.23</v>
      </c>
      <c r="F824" s="7">
        <v>121652</v>
      </c>
    </row>
    <row r="825" spans="1:6" x14ac:dyDescent="0.25">
      <c r="A825" s="17" t="s">
        <v>353</v>
      </c>
      <c r="B825" s="26" t="s">
        <v>348</v>
      </c>
      <c r="C825" s="19">
        <v>0.3</v>
      </c>
      <c r="D825" s="5" t="s">
        <v>267</v>
      </c>
      <c r="E825" s="7">
        <v>1151545.01</v>
      </c>
      <c r="F825" s="7">
        <v>345463</v>
      </c>
    </row>
    <row r="826" spans="1:6" s="20" customFormat="1" x14ac:dyDescent="0.25">
      <c r="A826" s="21" t="s">
        <v>61</v>
      </c>
      <c r="B826" s="25" t="s">
        <v>349</v>
      </c>
      <c r="C826" s="23"/>
      <c r="D826" s="24"/>
      <c r="E826" s="23"/>
      <c r="F826" s="9">
        <f>F827+F828+F829+F830</f>
        <v>8070851</v>
      </c>
    </row>
    <row r="827" spans="1:6" x14ac:dyDescent="0.25">
      <c r="A827" s="17" t="s">
        <v>355</v>
      </c>
      <c r="B827" s="26" t="s">
        <v>345</v>
      </c>
      <c r="C827" s="19">
        <v>21.48</v>
      </c>
      <c r="D827" s="5" t="s">
        <v>167</v>
      </c>
      <c r="E827" s="7">
        <v>208190.98</v>
      </c>
      <c r="F827" s="7">
        <v>4471942</v>
      </c>
    </row>
    <row r="828" spans="1:6" x14ac:dyDescent="0.25">
      <c r="A828" s="17" t="s">
        <v>357</v>
      </c>
      <c r="B828" s="26" t="s">
        <v>346</v>
      </c>
      <c r="C828" s="19">
        <v>113.337</v>
      </c>
      <c r="D828" s="5" t="s">
        <v>276</v>
      </c>
      <c r="E828" s="7">
        <v>13176.23</v>
      </c>
      <c r="F828" s="7">
        <v>1493359</v>
      </c>
    </row>
    <row r="829" spans="1:6" x14ac:dyDescent="0.25">
      <c r="A829" s="17" t="s">
        <v>358</v>
      </c>
      <c r="B829" s="26" t="s">
        <v>347</v>
      </c>
      <c r="C829" s="19">
        <v>42.47</v>
      </c>
      <c r="D829" s="5" t="s">
        <v>276</v>
      </c>
      <c r="E829" s="7">
        <v>13176.23</v>
      </c>
      <c r="F829" s="7">
        <v>559601</v>
      </c>
    </row>
    <row r="830" spans="1:6" x14ac:dyDescent="0.25">
      <c r="A830" s="17" t="s">
        <v>359</v>
      </c>
      <c r="B830" s="26" t="s">
        <v>348</v>
      </c>
      <c r="C830" s="19">
        <v>1.343</v>
      </c>
      <c r="D830" s="5" t="s">
        <v>267</v>
      </c>
      <c r="E830" s="7">
        <v>1151545.01</v>
      </c>
      <c r="F830" s="7">
        <v>1545949</v>
      </c>
    </row>
    <row r="831" spans="1:6" s="20" customFormat="1" x14ac:dyDescent="0.25">
      <c r="A831" s="21" t="s">
        <v>63</v>
      </c>
      <c r="B831" s="25" t="s">
        <v>354</v>
      </c>
      <c r="C831" s="23"/>
      <c r="D831" s="24"/>
      <c r="E831" s="23"/>
      <c r="F831" s="9">
        <f>F832+F833+F834+F835</f>
        <v>7495407</v>
      </c>
    </row>
    <row r="832" spans="1:6" x14ac:dyDescent="0.25">
      <c r="A832" s="17" t="s">
        <v>238</v>
      </c>
      <c r="B832" s="26" t="s">
        <v>356</v>
      </c>
      <c r="C832" s="19">
        <v>17.9</v>
      </c>
      <c r="D832" s="5" t="s">
        <v>167</v>
      </c>
      <c r="E832" s="7">
        <v>214925.5</v>
      </c>
      <c r="F832" s="7">
        <v>3847166</v>
      </c>
    </row>
    <row r="833" spans="1:6" x14ac:dyDescent="0.25">
      <c r="A833" s="17" t="s">
        <v>241</v>
      </c>
      <c r="B833" s="26" t="s">
        <v>338</v>
      </c>
      <c r="C833" s="19">
        <v>70.898</v>
      </c>
      <c r="D833" s="5" t="s">
        <v>276</v>
      </c>
      <c r="E833" s="7">
        <v>13176.23</v>
      </c>
      <c r="F833" s="7">
        <v>934162</v>
      </c>
    </row>
    <row r="834" spans="1:6" x14ac:dyDescent="0.25">
      <c r="A834" s="17" t="s">
        <v>243</v>
      </c>
      <c r="B834" s="26" t="s">
        <v>339</v>
      </c>
      <c r="C834" s="19">
        <v>65.276</v>
      </c>
      <c r="D834" s="5" t="s">
        <v>276</v>
      </c>
      <c r="E834" s="7">
        <v>13176.23</v>
      </c>
      <c r="F834" s="7">
        <v>860092</v>
      </c>
    </row>
    <row r="835" spans="1:6" x14ac:dyDescent="0.25">
      <c r="A835" s="17" t="s">
        <v>245</v>
      </c>
      <c r="B835" s="26" t="s">
        <v>348</v>
      </c>
      <c r="C835" s="19">
        <v>1.61</v>
      </c>
      <c r="D835" s="5" t="s">
        <v>267</v>
      </c>
      <c r="E835" s="7">
        <v>1151545.01</v>
      </c>
      <c r="F835" s="7">
        <v>1853987</v>
      </c>
    </row>
    <row r="836" spans="1:6" s="20" customFormat="1" x14ac:dyDescent="0.25">
      <c r="A836" s="21" t="s">
        <v>65</v>
      </c>
      <c r="B836" s="25" t="s">
        <v>360</v>
      </c>
      <c r="C836" s="23"/>
      <c r="D836" s="24"/>
      <c r="E836" s="23"/>
      <c r="F836" s="9">
        <f>F837+F838+F839+F840</f>
        <v>3170458</v>
      </c>
    </row>
    <row r="837" spans="1:6" x14ac:dyDescent="0.25">
      <c r="A837" s="17" t="s">
        <v>253</v>
      </c>
      <c r="B837" s="26" t="s">
        <v>356</v>
      </c>
      <c r="C837" s="19">
        <v>8.1</v>
      </c>
      <c r="D837" s="5" t="s">
        <v>167</v>
      </c>
      <c r="E837" s="7">
        <v>214925.5</v>
      </c>
      <c r="F837" s="7">
        <v>1740896</v>
      </c>
    </row>
    <row r="838" spans="1:6" x14ac:dyDescent="0.25">
      <c r="A838" s="17" t="s">
        <v>255</v>
      </c>
      <c r="B838" s="26" t="s">
        <v>338</v>
      </c>
      <c r="C838" s="19">
        <v>27.743</v>
      </c>
      <c r="D838" s="5" t="s">
        <v>276</v>
      </c>
      <c r="E838" s="7">
        <v>13176.23</v>
      </c>
      <c r="F838" s="7">
        <v>365542</v>
      </c>
    </row>
    <row r="839" spans="1:6" x14ac:dyDescent="0.25">
      <c r="A839" s="17" t="s">
        <v>363</v>
      </c>
      <c r="B839" s="26" t="s">
        <v>339</v>
      </c>
      <c r="C839" s="19">
        <v>25.694</v>
      </c>
      <c r="D839" s="5" t="s">
        <v>276</v>
      </c>
      <c r="E839" s="7">
        <v>13176.23</v>
      </c>
      <c r="F839" s="7">
        <v>338547</v>
      </c>
    </row>
    <row r="840" spans="1:6" x14ac:dyDescent="0.25">
      <c r="A840" s="17" t="s">
        <v>364</v>
      </c>
      <c r="B840" s="26" t="s">
        <v>348</v>
      </c>
      <c r="C840" s="19">
        <v>0.63</v>
      </c>
      <c r="D840" s="5" t="s">
        <v>267</v>
      </c>
      <c r="E840" s="7">
        <v>1151545.01</v>
      </c>
      <c r="F840" s="7">
        <v>725473</v>
      </c>
    </row>
    <row r="841" spans="1:6" s="20" customFormat="1" x14ac:dyDescent="0.25">
      <c r="A841" s="21" t="s">
        <v>67</v>
      </c>
      <c r="B841" s="25" t="s">
        <v>742</v>
      </c>
      <c r="C841" s="23"/>
      <c r="D841" s="24"/>
      <c r="E841" s="23"/>
      <c r="F841" s="9">
        <f>F842+F843+F844+F845</f>
        <v>804870</v>
      </c>
    </row>
    <row r="842" spans="1:6" x14ac:dyDescent="0.25">
      <c r="A842" s="17" t="s">
        <v>257</v>
      </c>
      <c r="B842" s="26" t="s">
        <v>356</v>
      </c>
      <c r="C842" s="19">
        <v>2.1</v>
      </c>
      <c r="D842" s="5" t="s">
        <v>167</v>
      </c>
      <c r="E842" s="7">
        <v>214925.5</v>
      </c>
      <c r="F842" s="7">
        <v>451344</v>
      </c>
    </row>
    <row r="843" spans="1:6" x14ac:dyDescent="0.25">
      <c r="A843" s="17" t="s">
        <v>259</v>
      </c>
      <c r="B843" s="26" t="s">
        <v>362</v>
      </c>
      <c r="C843" s="19">
        <v>10.789</v>
      </c>
      <c r="D843" s="5" t="s">
        <v>276</v>
      </c>
      <c r="E843" s="7">
        <v>13176.23</v>
      </c>
      <c r="F843" s="7">
        <v>142155</v>
      </c>
    </row>
    <row r="844" spans="1:6" x14ac:dyDescent="0.25">
      <c r="A844" s="17" t="s">
        <v>479</v>
      </c>
      <c r="B844" s="26" t="s">
        <v>339</v>
      </c>
      <c r="C844" s="19">
        <v>6.865</v>
      </c>
      <c r="D844" s="5" t="s">
        <v>276</v>
      </c>
      <c r="E844" s="7">
        <v>13176.23</v>
      </c>
      <c r="F844" s="7">
        <v>90459</v>
      </c>
    </row>
    <row r="845" spans="1:6" x14ac:dyDescent="0.25">
      <c r="A845" s="17" t="s">
        <v>481</v>
      </c>
      <c r="B845" s="26" t="s">
        <v>348</v>
      </c>
      <c r="C845" s="19">
        <v>0.105</v>
      </c>
      <c r="D845" s="5" t="s">
        <v>267</v>
      </c>
      <c r="E845" s="7">
        <v>1151545.01</v>
      </c>
      <c r="F845" s="7">
        <v>120912</v>
      </c>
    </row>
    <row r="846" spans="1:6" s="20" customFormat="1" x14ac:dyDescent="0.25">
      <c r="A846" s="21" t="s">
        <v>69</v>
      </c>
      <c r="B846" s="25" t="s">
        <v>365</v>
      </c>
      <c r="C846" s="23"/>
      <c r="D846" s="24"/>
      <c r="E846" s="23"/>
      <c r="F846" s="9">
        <f>F847+F852</f>
        <v>6031086</v>
      </c>
    </row>
    <row r="847" spans="1:6" s="20" customFormat="1" x14ac:dyDescent="0.25">
      <c r="A847" s="21" t="s">
        <v>743</v>
      </c>
      <c r="B847" s="28" t="s">
        <v>367</v>
      </c>
      <c r="C847" s="23"/>
      <c r="D847" s="24"/>
      <c r="E847" s="23"/>
      <c r="F847" s="9">
        <f>F848+F849+F850+F851</f>
        <v>5358649</v>
      </c>
    </row>
    <row r="848" spans="1:6" x14ac:dyDescent="0.25">
      <c r="A848" s="17" t="s">
        <v>744</v>
      </c>
      <c r="B848" s="29" t="s">
        <v>356</v>
      </c>
      <c r="C848" s="19">
        <v>5.568</v>
      </c>
      <c r="D848" s="5" t="s">
        <v>167</v>
      </c>
      <c r="E848" s="7">
        <v>214925.5</v>
      </c>
      <c r="F848" s="7">
        <v>1196630</v>
      </c>
    </row>
    <row r="849" spans="1:6" x14ac:dyDescent="0.25">
      <c r="A849" s="17" t="s">
        <v>745</v>
      </c>
      <c r="B849" s="29" t="s">
        <v>370</v>
      </c>
      <c r="C849" s="19">
        <v>104.78</v>
      </c>
      <c r="D849" s="5" t="s">
        <v>276</v>
      </c>
      <c r="E849" s="7">
        <v>13176.23</v>
      </c>
      <c r="F849" s="7">
        <v>1380605</v>
      </c>
    </row>
    <row r="850" spans="1:6" x14ac:dyDescent="0.25">
      <c r="A850" s="17" t="s">
        <v>746</v>
      </c>
      <c r="B850" s="29" t="s">
        <v>372</v>
      </c>
      <c r="C850" s="19">
        <v>152.112</v>
      </c>
      <c r="D850" s="5" t="s">
        <v>276</v>
      </c>
      <c r="E850" s="7">
        <v>13176.23</v>
      </c>
      <c r="F850" s="7">
        <v>2004259</v>
      </c>
    </row>
    <row r="851" spans="1:6" x14ac:dyDescent="0.25">
      <c r="A851" s="17" t="s">
        <v>747</v>
      </c>
      <c r="B851" s="29" t="s">
        <v>374</v>
      </c>
      <c r="C851" s="19">
        <v>0.675</v>
      </c>
      <c r="D851" s="5" t="s">
        <v>267</v>
      </c>
      <c r="E851" s="7">
        <v>1151545.01</v>
      </c>
      <c r="F851" s="7">
        <v>777155</v>
      </c>
    </row>
    <row r="852" spans="1:6" s="20" customFormat="1" x14ac:dyDescent="0.25">
      <c r="A852" s="21" t="s">
        <v>748</v>
      </c>
      <c r="B852" s="28" t="s">
        <v>376</v>
      </c>
      <c r="C852" s="23"/>
      <c r="D852" s="24"/>
      <c r="E852" s="23"/>
      <c r="F852" s="9">
        <f>F853+F854+F855+F856</f>
        <v>672437</v>
      </c>
    </row>
    <row r="853" spans="1:6" x14ac:dyDescent="0.25">
      <c r="A853" s="17" t="s">
        <v>749</v>
      </c>
      <c r="B853" s="29" t="s">
        <v>345</v>
      </c>
      <c r="C853" s="19">
        <v>1.4</v>
      </c>
      <c r="D853" s="5" t="s">
        <v>167</v>
      </c>
      <c r="E853" s="7">
        <v>208190.98</v>
      </c>
      <c r="F853" s="7">
        <v>291467</v>
      </c>
    </row>
    <row r="854" spans="1:6" x14ac:dyDescent="0.25">
      <c r="A854" s="17" t="s">
        <v>750</v>
      </c>
      <c r="B854" s="29" t="s">
        <v>370</v>
      </c>
      <c r="C854" s="19">
        <v>10.85</v>
      </c>
      <c r="D854" s="5" t="s">
        <v>276</v>
      </c>
      <c r="E854" s="7">
        <v>13176.23</v>
      </c>
      <c r="F854" s="7">
        <v>142967</v>
      </c>
    </row>
    <row r="855" spans="1:6" x14ac:dyDescent="0.25">
      <c r="A855" s="17" t="s">
        <v>751</v>
      </c>
      <c r="B855" s="29" t="s">
        <v>372</v>
      </c>
      <c r="C855" s="19">
        <v>7.576</v>
      </c>
      <c r="D855" s="5" t="s">
        <v>276</v>
      </c>
      <c r="E855" s="7">
        <v>13176.23</v>
      </c>
      <c r="F855" s="7">
        <v>99817</v>
      </c>
    </row>
    <row r="856" spans="1:6" x14ac:dyDescent="0.25">
      <c r="A856" s="17" t="s">
        <v>752</v>
      </c>
      <c r="B856" s="29" t="s">
        <v>374</v>
      </c>
      <c r="C856" s="19">
        <v>0.12</v>
      </c>
      <c r="D856" s="5" t="s">
        <v>267</v>
      </c>
      <c r="E856" s="7">
        <v>1151545.01</v>
      </c>
      <c r="F856" s="7">
        <v>138186</v>
      </c>
    </row>
    <row r="857" spans="1:6" s="20" customFormat="1" x14ac:dyDescent="0.25">
      <c r="A857" s="21" t="s">
        <v>71</v>
      </c>
      <c r="B857" s="25" t="s">
        <v>553</v>
      </c>
      <c r="C857" s="23"/>
      <c r="D857" s="24"/>
      <c r="E857" s="23"/>
      <c r="F857" s="9">
        <f>F858+F859+F860+F861+F862</f>
        <v>706360</v>
      </c>
    </row>
    <row r="858" spans="1:6" x14ac:dyDescent="0.25">
      <c r="A858" s="17" t="s">
        <v>483</v>
      </c>
      <c r="B858" s="26" t="s">
        <v>449</v>
      </c>
      <c r="C858" s="19">
        <v>1.334</v>
      </c>
      <c r="D858" s="5" t="s">
        <v>167</v>
      </c>
      <c r="E858" s="7">
        <v>222495.38</v>
      </c>
      <c r="F858" s="7">
        <v>296809</v>
      </c>
    </row>
    <row r="859" spans="1:6" x14ac:dyDescent="0.25">
      <c r="A859" s="17" t="s">
        <v>494</v>
      </c>
      <c r="B859" s="26" t="s">
        <v>347</v>
      </c>
      <c r="C859" s="19">
        <v>7.694</v>
      </c>
      <c r="D859" s="5" t="s">
        <v>276</v>
      </c>
      <c r="E859" s="7">
        <v>13176.23</v>
      </c>
      <c r="F859" s="7">
        <v>101377</v>
      </c>
    </row>
    <row r="860" spans="1:6" x14ac:dyDescent="0.25">
      <c r="A860" s="17" t="s">
        <v>496</v>
      </c>
      <c r="B860" s="26" t="s">
        <v>348</v>
      </c>
      <c r="C860" s="19">
        <v>0.107</v>
      </c>
      <c r="D860" s="5" t="s">
        <v>267</v>
      </c>
      <c r="E860" s="7">
        <v>1151545.01</v>
      </c>
      <c r="F860" s="7">
        <v>123215</v>
      </c>
    </row>
    <row r="861" spans="1:6" x14ac:dyDescent="0.25">
      <c r="A861" s="17" t="s">
        <v>753</v>
      </c>
      <c r="B861" s="26" t="s">
        <v>433</v>
      </c>
      <c r="C861" s="19">
        <v>1.07</v>
      </c>
      <c r="D861" s="5" t="s">
        <v>167</v>
      </c>
      <c r="E861" s="7">
        <v>54647.67</v>
      </c>
      <c r="F861" s="7">
        <v>58473</v>
      </c>
    </row>
    <row r="862" spans="1:6" x14ac:dyDescent="0.25">
      <c r="A862" s="17" t="s">
        <v>754</v>
      </c>
      <c r="B862" s="26" t="s">
        <v>554</v>
      </c>
      <c r="C862" s="19">
        <v>1.07</v>
      </c>
      <c r="D862" s="5" t="s">
        <v>167</v>
      </c>
      <c r="E862" s="7">
        <v>118211.25</v>
      </c>
      <c r="F862" s="7">
        <v>126486</v>
      </c>
    </row>
    <row r="863" spans="1:6" s="20" customFormat="1" x14ac:dyDescent="0.25">
      <c r="A863" s="21" t="s">
        <v>73</v>
      </c>
      <c r="B863" s="25" t="s">
        <v>422</v>
      </c>
      <c r="C863" s="23"/>
      <c r="D863" s="24"/>
      <c r="E863" s="23"/>
      <c r="F863" s="9">
        <f>F864+F865+F866+F867+F868+F869</f>
        <v>9396254</v>
      </c>
    </row>
    <row r="864" spans="1:6" x14ac:dyDescent="0.25">
      <c r="A864" s="17" t="s">
        <v>755</v>
      </c>
      <c r="B864" s="26" t="s">
        <v>341</v>
      </c>
      <c r="C864" s="19">
        <v>1.575</v>
      </c>
      <c r="D864" s="5" t="s">
        <v>267</v>
      </c>
      <c r="E864" s="7">
        <v>124258.76</v>
      </c>
      <c r="F864" s="7">
        <v>195708</v>
      </c>
    </row>
    <row r="865" spans="1:6" x14ac:dyDescent="0.25">
      <c r="A865" s="17" t="s">
        <v>756</v>
      </c>
      <c r="B865" s="26" t="s">
        <v>342</v>
      </c>
      <c r="C865" s="19">
        <v>1.575</v>
      </c>
      <c r="D865" s="5" t="s">
        <v>267</v>
      </c>
      <c r="E865" s="7">
        <v>53756.99</v>
      </c>
      <c r="F865" s="7">
        <v>84667</v>
      </c>
    </row>
    <row r="866" spans="1:6" x14ac:dyDescent="0.25">
      <c r="A866" s="17" t="s">
        <v>757</v>
      </c>
      <c r="B866" s="26" t="s">
        <v>102</v>
      </c>
      <c r="C866" s="19">
        <v>1.575</v>
      </c>
      <c r="D866" s="5" t="s">
        <v>267</v>
      </c>
      <c r="E866" s="7">
        <v>345522.98</v>
      </c>
      <c r="F866" s="7">
        <v>544199</v>
      </c>
    </row>
    <row r="867" spans="1:6" x14ac:dyDescent="0.25">
      <c r="A867" s="17" t="s">
        <v>758</v>
      </c>
      <c r="B867" s="26" t="s">
        <v>440</v>
      </c>
      <c r="C867" s="19">
        <v>1.575</v>
      </c>
      <c r="D867" s="5" t="s">
        <v>267</v>
      </c>
      <c r="E867" s="7">
        <v>1016530.97</v>
      </c>
      <c r="F867" s="7">
        <v>1601036</v>
      </c>
    </row>
    <row r="868" spans="1:6" x14ac:dyDescent="0.25">
      <c r="A868" s="17" t="s">
        <v>759</v>
      </c>
      <c r="B868" s="26" t="s">
        <v>760</v>
      </c>
      <c r="C868" s="19">
        <v>63</v>
      </c>
      <c r="D868" s="5" t="s">
        <v>167</v>
      </c>
      <c r="E868" s="7">
        <v>24279.27</v>
      </c>
      <c r="F868" s="7">
        <v>1529594</v>
      </c>
    </row>
    <row r="869" spans="1:6" x14ac:dyDescent="0.25">
      <c r="A869" s="17" t="s">
        <v>761</v>
      </c>
      <c r="B869" s="26" t="s">
        <v>374</v>
      </c>
      <c r="C869" s="19">
        <v>4.725</v>
      </c>
      <c r="D869" s="5" t="s">
        <v>267</v>
      </c>
      <c r="E869" s="7">
        <v>1151545.01</v>
      </c>
      <c r="F869" s="7">
        <v>5441050</v>
      </c>
    </row>
    <row r="870" spans="1:6" s="20" customFormat="1" x14ac:dyDescent="0.25">
      <c r="A870" s="21" t="s">
        <v>499</v>
      </c>
      <c r="B870" s="25" t="s">
        <v>762</v>
      </c>
      <c r="C870" s="23"/>
      <c r="D870" s="24"/>
      <c r="E870" s="23"/>
      <c r="F870" s="9">
        <f>F871+F872+F873+F874+F875+F876+F877+F878+F879</f>
        <v>3038992</v>
      </c>
    </row>
    <row r="871" spans="1:6" x14ac:dyDescent="0.25">
      <c r="A871" s="17" t="s">
        <v>763</v>
      </c>
      <c r="B871" s="26" t="s">
        <v>341</v>
      </c>
      <c r="C871" s="19">
        <v>0.536</v>
      </c>
      <c r="D871" s="5" t="s">
        <v>267</v>
      </c>
      <c r="E871" s="7">
        <v>124258.76</v>
      </c>
      <c r="F871" s="7">
        <v>66634</v>
      </c>
    </row>
    <row r="872" spans="1:6" x14ac:dyDescent="0.25">
      <c r="A872" s="17" t="s">
        <v>764</v>
      </c>
      <c r="B872" s="26" t="s">
        <v>342</v>
      </c>
      <c r="C872" s="19">
        <v>0.536</v>
      </c>
      <c r="D872" s="5" t="s">
        <v>267</v>
      </c>
      <c r="E872" s="7">
        <v>53756.99</v>
      </c>
      <c r="F872" s="7">
        <v>28827</v>
      </c>
    </row>
    <row r="873" spans="1:6" x14ac:dyDescent="0.25">
      <c r="A873" s="17" t="s">
        <v>765</v>
      </c>
      <c r="B873" s="26" t="s">
        <v>102</v>
      </c>
      <c r="C873" s="19">
        <v>0.536</v>
      </c>
      <c r="D873" s="5" t="s">
        <v>267</v>
      </c>
      <c r="E873" s="7">
        <v>345522.98</v>
      </c>
      <c r="F873" s="7">
        <v>185287</v>
      </c>
    </row>
    <row r="874" spans="1:6" x14ac:dyDescent="0.25">
      <c r="A874" s="17" t="s">
        <v>766</v>
      </c>
      <c r="B874" s="26" t="s">
        <v>440</v>
      </c>
      <c r="C874" s="19">
        <v>0.536</v>
      </c>
      <c r="D874" s="5" t="s">
        <v>267</v>
      </c>
      <c r="E874" s="7">
        <v>1016530.97</v>
      </c>
      <c r="F874" s="7">
        <v>545115</v>
      </c>
    </row>
    <row r="875" spans="1:6" x14ac:dyDescent="0.25">
      <c r="A875" s="17" t="s">
        <v>767</v>
      </c>
      <c r="B875" s="26" t="s">
        <v>768</v>
      </c>
      <c r="C875" s="19">
        <v>0.45</v>
      </c>
      <c r="D875" s="5" t="s">
        <v>167</v>
      </c>
      <c r="E875" s="7">
        <v>122466.89</v>
      </c>
      <c r="F875" s="7">
        <v>55110</v>
      </c>
    </row>
    <row r="876" spans="1:6" x14ac:dyDescent="0.25">
      <c r="A876" s="17" t="s">
        <v>769</v>
      </c>
      <c r="B876" s="26" t="s">
        <v>770</v>
      </c>
      <c r="C876" s="19">
        <v>10.725</v>
      </c>
      <c r="D876" s="5" t="s">
        <v>167</v>
      </c>
      <c r="E876" s="7">
        <v>24279.27</v>
      </c>
      <c r="F876" s="7">
        <v>260395</v>
      </c>
    </row>
    <row r="877" spans="1:6" x14ac:dyDescent="0.25">
      <c r="A877" s="17" t="s">
        <v>771</v>
      </c>
      <c r="B877" s="26" t="s">
        <v>348</v>
      </c>
      <c r="C877" s="19">
        <v>1.609</v>
      </c>
      <c r="D877" s="5" t="s">
        <v>267</v>
      </c>
      <c r="E877" s="7">
        <v>1151545.01</v>
      </c>
      <c r="F877" s="7">
        <v>1852548</v>
      </c>
    </row>
    <row r="878" spans="1:6" x14ac:dyDescent="0.25">
      <c r="A878" s="17" t="s">
        <v>772</v>
      </c>
      <c r="B878" s="26" t="s">
        <v>158</v>
      </c>
      <c r="C878" s="19">
        <v>0.45</v>
      </c>
      <c r="D878" s="5" t="s">
        <v>167</v>
      </c>
      <c r="E878" s="7">
        <v>54647.67</v>
      </c>
      <c r="F878" s="7">
        <v>24592</v>
      </c>
    </row>
    <row r="879" spans="1:6" x14ac:dyDescent="0.25">
      <c r="A879" s="17" t="s">
        <v>773</v>
      </c>
      <c r="B879" s="26" t="s">
        <v>288</v>
      </c>
      <c r="C879" s="19">
        <v>0.45</v>
      </c>
      <c r="D879" s="5" t="s">
        <v>167</v>
      </c>
      <c r="E879" s="7">
        <v>45520.53</v>
      </c>
      <c r="F879" s="7">
        <v>20484</v>
      </c>
    </row>
    <row r="880" spans="1:6" s="20" customFormat="1" x14ac:dyDescent="0.25">
      <c r="A880" s="21" t="s">
        <v>130</v>
      </c>
      <c r="B880" s="22" t="s">
        <v>131</v>
      </c>
      <c r="C880" s="23"/>
      <c r="D880" s="24"/>
      <c r="E880" s="23"/>
      <c r="F880" s="9">
        <f>F881+F882+F883+F884+F885+F890+F891+F892+F893+F894+F895+F896+F897+F898+F899+F900+F901+F902+F903</f>
        <v>108822774</v>
      </c>
    </row>
    <row r="881" spans="1:6" x14ac:dyDescent="0.25">
      <c r="A881" s="17" t="s">
        <v>45</v>
      </c>
      <c r="B881" s="27" t="s">
        <v>555</v>
      </c>
      <c r="C881" s="19">
        <v>95.702</v>
      </c>
      <c r="D881" s="5" t="s">
        <v>167</v>
      </c>
      <c r="E881" s="7">
        <v>122466.89</v>
      </c>
      <c r="F881" s="7">
        <v>11720351</v>
      </c>
    </row>
    <row r="882" spans="1:6" x14ac:dyDescent="0.25">
      <c r="A882" s="17" t="s">
        <v>47</v>
      </c>
      <c r="B882" s="27" t="s">
        <v>556</v>
      </c>
      <c r="C882" s="19">
        <v>95.702</v>
      </c>
      <c r="D882" s="5" t="s">
        <v>167</v>
      </c>
      <c r="E882" s="7">
        <v>54647.67</v>
      </c>
      <c r="F882" s="7">
        <v>5229902</v>
      </c>
    </row>
    <row r="883" spans="1:6" x14ac:dyDescent="0.25">
      <c r="A883" s="17" t="s">
        <v>49</v>
      </c>
      <c r="B883" s="27" t="s">
        <v>557</v>
      </c>
      <c r="C883" s="19">
        <v>115.642</v>
      </c>
      <c r="D883" s="5" t="s">
        <v>167</v>
      </c>
      <c r="E883" s="7">
        <v>45520.53</v>
      </c>
      <c r="F883" s="7">
        <v>5264094</v>
      </c>
    </row>
    <row r="884" spans="1:6" x14ac:dyDescent="0.25">
      <c r="A884" s="17" t="s">
        <v>51</v>
      </c>
      <c r="B884" s="27" t="s">
        <v>383</v>
      </c>
      <c r="C884" s="19">
        <v>5.335</v>
      </c>
      <c r="D884" s="5" t="s">
        <v>167</v>
      </c>
      <c r="E884" s="7">
        <v>56201.8</v>
      </c>
      <c r="F884" s="7">
        <v>299859</v>
      </c>
    </row>
    <row r="885" spans="1:6" s="20" customFormat="1" x14ac:dyDescent="0.25">
      <c r="A885" s="21" t="s">
        <v>53</v>
      </c>
      <c r="B885" s="25" t="s">
        <v>390</v>
      </c>
      <c r="C885" s="23"/>
      <c r="D885" s="24"/>
      <c r="E885" s="23"/>
      <c r="F885" s="9">
        <f>F886+F887+F888+F889</f>
        <v>30714326</v>
      </c>
    </row>
    <row r="886" spans="1:6" x14ac:dyDescent="0.25">
      <c r="A886" s="17" t="s">
        <v>297</v>
      </c>
      <c r="B886" s="26" t="s">
        <v>391</v>
      </c>
      <c r="C886" s="19">
        <v>51.04</v>
      </c>
      <c r="D886" s="5" t="s">
        <v>167</v>
      </c>
      <c r="E886" s="7">
        <v>342098.29</v>
      </c>
      <c r="F886" s="7">
        <v>17460697</v>
      </c>
    </row>
    <row r="887" spans="1:6" x14ac:dyDescent="0.25">
      <c r="A887" s="17" t="s">
        <v>299</v>
      </c>
      <c r="B887" s="26" t="s">
        <v>392</v>
      </c>
      <c r="C887" s="19">
        <v>164.7</v>
      </c>
      <c r="D887" s="5" t="s">
        <v>170</v>
      </c>
      <c r="E887" s="7">
        <v>19268.19</v>
      </c>
      <c r="F887" s="7">
        <v>3173471</v>
      </c>
    </row>
    <row r="888" spans="1:6" x14ac:dyDescent="0.25">
      <c r="A888" s="17" t="s">
        <v>301</v>
      </c>
      <c r="B888" s="26" t="s">
        <v>480</v>
      </c>
      <c r="C888" s="19">
        <v>83.232</v>
      </c>
      <c r="D888" s="5" t="s">
        <v>167</v>
      </c>
      <c r="E888" s="7">
        <v>110928.31</v>
      </c>
      <c r="F888" s="7">
        <v>9232729</v>
      </c>
    </row>
    <row r="889" spans="1:6" x14ac:dyDescent="0.25">
      <c r="A889" s="17" t="s">
        <v>302</v>
      </c>
      <c r="B889" s="26" t="s">
        <v>394</v>
      </c>
      <c r="C889" s="19">
        <v>9.25</v>
      </c>
      <c r="D889" s="5" t="s">
        <v>170</v>
      </c>
      <c r="E889" s="7">
        <v>91613.93</v>
      </c>
      <c r="F889" s="7">
        <v>847429</v>
      </c>
    </row>
    <row r="890" spans="1:6" x14ac:dyDescent="0.25">
      <c r="A890" s="17" t="s">
        <v>55</v>
      </c>
      <c r="B890" s="27" t="s">
        <v>395</v>
      </c>
      <c r="C890" s="19">
        <v>58.798</v>
      </c>
      <c r="D890" s="5" t="s">
        <v>167</v>
      </c>
      <c r="E890" s="7">
        <v>241006.97</v>
      </c>
      <c r="F890" s="7">
        <v>14170728</v>
      </c>
    </row>
    <row r="891" spans="1:6" x14ac:dyDescent="0.25">
      <c r="A891" s="17" t="s">
        <v>57</v>
      </c>
      <c r="B891" s="27" t="s">
        <v>399</v>
      </c>
      <c r="C891" s="19">
        <v>35.896</v>
      </c>
      <c r="D891" s="5" t="s">
        <v>170</v>
      </c>
      <c r="E891" s="7">
        <v>214927.86</v>
      </c>
      <c r="F891" s="7">
        <v>7715051</v>
      </c>
    </row>
    <row r="892" spans="1:6" x14ac:dyDescent="0.25">
      <c r="A892" s="17" t="s">
        <v>59</v>
      </c>
      <c r="B892" s="27" t="s">
        <v>774</v>
      </c>
      <c r="C892" s="19">
        <v>10.769</v>
      </c>
      <c r="D892" s="5" t="s">
        <v>167</v>
      </c>
      <c r="E892" s="7">
        <v>99462.99</v>
      </c>
      <c r="F892" s="7">
        <v>1071097</v>
      </c>
    </row>
    <row r="893" spans="1:6" x14ac:dyDescent="0.25">
      <c r="A893" s="17" t="s">
        <v>61</v>
      </c>
      <c r="B893" s="27" t="s">
        <v>775</v>
      </c>
      <c r="C893" s="19">
        <v>4.644</v>
      </c>
      <c r="D893" s="5" t="s">
        <v>167</v>
      </c>
      <c r="E893" s="7">
        <v>2584499.76</v>
      </c>
      <c r="F893" s="7">
        <v>12001900</v>
      </c>
    </row>
    <row r="894" spans="1:6" x14ac:dyDescent="0.25">
      <c r="A894" s="17" t="s">
        <v>63</v>
      </c>
      <c r="B894" s="27" t="s">
        <v>776</v>
      </c>
      <c r="C894" s="19">
        <v>2.4</v>
      </c>
      <c r="D894" s="5" t="s">
        <v>167</v>
      </c>
      <c r="E894" s="7">
        <v>835849.05</v>
      </c>
      <c r="F894" s="7">
        <v>2006038</v>
      </c>
    </row>
    <row r="895" spans="1:6" x14ac:dyDescent="0.25">
      <c r="A895" s="17" t="s">
        <v>65</v>
      </c>
      <c r="B895" s="27" t="s">
        <v>777</v>
      </c>
      <c r="C895" s="19">
        <v>115.642</v>
      </c>
      <c r="D895" s="5" t="s">
        <v>167</v>
      </c>
      <c r="E895" s="7">
        <v>100014.84</v>
      </c>
      <c r="F895" s="7">
        <v>11565936</v>
      </c>
    </row>
    <row r="896" spans="1:6" x14ac:dyDescent="0.25">
      <c r="A896" s="17" t="s">
        <v>67</v>
      </c>
      <c r="B896" s="27" t="s">
        <v>601</v>
      </c>
      <c r="C896" s="19">
        <v>1</v>
      </c>
      <c r="D896" s="5" t="s">
        <v>240</v>
      </c>
      <c r="E896" s="7">
        <v>386714.63</v>
      </c>
      <c r="F896" s="7">
        <v>386715</v>
      </c>
    </row>
    <row r="897" spans="1:6" x14ac:dyDescent="0.25">
      <c r="A897" s="17" t="s">
        <v>69</v>
      </c>
      <c r="B897" s="27" t="s">
        <v>778</v>
      </c>
      <c r="C897" s="19">
        <v>11</v>
      </c>
      <c r="D897" s="5" t="s">
        <v>169</v>
      </c>
      <c r="E897" s="7">
        <v>156785.85</v>
      </c>
      <c r="F897" s="7">
        <v>1724644</v>
      </c>
    </row>
    <row r="898" spans="1:6" x14ac:dyDescent="0.25">
      <c r="A898" s="17" t="s">
        <v>71</v>
      </c>
      <c r="B898" s="27" t="s">
        <v>403</v>
      </c>
      <c r="C898" s="19">
        <v>6</v>
      </c>
      <c r="D898" s="5" t="s">
        <v>237</v>
      </c>
      <c r="E898" s="7">
        <v>424608.39</v>
      </c>
      <c r="F898" s="7">
        <v>2547650</v>
      </c>
    </row>
    <row r="899" spans="1:6" x14ac:dyDescent="0.25">
      <c r="A899" s="17" t="s">
        <v>73</v>
      </c>
      <c r="B899" s="27" t="s">
        <v>779</v>
      </c>
      <c r="C899" s="19">
        <v>4</v>
      </c>
      <c r="D899" s="5" t="s">
        <v>237</v>
      </c>
      <c r="E899" s="7">
        <v>230693.18</v>
      </c>
      <c r="F899" s="7">
        <v>922773</v>
      </c>
    </row>
    <row r="900" spans="1:6" x14ac:dyDescent="0.25">
      <c r="A900" s="17" t="s">
        <v>499</v>
      </c>
      <c r="B900" s="27" t="s">
        <v>780</v>
      </c>
      <c r="C900" s="19">
        <v>1</v>
      </c>
      <c r="D900" s="5" t="s">
        <v>237</v>
      </c>
      <c r="E900" s="7">
        <v>66848.01</v>
      </c>
      <c r="F900" s="7">
        <v>66848</v>
      </c>
    </row>
    <row r="901" spans="1:6" x14ac:dyDescent="0.25">
      <c r="A901" s="17" t="s">
        <v>501</v>
      </c>
      <c r="B901" s="27" t="s">
        <v>545</v>
      </c>
      <c r="C901" s="19">
        <v>4</v>
      </c>
      <c r="D901" s="5" t="s">
        <v>237</v>
      </c>
      <c r="E901" s="7">
        <v>55282.67</v>
      </c>
      <c r="F901" s="7">
        <v>221131</v>
      </c>
    </row>
    <row r="902" spans="1:6" x14ac:dyDescent="0.25">
      <c r="A902" s="17" t="s">
        <v>502</v>
      </c>
      <c r="B902" s="27" t="s">
        <v>542</v>
      </c>
      <c r="C902" s="19">
        <v>6</v>
      </c>
      <c r="D902" s="5" t="s">
        <v>169</v>
      </c>
      <c r="E902" s="7">
        <v>160506.41</v>
      </c>
      <c r="F902" s="7">
        <v>963038</v>
      </c>
    </row>
    <row r="903" spans="1:6" x14ac:dyDescent="0.25">
      <c r="A903" s="17" t="s">
        <v>546</v>
      </c>
      <c r="B903" s="27" t="s">
        <v>781</v>
      </c>
      <c r="C903" s="19">
        <v>1</v>
      </c>
      <c r="D903" s="5" t="s">
        <v>169</v>
      </c>
      <c r="E903" s="7">
        <v>230693.18</v>
      </c>
      <c r="F903" s="7">
        <v>230693</v>
      </c>
    </row>
    <row r="904" spans="1:6" s="10" customFormat="1" x14ac:dyDescent="0.25">
      <c r="A904" s="15" t="s">
        <v>28</v>
      </c>
      <c r="B904" s="16" t="s">
        <v>29</v>
      </c>
      <c r="C904" s="12"/>
      <c r="D904" s="11"/>
      <c r="E904" s="12"/>
      <c r="F904" s="14">
        <f>F905+F932+F951</f>
        <v>207900525</v>
      </c>
    </row>
    <row r="905" spans="1:6" s="20" customFormat="1" x14ac:dyDescent="0.25">
      <c r="A905" s="21" t="s">
        <v>133</v>
      </c>
      <c r="B905" s="22" t="s">
        <v>134</v>
      </c>
      <c r="C905" s="23"/>
      <c r="D905" s="24"/>
      <c r="E905" s="23"/>
      <c r="F905" s="9">
        <f>F906+F907+F908+F909+F910+F911+F912+F913+F914+F915+F919+F925</f>
        <v>127225502</v>
      </c>
    </row>
    <row r="906" spans="1:6" x14ac:dyDescent="0.25">
      <c r="A906" s="17" t="s">
        <v>45</v>
      </c>
      <c r="B906" s="27" t="s">
        <v>782</v>
      </c>
      <c r="C906" s="19">
        <v>66</v>
      </c>
      <c r="D906" s="5" t="s">
        <v>170</v>
      </c>
      <c r="E906" s="7">
        <v>5066.5</v>
      </c>
      <c r="F906" s="7">
        <v>334389</v>
      </c>
    </row>
    <row r="907" spans="1:6" x14ac:dyDescent="0.25">
      <c r="A907" s="17" t="s">
        <v>47</v>
      </c>
      <c r="B907" s="27" t="s">
        <v>783</v>
      </c>
      <c r="C907" s="19">
        <v>52.8</v>
      </c>
      <c r="D907" s="5" t="s">
        <v>267</v>
      </c>
      <c r="E907" s="7">
        <v>56660.36</v>
      </c>
      <c r="F907" s="7">
        <v>2991667</v>
      </c>
    </row>
    <row r="908" spans="1:6" x14ac:dyDescent="0.25">
      <c r="A908" s="17" t="s">
        <v>49</v>
      </c>
      <c r="B908" s="27" t="s">
        <v>784</v>
      </c>
      <c r="C908" s="19">
        <v>52.8</v>
      </c>
      <c r="D908" s="5" t="s">
        <v>267</v>
      </c>
      <c r="E908" s="7">
        <v>53756.99</v>
      </c>
      <c r="F908" s="7">
        <v>2838369</v>
      </c>
    </row>
    <row r="909" spans="1:6" x14ac:dyDescent="0.25">
      <c r="A909" s="17" t="s">
        <v>51</v>
      </c>
      <c r="B909" s="27" t="s">
        <v>785</v>
      </c>
      <c r="C909" s="19">
        <v>23.1</v>
      </c>
      <c r="D909" s="5" t="s">
        <v>267</v>
      </c>
      <c r="E909" s="7">
        <v>760000</v>
      </c>
      <c r="F909" s="7">
        <v>17556000</v>
      </c>
    </row>
    <row r="910" spans="1:6" x14ac:dyDescent="0.25">
      <c r="A910" s="17" t="s">
        <v>53</v>
      </c>
      <c r="B910" s="27" t="s">
        <v>786</v>
      </c>
      <c r="C910" s="19">
        <v>1.98</v>
      </c>
      <c r="D910" s="5" t="s">
        <v>267</v>
      </c>
      <c r="E910" s="7">
        <v>1016530.97</v>
      </c>
      <c r="F910" s="7">
        <v>2012731</v>
      </c>
    </row>
    <row r="911" spans="1:6" x14ac:dyDescent="0.25">
      <c r="A911" s="17" t="s">
        <v>55</v>
      </c>
      <c r="B911" s="27" t="s">
        <v>787</v>
      </c>
      <c r="C911" s="19">
        <v>36.36</v>
      </c>
      <c r="D911" s="5" t="s">
        <v>170</v>
      </c>
      <c r="E911" s="7">
        <v>200000</v>
      </c>
      <c r="F911" s="7">
        <v>7272000</v>
      </c>
    </row>
    <row r="912" spans="1:6" x14ac:dyDescent="0.25">
      <c r="A912" s="17" t="s">
        <v>57</v>
      </c>
      <c r="B912" s="27" t="s">
        <v>788</v>
      </c>
      <c r="C912" s="19">
        <v>26.4</v>
      </c>
      <c r="D912" s="5" t="s">
        <v>167</v>
      </c>
      <c r="E912" s="7">
        <v>54647.67</v>
      </c>
      <c r="F912" s="7">
        <v>1442699</v>
      </c>
    </row>
    <row r="913" spans="1:6" x14ac:dyDescent="0.25">
      <c r="A913" s="17" t="s">
        <v>59</v>
      </c>
      <c r="B913" s="27" t="s">
        <v>789</v>
      </c>
      <c r="C913" s="19">
        <v>26.4</v>
      </c>
      <c r="D913" s="5" t="s">
        <v>167</v>
      </c>
      <c r="E913" s="7">
        <v>45520.53</v>
      </c>
      <c r="F913" s="7">
        <v>1201742</v>
      </c>
    </row>
    <row r="914" spans="1:6" x14ac:dyDescent="0.25">
      <c r="A914" s="17" t="s">
        <v>61</v>
      </c>
      <c r="B914" s="27" t="s">
        <v>290</v>
      </c>
      <c r="C914" s="19">
        <v>132</v>
      </c>
      <c r="D914" s="5" t="s">
        <v>170</v>
      </c>
      <c r="E914" s="7">
        <v>54483.92</v>
      </c>
      <c r="F914" s="7">
        <v>7191877</v>
      </c>
    </row>
    <row r="915" spans="1:6" s="20" customFormat="1" x14ac:dyDescent="0.25">
      <c r="A915" s="21" t="s">
        <v>63</v>
      </c>
      <c r="B915" s="25" t="s">
        <v>790</v>
      </c>
      <c r="C915" s="23"/>
      <c r="D915" s="24"/>
      <c r="E915" s="23"/>
      <c r="F915" s="9">
        <f>F916+F917+F918</f>
        <v>16018444</v>
      </c>
    </row>
    <row r="916" spans="1:6" x14ac:dyDescent="0.25">
      <c r="A916" s="17" t="s">
        <v>238</v>
      </c>
      <c r="B916" s="26" t="s">
        <v>671</v>
      </c>
      <c r="C916" s="19">
        <v>18</v>
      </c>
      <c r="D916" s="5" t="s">
        <v>167</v>
      </c>
      <c r="E916" s="7">
        <v>222495.38</v>
      </c>
      <c r="F916" s="7">
        <v>4004917</v>
      </c>
    </row>
    <row r="917" spans="1:6" x14ac:dyDescent="0.25">
      <c r="A917" s="17" t="s">
        <v>241</v>
      </c>
      <c r="B917" s="26" t="s">
        <v>308</v>
      </c>
      <c r="C917" s="19">
        <v>462.6</v>
      </c>
      <c r="D917" s="5" t="s">
        <v>276</v>
      </c>
      <c r="E917" s="7">
        <v>19248.5</v>
      </c>
      <c r="F917" s="7">
        <v>8904356</v>
      </c>
    </row>
    <row r="918" spans="1:6" x14ac:dyDescent="0.25">
      <c r="A918" s="17" t="s">
        <v>243</v>
      </c>
      <c r="B918" s="26" t="s">
        <v>348</v>
      </c>
      <c r="C918" s="19">
        <v>2.7</v>
      </c>
      <c r="D918" s="5" t="s">
        <v>267</v>
      </c>
      <c r="E918" s="7">
        <v>1151545.01</v>
      </c>
      <c r="F918" s="7">
        <v>3109171</v>
      </c>
    </row>
    <row r="919" spans="1:6" s="20" customFormat="1" x14ac:dyDescent="0.25">
      <c r="A919" s="21" t="s">
        <v>65</v>
      </c>
      <c r="B919" s="25" t="s">
        <v>791</v>
      </c>
      <c r="C919" s="23"/>
      <c r="D919" s="24"/>
      <c r="E919" s="23"/>
      <c r="F919" s="9">
        <f>F920+F921+F922+F923+F924</f>
        <v>28878104</v>
      </c>
    </row>
    <row r="920" spans="1:6" x14ac:dyDescent="0.25">
      <c r="A920" s="17" t="s">
        <v>253</v>
      </c>
      <c r="B920" s="26" t="s">
        <v>783</v>
      </c>
      <c r="C920" s="19">
        <v>7.26</v>
      </c>
      <c r="D920" s="5" t="s">
        <v>267</v>
      </c>
      <c r="E920" s="7">
        <v>56660.36</v>
      </c>
      <c r="F920" s="7">
        <v>411354</v>
      </c>
    </row>
    <row r="921" spans="1:6" x14ac:dyDescent="0.25">
      <c r="A921" s="17" t="s">
        <v>255</v>
      </c>
      <c r="B921" s="26" t="s">
        <v>292</v>
      </c>
      <c r="C921" s="19">
        <v>28.8</v>
      </c>
      <c r="D921" s="5" t="s">
        <v>167</v>
      </c>
      <c r="E921" s="7">
        <v>246976.42</v>
      </c>
      <c r="F921" s="7">
        <v>7112921</v>
      </c>
    </row>
    <row r="922" spans="1:6" x14ac:dyDescent="0.25">
      <c r="A922" s="17" t="s">
        <v>363</v>
      </c>
      <c r="B922" s="26" t="s">
        <v>308</v>
      </c>
      <c r="C922" s="19">
        <v>221.92</v>
      </c>
      <c r="D922" s="5" t="s">
        <v>276</v>
      </c>
      <c r="E922" s="7">
        <v>13176.23</v>
      </c>
      <c r="F922" s="7">
        <v>2924069</v>
      </c>
    </row>
    <row r="923" spans="1:6" x14ac:dyDescent="0.25">
      <c r="A923" s="17" t="s">
        <v>364</v>
      </c>
      <c r="B923" s="26" t="s">
        <v>348</v>
      </c>
      <c r="C923" s="19">
        <v>2.11</v>
      </c>
      <c r="D923" s="5" t="s">
        <v>267</v>
      </c>
      <c r="E923" s="7">
        <v>1151545.01</v>
      </c>
      <c r="F923" s="7">
        <v>2429760</v>
      </c>
    </row>
    <row r="924" spans="1:6" x14ac:dyDescent="0.25">
      <c r="A924" s="17" t="s">
        <v>792</v>
      </c>
      <c r="B924" s="26" t="s">
        <v>793</v>
      </c>
      <c r="C924" s="19">
        <v>5</v>
      </c>
      <c r="D924" s="5" t="s">
        <v>169</v>
      </c>
      <c r="E924" s="7">
        <v>3200000</v>
      </c>
      <c r="F924" s="7">
        <v>16000000</v>
      </c>
    </row>
    <row r="925" spans="1:6" s="20" customFormat="1" x14ac:dyDescent="0.25">
      <c r="A925" s="21" t="s">
        <v>67</v>
      </c>
      <c r="B925" s="25" t="s">
        <v>794</v>
      </c>
      <c r="C925" s="23"/>
      <c r="D925" s="24"/>
      <c r="E925" s="23"/>
      <c r="F925" s="9">
        <f>F926+F927+F928+F929+F930+F931</f>
        <v>39487480</v>
      </c>
    </row>
    <row r="926" spans="1:6" x14ac:dyDescent="0.25">
      <c r="A926" s="17" t="s">
        <v>257</v>
      </c>
      <c r="B926" s="26" t="s">
        <v>783</v>
      </c>
      <c r="C926" s="19">
        <v>119.67</v>
      </c>
      <c r="D926" s="5" t="s">
        <v>267</v>
      </c>
      <c r="E926" s="7">
        <v>56660.36</v>
      </c>
      <c r="F926" s="7">
        <v>6780545</v>
      </c>
    </row>
    <row r="927" spans="1:6" x14ac:dyDescent="0.25">
      <c r="A927" s="17" t="s">
        <v>259</v>
      </c>
      <c r="B927" s="26" t="s">
        <v>388</v>
      </c>
      <c r="C927" s="19">
        <v>5.44</v>
      </c>
      <c r="D927" s="5" t="s">
        <v>267</v>
      </c>
      <c r="E927" s="7">
        <v>345522.98</v>
      </c>
      <c r="F927" s="7">
        <v>1879645</v>
      </c>
    </row>
    <row r="928" spans="1:6" x14ac:dyDescent="0.25">
      <c r="A928" s="17" t="s">
        <v>479</v>
      </c>
      <c r="B928" s="26" t="s">
        <v>706</v>
      </c>
      <c r="C928" s="19">
        <v>72.53</v>
      </c>
      <c r="D928" s="5" t="s">
        <v>167</v>
      </c>
      <c r="E928" s="7">
        <v>122466.89</v>
      </c>
      <c r="F928" s="7">
        <v>8882524</v>
      </c>
    </row>
    <row r="929" spans="1:6" x14ac:dyDescent="0.25">
      <c r="A929" s="17" t="s">
        <v>481</v>
      </c>
      <c r="B929" s="26" t="s">
        <v>158</v>
      </c>
      <c r="C929" s="19">
        <v>188.33</v>
      </c>
      <c r="D929" s="5" t="s">
        <v>167</v>
      </c>
      <c r="E929" s="7">
        <v>54647.67</v>
      </c>
      <c r="F929" s="7">
        <v>10291796</v>
      </c>
    </row>
    <row r="930" spans="1:6" x14ac:dyDescent="0.25">
      <c r="A930" s="17" t="s">
        <v>795</v>
      </c>
      <c r="B930" s="26" t="s">
        <v>789</v>
      </c>
      <c r="C930" s="19">
        <v>188.33</v>
      </c>
      <c r="D930" s="5" t="s">
        <v>167</v>
      </c>
      <c r="E930" s="7">
        <v>45520.53</v>
      </c>
      <c r="F930" s="7">
        <v>8572881</v>
      </c>
    </row>
    <row r="931" spans="1:6" x14ac:dyDescent="0.25">
      <c r="A931" s="17" t="s">
        <v>796</v>
      </c>
      <c r="B931" s="26" t="s">
        <v>797</v>
      </c>
      <c r="C931" s="19">
        <v>3.03</v>
      </c>
      <c r="D931" s="5" t="s">
        <v>267</v>
      </c>
      <c r="E931" s="7">
        <v>1016530.97</v>
      </c>
      <c r="F931" s="7">
        <v>3080089</v>
      </c>
    </row>
    <row r="932" spans="1:6" s="20" customFormat="1" x14ac:dyDescent="0.25">
      <c r="A932" s="21" t="s">
        <v>135</v>
      </c>
      <c r="B932" s="22" t="s">
        <v>136</v>
      </c>
      <c r="C932" s="23"/>
      <c r="D932" s="24"/>
      <c r="E932" s="23"/>
      <c r="F932" s="9">
        <f>F933+F934+F935+F936+F937+F938+F939</f>
        <v>11082555</v>
      </c>
    </row>
    <row r="933" spans="1:6" x14ac:dyDescent="0.25">
      <c r="A933" s="17" t="s">
        <v>45</v>
      </c>
      <c r="B933" s="27" t="s">
        <v>798</v>
      </c>
      <c r="C933" s="19">
        <v>4</v>
      </c>
      <c r="D933" s="5" t="s">
        <v>170</v>
      </c>
      <c r="E933" s="7">
        <v>5066.5</v>
      </c>
      <c r="F933" s="7">
        <v>20266</v>
      </c>
    </row>
    <row r="934" spans="1:6" x14ac:dyDescent="0.25">
      <c r="A934" s="17" t="s">
        <v>47</v>
      </c>
      <c r="B934" s="27" t="s">
        <v>799</v>
      </c>
      <c r="C934" s="19">
        <v>4.8</v>
      </c>
      <c r="D934" s="5" t="s">
        <v>267</v>
      </c>
      <c r="E934" s="7">
        <v>53756.99</v>
      </c>
      <c r="F934" s="7">
        <v>258034</v>
      </c>
    </row>
    <row r="935" spans="1:6" x14ac:dyDescent="0.25">
      <c r="A935" s="17" t="s">
        <v>49</v>
      </c>
      <c r="B935" s="27" t="s">
        <v>800</v>
      </c>
      <c r="C935" s="19">
        <v>7.2</v>
      </c>
      <c r="D935" s="5" t="s">
        <v>267</v>
      </c>
      <c r="E935" s="7">
        <v>364825.99</v>
      </c>
      <c r="F935" s="7">
        <v>2626747</v>
      </c>
    </row>
    <row r="936" spans="1:6" x14ac:dyDescent="0.25">
      <c r="A936" s="17" t="s">
        <v>51</v>
      </c>
      <c r="B936" s="27" t="s">
        <v>100</v>
      </c>
      <c r="C936" s="19">
        <v>2.4</v>
      </c>
      <c r="D936" s="5" t="s">
        <v>267</v>
      </c>
      <c r="E936" s="7">
        <v>190415.6</v>
      </c>
      <c r="F936" s="7">
        <v>456997</v>
      </c>
    </row>
    <row r="937" spans="1:6" x14ac:dyDescent="0.25">
      <c r="A937" s="17" t="s">
        <v>53</v>
      </c>
      <c r="B937" s="27" t="s">
        <v>101</v>
      </c>
      <c r="C937" s="19">
        <v>2.4</v>
      </c>
      <c r="D937" s="5" t="s">
        <v>267</v>
      </c>
      <c r="E937" s="7">
        <v>53756.99</v>
      </c>
      <c r="F937" s="7">
        <v>129017</v>
      </c>
    </row>
    <row r="938" spans="1:6" x14ac:dyDescent="0.25">
      <c r="A938" s="17" t="s">
        <v>55</v>
      </c>
      <c r="B938" s="27" t="s">
        <v>440</v>
      </c>
      <c r="C938" s="19">
        <v>1.2</v>
      </c>
      <c r="D938" s="5" t="s">
        <v>267</v>
      </c>
      <c r="E938" s="7">
        <v>1016530.97</v>
      </c>
      <c r="F938" s="7">
        <v>1219837</v>
      </c>
    </row>
    <row r="939" spans="1:6" s="20" customFormat="1" x14ac:dyDescent="0.25">
      <c r="A939" s="21" t="s">
        <v>57</v>
      </c>
      <c r="B939" s="25" t="s">
        <v>801</v>
      </c>
      <c r="C939" s="23"/>
      <c r="D939" s="24"/>
      <c r="E939" s="23"/>
      <c r="F939" s="9">
        <f>F940+F941+F942+F943+F944+F945+F946+F947+F948+F949+F950</f>
        <v>6371657</v>
      </c>
    </row>
    <row r="940" spans="1:6" x14ac:dyDescent="0.25">
      <c r="A940" s="17" t="s">
        <v>314</v>
      </c>
      <c r="B940" s="26" t="s">
        <v>292</v>
      </c>
      <c r="C940" s="19">
        <v>1.2</v>
      </c>
      <c r="D940" s="5" t="s">
        <v>167</v>
      </c>
      <c r="E940" s="7">
        <v>246976.42</v>
      </c>
      <c r="F940" s="7">
        <v>296372</v>
      </c>
    </row>
    <row r="941" spans="1:6" x14ac:dyDescent="0.25">
      <c r="A941" s="17" t="s">
        <v>316</v>
      </c>
      <c r="B941" s="26" t="s">
        <v>802</v>
      </c>
      <c r="C941" s="19">
        <v>24.8</v>
      </c>
      <c r="D941" s="5" t="s">
        <v>167</v>
      </c>
      <c r="E941" s="7">
        <v>24279.27</v>
      </c>
      <c r="F941" s="7">
        <v>602126</v>
      </c>
    </row>
    <row r="942" spans="1:6" x14ac:dyDescent="0.25">
      <c r="A942" s="17" t="s">
        <v>318</v>
      </c>
      <c r="B942" s="26" t="s">
        <v>803</v>
      </c>
      <c r="C942" s="19">
        <v>0.462</v>
      </c>
      <c r="D942" s="5" t="s">
        <v>276</v>
      </c>
      <c r="E942" s="7">
        <v>795247.21</v>
      </c>
      <c r="F942" s="7">
        <v>367404</v>
      </c>
    </row>
    <row r="943" spans="1:6" x14ac:dyDescent="0.25">
      <c r="A943" s="17" t="s">
        <v>320</v>
      </c>
      <c r="B943" s="26" t="s">
        <v>804</v>
      </c>
      <c r="C943" s="19">
        <v>14.4</v>
      </c>
      <c r="D943" s="5" t="s">
        <v>167</v>
      </c>
      <c r="E943" s="7">
        <v>11356.33</v>
      </c>
      <c r="F943" s="7">
        <v>163531</v>
      </c>
    </row>
    <row r="944" spans="1:6" x14ac:dyDescent="0.25">
      <c r="A944" s="17" t="s">
        <v>318</v>
      </c>
      <c r="B944" s="26" t="s">
        <v>805</v>
      </c>
      <c r="C944" s="19">
        <v>0</v>
      </c>
      <c r="D944" s="5" t="s">
        <v>485</v>
      </c>
      <c r="E944" s="7">
        <v>0</v>
      </c>
      <c r="F944" s="7">
        <v>0</v>
      </c>
    </row>
    <row r="945" spans="1:6" x14ac:dyDescent="0.25">
      <c r="A945" s="17" t="s">
        <v>806</v>
      </c>
      <c r="B945" s="26" t="s">
        <v>807</v>
      </c>
      <c r="C945" s="19">
        <v>6.31</v>
      </c>
      <c r="D945" s="5" t="s">
        <v>276</v>
      </c>
      <c r="E945" s="7">
        <v>19248.5</v>
      </c>
      <c r="F945" s="7">
        <v>121458</v>
      </c>
    </row>
    <row r="946" spans="1:6" x14ac:dyDescent="0.25">
      <c r="A946" s="17" t="s">
        <v>808</v>
      </c>
      <c r="B946" s="26" t="s">
        <v>809</v>
      </c>
      <c r="C946" s="19">
        <v>4.7</v>
      </c>
      <c r="D946" s="5" t="s">
        <v>276</v>
      </c>
      <c r="E946" s="7">
        <v>19248.5</v>
      </c>
      <c r="F946" s="7">
        <v>90468</v>
      </c>
    </row>
    <row r="947" spans="1:6" x14ac:dyDescent="0.25">
      <c r="A947" s="17" t="s">
        <v>320</v>
      </c>
      <c r="B947" s="26" t="s">
        <v>810</v>
      </c>
      <c r="C947" s="19">
        <v>10.21</v>
      </c>
      <c r="D947" s="5" t="s">
        <v>276</v>
      </c>
      <c r="E947" s="7">
        <v>19248.5</v>
      </c>
      <c r="F947" s="7">
        <v>196527</v>
      </c>
    </row>
    <row r="948" spans="1:6" x14ac:dyDescent="0.25">
      <c r="A948" s="17" t="s">
        <v>321</v>
      </c>
      <c r="B948" s="26" t="s">
        <v>811</v>
      </c>
      <c r="C948" s="19">
        <v>5.6</v>
      </c>
      <c r="D948" s="5" t="s">
        <v>170</v>
      </c>
      <c r="E948" s="7">
        <v>43447.23</v>
      </c>
      <c r="F948" s="7">
        <v>243305</v>
      </c>
    </row>
    <row r="949" spans="1:6" x14ac:dyDescent="0.25">
      <c r="A949" s="17" t="s">
        <v>318</v>
      </c>
      <c r="B949" s="26" t="s">
        <v>812</v>
      </c>
      <c r="C949" s="19">
        <v>3.6</v>
      </c>
      <c r="D949" s="5" t="s">
        <v>267</v>
      </c>
      <c r="E949" s="7">
        <v>1151545.01</v>
      </c>
      <c r="F949" s="7">
        <v>4145562</v>
      </c>
    </row>
    <row r="950" spans="1:6" x14ac:dyDescent="0.25">
      <c r="A950" s="17" t="s">
        <v>320</v>
      </c>
      <c r="B950" s="26" t="s">
        <v>313</v>
      </c>
      <c r="C950" s="19">
        <v>3.6</v>
      </c>
      <c r="D950" s="5" t="s">
        <v>267</v>
      </c>
      <c r="E950" s="7">
        <v>40251.08</v>
      </c>
      <c r="F950" s="7">
        <v>144904</v>
      </c>
    </row>
    <row r="951" spans="1:6" s="20" customFormat="1" x14ac:dyDescent="0.25">
      <c r="A951" s="21" t="s">
        <v>137</v>
      </c>
      <c r="B951" s="22" t="s">
        <v>138</v>
      </c>
      <c r="C951" s="23"/>
      <c r="D951" s="24"/>
      <c r="E951" s="23"/>
      <c r="F951" s="9">
        <f>F952+F953+F954+F955+F956+F957+F958</f>
        <v>69592468</v>
      </c>
    </row>
    <row r="952" spans="1:6" x14ac:dyDescent="0.25">
      <c r="A952" s="17" t="s">
        <v>45</v>
      </c>
      <c r="B952" s="27" t="s">
        <v>813</v>
      </c>
      <c r="C952" s="19">
        <v>9.1</v>
      </c>
      <c r="D952" s="5" t="s">
        <v>267</v>
      </c>
      <c r="E952" s="7">
        <v>56660.36</v>
      </c>
      <c r="F952" s="7">
        <v>515609</v>
      </c>
    </row>
    <row r="953" spans="1:6" x14ac:dyDescent="0.25">
      <c r="A953" s="17" t="s">
        <v>47</v>
      </c>
      <c r="B953" s="27" t="s">
        <v>102</v>
      </c>
      <c r="C953" s="19">
        <v>4.55</v>
      </c>
      <c r="D953" s="5" t="s">
        <v>267</v>
      </c>
      <c r="E953" s="7">
        <v>345522.98</v>
      </c>
      <c r="F953" s="7">
        <v>1572130</v>
      </c>
    </row>
    <row r="954" spans="1:6" x14ac:dyDescent="0.25">
      <c r="A954" s="17" t="s">
        <v>49</v>
      </c>
      <c r="B954" s="27" t="s">
        <v>814</v>
      </c>
      <c r="C954" s="19">
        <v>145</v>
      </c>
      <c r="D954" s="5" t="s">
        <v>170</v>
      </c>
      <c r="E954" s="7">
        <v>287459.63</v>
      </c>
      <c r="F954" s="7">
        <v>41681646</v>
      </c>
    </row>
    <row r="955" spans="1:6" x14ac:dyDescent="0.25">
      <c r="A955" s="17" t="s">
        <v>51</v>
      </c>
      <c r="B955" s="27" t="s">
        <v>815</v>
      </c>
      <c r="C955" s="19">
        <v>10.92</v>
      </c>
      <c r="D955" s="5" t="s">
        <v>267</v>
      </c>
      <c r="E955" s="7">
        <v>124258.76</v>
      </c>
      <c r="F955" s="7">
        <v>1356906</v>
      </c>
    </row>
    <row r="956" spans="1:6" x14ac:dyDescent="0.25">
      <c r="A956" s="17" t="s">
        <v>53</v>
      </c>
      <c r="B956" s="27" t="s">
        <v>323</v>
      </c>
      <c r="C956" s="19">
        <v>6.37</v>
      </c>
      <c r="D956" s="5" t="s">
        <v>267</v>
      </c>
      <c r="E956" s="7">
        <v>345522.98</v>
      </c>
      <c r="F956" s="7">
        <v>2200981</v>
      </c>
    </row>
    <row r="957" spans="1:6" x14ac:dyDescent="0.25">
      <c r="A957" s="17" t="s">
        <v>55</v>
      </c>
      <c r="B957" s="27" t="s">
        <v>816</v>
      </c>
      <c r="C957" s="19">
        <v>6.37</v>
      </c>
      <c r="D957" s="5" t="s">
        <v>267</v>
      </c>
      <c r="E957" s="7">
        <v>53756.99</v>
      </c>
      <c r="F957" s="7">
        <v>342432</v>
      </c>
    </row>
    <row r="958" spans="1:6" x14ac:dyDescent="0.25">
      <c r="A958" s="17" t="s">
        <v>57</v>
      </c>
      <c r="B958" s="27" t="s">
        <v>817</v>
      </c>
      <c r="C958" s="19">
        <v>91</v>
      </c>
      <c r="D958" s="5" t="s">
        <v>167</v>
      </c>
      <c r="E958" s="7">
        <v>240909.49</v>
      </c>
      <c r="F958" s="7">
        <v>21922764</v>
      </c>
    </row>
    <row r="959" spans="1:6" s="10" customFormat="1" x14ac:dyDescent="0.25">
      <c r="A959" s="15" t="s">
        <v>30</v>
      </c>
      <c r="B959" s="16" t="s">
        <v>31</v>
      </c>
      <c r="C959" s="12"/>
      <c r="D959" s="11"/>
      <c r="E959" s="12"/>
      <c r="F959" s="14">
        <f>F960+F961+F962+F963+F964</f>
        <v>10495186</v>
      </c>
    </row>
    <row r="960" spans="1:6" x14ac:dyDescent="0.25">
      <c r="A960" s="17" t="s">
        <v>45</v>
      </c>
      <c r="B960" s="18" t="s">
        <v>140</v>
      </c>
      <c r="C960" s="19">
        <v>442</v>
      </c>
      <c r="D960" s="5" t="s">
        <v>167</v>
      </c>
      <c r="E960" s="7">
        <v>10015.24</v>
      </c>
      <c r="F960" s="7">
        <v>4426736</v>
      </c>
    </row>
    <row r="961" spans="1:6" x14ac:dyDescent="0.25">
      <c r="A961" s="17" t="s">
        <v>47</v>
      </c>
      <c r="B961" s="18" t="s">
        <v>141</v>
      </c>
      <c r="C961" s="19">
        <v>2</v>
      </c>
      <c r="D961" s="5" t="s">
        <v>818</v>
      </c>
      <c r="E961" s="7">
        <v>832939.96</v>
      </c>
      <c r="F961" s="7">
        <v>1665880</v>
      </c>
    </row>
    <row r="962" spans="1:6" x14ac:dyDescent="0.25">
      <c r="A962" s="17" t="s">
        <v>49</v>
      </c>
      <c r="B962" s="18" t="s">
        <v>142</v>
      </c>
      <c r="C962" s="19">
        <v>2</v>
      </c>
      <c r="D962" s="5" t="s">
        <v>818</v>
      </c>
      <c r="E962" s="7">
        <v>701342.5</v>
      </c>
      <c r="F962" s="7">
        <v>1402685</v>
      </c>
    </row>
    <row r="963" spans="1:6" x14ac:dyDescent="0.25">
      <c r="A963" s="17" t="s">
        <v>51</v>
      </c>
      <c r="B963" s="18" t="s">
        <v>143</v>
      </c>
      <c r="C963" s="19">
        <v>2</v>
      </c>
      <c r="D963" s="5" t="s">
        <v>818</v>
      </c>
      <c r="E963" s="7">
        <v>713609.08</v>
      </c>
      <c r="F963" s="7">
        <v>1427218</v>
      </c>
    </row>
    <row r="964" spans="1:6" x14ac:dyDescent="0.25">
      <c r="A964" s="17" t="s">
        <v>53</v>
      </c>
      <c r="B964" s="18" t="s">
        <v>144</v>
      </c>
      <c r="C964" s="19">
        <v>2</v>
      </c>
      <c r="D964" s="5" t="s">
        <v>818</v>
      </c>
      <c r="E964" s="7">
        <v>786333.46</v>
      </c>
      <c r="F964" s="7">
        <v>1572667</v>
      </c>
    </row>
    <row r="965" spans="1:6" s="10" customFormat="1" x14ac:dyDescent="0.25">
      <c r="A965" s="15" t="s">
        <v>32</v>
      </c>
      <c r="B965" s="16" t="s">
        <v>33</v>
      </c>
      <c r="C965" s="12"/>
      <c r="D965" s="11"/>
      <c r="E965" s="12"/>
      <c r="F965" s="14">
        <f>F966+F967</f>
        <v>115569525</v>
      </c>
    </row>
    <row r="966" spans="1:6" x14ac:dyDescent="0.25">
      <c r="A966" s="17" t="s">
        <v>45</v>
      </c>
      <c r="B966" s="18" t="s">
        <v>146</v>
      </c>
      <c r="C966" s="19">
        <v>411.4</v>
      </c>
      <c r="D966" s="5" t="s">
        <v>267</v>
      </c>
      <c r="E966" s="7">
        <v>124258.76</v>
      </c>
      <c r="F966" s="7">
        <v>51120054</v>
      </c>
    </row>
    <row r="967" spans="1:6" x14ac:dyDescent="0.25">
      <c r="A967" s="17" t="s">
        <v>47</v>
      </c>
      <c r="B967" s="18" t="s">
        <v>147</v>
      </c>
      <c r="C967" s="19">
        <v>411.4</v>
      </c>
      <c r="D967" s="5" t="s">
        <v>267</v>
      </c>
      <c r="E967" s="7">
        <v>156658.9</v>
      </c>
      <c r="F967" s="7">
        <v>64449471</v>
      </c>
    </row>
    <row r="968" spans="1:6" s="10" customFormat="1" x14ac:dyDescent="0.25">
      <c r="A968" s="15" t="s">
        <v>34</v>
      </c>
      <c r="B968" s="16" t="s">
        <v>35</v>
      </c>
      <c r="C968" s="12"/>
      <c r="D968" s="11"/>
      <c r="E968" s="12"/>
      <c r="F968" s="14">
        <f>F969+F1059+F1082</f>
        <v>318286865</v>
      </c>
    </row>
    <row r="969" spans="1:6" s="20" customFormat="1" x14ac:dyDescent="0.25">
      <c r="A969" s="21" t="s">
        <v>149</v>
      </c>
      <c r="B969" s="22" t="s">
        <v>85</v>
      </c>
      <c r="C969" s="23"/>
      <c r="D969" s="24"/>
      <c r="E969" s="23"/>
      <c r="F969" s="9">
        <f>F970+F971+F979+F984+F985+F990+F995+F1002+F1009+F1014+F1019+F1024+F1029+F1034+F1039+F1050</f>
        <v>145211050</v>
      </c>
    </row>
    <row r="970" spans="1:6" x14ac:dyDescent="0.25">
      <c r="A970" s="17" t="s">
        <v>45</v>
      </c>
      <c r="B970" s="27" t="s">
        <v>153</v>
      </c>
      <c r="C970" s="19">
        <v>48.2</v>
      </c>
      <c r="D970" s="5" t="s">
        <v>170</v>
      </c>
      <c r="E970" s="7">
        <v>147990.68</v>
      </c>
      <c r="F970" s="7">
        <v>7133151</v>
      </c>
    </row>
    <row r="971" spans="1:6" s="20" customFormat="1" x14ac:dyDescent="0.25">
      <c r="A971" s="21" t="s">
        <v>47</v>
      </c>
      <c r="B971" s="25" t="s">
        <v>322</v>
      </c>
      <c r="C971" s="23"/>
      <c r="D971" s="24"/>
      <c r="E971" s="23"/>
      <c r="F971" s="9">
        <f>F972+F973+F974+F975+F976+F977+F978</f>
        <v>8860442</v>
      </c>
    </row>
    <row r="972" spans="1:6" x14ac:dyDescent="0.25">
      <c r="A972" s="17" t="s">
        <v>272</v>
      </c>
      <c r="B972" s="26" t="s">
        <v>266</v>
      </c>
      <c r="C972" s="19">
        <v>9.6</v>
      </c>
      <c r="D972" s="5" t="s">
        <v>267</v>
      </c>
      <c r="E972" s="7">
        <v>56660.36</v>
      </c>
      <c r="F972" s="7">
        <v>543940</v>
      </c>
    </row>
    <row r="973" spans="1:6" x14ac:dyDescent="0.25">
      <c r="A973" s="17" t="s">
        <v>274</v>
      </c>
      <c r="B973" s="26" t="s">
        <v>323</v>
      </c>
      <c r="C973" s="19">
        <v>0.56</v>
      </c>
      <c r="D973" s="5" t="s">
        <v>267</v>
      </c>
      <c r="E973" s="7">
        <v>345522.98</v>
      </c>
      <c r="F973" s="7">
        <v>193493</v>
      </c>
    </row>
    <row r="974" spans="1:6" x14ac:dyDescent="0.25">
      <c r="A974" s="17" t="s">
        <v>277</v>
      </c>
      <c r="B974" s="26" t="s">
        <v>324</v>
      </c>
      <c r="C974" s="19">
        <v>0.24</v>
      </c>
      <c r="D974" s="5" t="s">
        <v>267</v>
      </c>
      <c r="E974" s="7">
        <v>1016530.97</v>
      </c>
      <c r="F974" s="7">
        <v>243968</v>
      </c>
    </row>
    <row r="975" spans="1:6" x14ac:dyDescent="0.25">
      <c r="A975" s="17" t="s">
        <v>279</v>
      </c>
      <c r="B975" s="26" t="s">
        <v>325</v>
      </c>
      <c r="C975" s="19">
        <v>9.6</v>
      </c>
      <c r="D975" s="5" t="s">
        <v>167</v>
      </c>
      <c r="E975" s="7">
        <v>130392.01</v>
      </c>
      <c r="F975" s="7">
        <v>1251763</v>
      </c>
    </row>
    <row r="976" spans="1:6" x14ac:dyDescent="0.25">
      <c r="A976" s="17" t="s">
        <v>326</v>
      </c>
      <c r="B976" s="26" t="s">
        <v>447</v>
      </c>
      <c r="C976" s="19">
        <v>44.39</v>
      </c>
      <c r="D976" s="5" t="s">
        <v>276</v>
      </c>
      <c r="E976" s="7">
        <v>13176.23</v>
      </c>
      <c r="F976" s="7">
        <v>584893</v>
      </c>
    </row>
    <row r="977" spans="1:6" x14ac:dyDescent="0.25">
      <c r="A977" s="17" t="s">
        <v>328</v>
      </c>
      <c r="B977" s="26" t="s">
        <v>374</v>
      </c>
      <c r="C977" s="19">
        <v>1.54</v>
      </c>
      <c r="D977" s="5" t="s">
        <v>267</v>
      </c>
      <c r="E977" s="7">
        <v>1151545.01</v>
      </c>
      <c r="F977" s="7">
        <v>1773379</v>
      </c>
    </row>
    <row r="978" spans="1:6" x14ac:dyDescent="0.25">
      <c r="A978" s="17" t="s">
        <v>330</v>
      </c>
      <c r="B978" s="26" t="s">
        <v>298</v>
      </c>
      <c r="C978" s="19">
        <v>160</v>
      </c>
      <c r="D978" s="5" t="s">
        <v>170</v>
      </c>
      <c r="E978" s="7">
        <v>26681.29</v>
      </c>
      <c r="F978" s="7">
        <v>4269006</v>
      </c>
    </row>
    <row r="979" spans="1:6" s="20" customFormat="1" x14ac:dyDescent="0.25">
      <c r="A979" s="21" t="s">
        <v>49</v>
      </c>
      <c r="B979" s="25" t="s">
        <v>331</v>
      </c>
      <c r="C979" s="23"/>
      <c r="D979" s="24"/>
      <c r="E979" s="23"/>
      <c r="F979" s="9">
        <f>F980+F981+F982+F983</f>
        <v>22537676</v>
      </c>
    </row>
    <row r="980" spans="1:6" x14ac:dyDescent="0.25">
      <c r="A980" s="17" t="s">
        <v>281</v>
      </c>
      <c r="B980" s="26" t="s">
        <v>819</v>
      </c>
      <c r="C980" s="19">
        <v>37.58</v>
      </c>
      <c r="D980" s="5" t="s">
        <v>267</v>
      </c>
      <c r="E980" s="7">
        <v>56660.36</v>
      </c>
      <c r="F980" s="7">
        <v>2129296</v>
      </c>
    </row>
    <row r="981" spans="1:6" x14ac:dyDescent="0.25">
      <c r="A981" s="17" t="s">
        <v>282</v>
      </c>
      <c r="B981" s="26" t="s">
        <v>333</v>
      </c>
      <c r="C981" s="19">
        <v>0</v>
      </c>
      <c r="D981" s="5" t="s">
        <v>170</v>
      </c>
      <c r="E981" s="7">
        <v>26681.29</v>
      </c>
      <c r="F981" s="7">
        <v>0</v>
      </c>
    </row>
    <row r="982" spans="1:6" x14ac:dyDescent="0.25">
      <c r="A982" s="17" t="s">
        <v>284</v>
      </c>
      <c r="B982" s="26" t="s">
        <v>334</v>
      </c>
      <c r="C982" s="19">
        <v>3.02</v>
      </c>
      <c r="D982" s="5" t="s">
        <v>267</v>
      </c>
      <c r="E982" s="7">
        <v>345522.98</v>
      </c>
      <c r="F982" s="7">
        <v>1043480</v>
      </c>
    </row>
    <row r="983" spans="1:6" x14ac:dyDescent="0.25">
      <c r="A983" s="17" t="s">
        <v>286</v>
      </c>
      <c r="B983" s="26" t="s">
        <v>335</v>
      </c>
      <c r="C983" s="19">
        <v>23.76</v>
      </c>
      <c r="D983" s="5" t="s">
        <v>267</v>
      </c>
      <c r="E983" s="7">
        <v>815021.06</v>
      </c>
      <c r="F983" s="7">
        <v>19364900</v>
      </c>
    </row>
    <row r="984" spans="1:6" x14ac:dyDescent="0.25">
      <c r="A984" s="17" t="s">
        <v>51</v>
      </c>
      <c r="B984" s="27" t="s">
        <v>336</v>
      </c>
      <c r="C984" s="19">
        <v>16.65</v>
      </c>
      <c r="D984" s="5" t="s">
        <v>276</v>
      </c>
      <c r="E984" s="7">
        <v>13176.23</v>
      </c>
      <c r="F984" s="7">
        <v>219384</v>
      </c>
    </row>
    <row r="985" spans="1:6" s="20" customFormat="1" x14ac:dyDescent="0.25">
      <c r="A985" s="21" t="s">
        <v>53</v>
      </c>
      <c r="B985" s="25" t="s">
        <v>337</v>
      </c>
      <c r="C985" s="23"/>
      <c r="D985" s="24"/>
      <c r="E985" s="23"/>
      <c r="F985" s="9">
        <f>F986+F987+F988+F989</f>
        <v>16835543</v>
      </c>
    </row>
    <row r="986" spans="1:6" x14ac:dyDescent="0.25">
      <c r="A986" s="17" t="s">
        <v>297</v>
      </c>
      <c r="B986" s="26" t="s">
        <v>292</v>
      </c>
      <c r="C986" s="19">
        <v>32.4</v>
      </c>
      <c r="D986" s="5" t="s">
        <v>167</v>
      </c>
      <c r="E986" s="7">
        <v>246976.42</v>
      </c>
      <c r="F986" s="7">
        <v>8002036</v>
      </c>
    </row>
    <row r="987" spans="1:6" x14ac:dyDescent="0.25">
      <c r="A987" s="17" t="s">
        <v>299</v>
      </c>
      <c r="B987" s="26" t="s">
        <v>338</v>
      </c>
      <c r="C987" s="19">
        <v>166.46</v>
      </c>
      <c r="D987" s="5" t="s">
        <v>276</v>
      </c>
      <c r="E987" s="7">
        <v>13176.23</v>
      </c>
      <c r="F987" s="7">
        <v>2193315</v>
      </c>
    </row>
    <row r="988" spans="1:6" x14ac:dyDescent="0.25">
      <c r="A988" s="17" t="s">
        <v>301</v>
      </c>
      <c r="B988" s="26" t="s">
        <v>372</v>
      </c>
      <c r="C988" s="19">
        <v>150</v>
      </c>
      <c r="D988" s="5" t="s">
        <v>276</v>
      </c>
      <c r="E988" s="7">
        <v>13176.23</v>
      </c>
      <c r="F988" s="7">
        <v>1976435</v>
      </c>
    </row>
    <row r="989" spans="1:6" x14ac:dyDescent="0.25">
      <c r="A989" s="17" t="s">
        <v>302</v>
      </c>
      <c r="B989" s="26" t="s">
        <v>374</v>
      </c>
      <c r="C989" s="19">
        <v>4.05</v>
      </c>
      <c r="D989" s="5" t="s">
        <v>267</v>
      </c>
      <c r="E989" s="7">
        <v>1151545.01</v>
      </c>
      <c r="F989" s="7">
        <v>4663757</v>
      </c>
    </row>
    <row r="990" spans="1:6" s="20" customFormat="1" x14ac:dyDescent="0.25">
      <c r="A990" s="21" t="s">
        <v>55</v>
      </c>
      <c r="B990" s="25" t="s">
        <v>739</v>
      </c>
      <c r="C990" s="23"/>
      <c r="D990" s="24"/>
      <c r="E990" s="23"/>
      <c r="F990" s="9">
        <f>F991+F992+F993+F994</f>
        <v>11964236</v>
      </c>
    </row>
    <row r="991" spans="1:6" x14ac:dyDescent="0.25">
      <c r="A991" s="17" t="s">
        <v>303</v>
      </c>
      <c r="B991" s="26" t="s">
        <v>292</v>
      </c>
      <c r="C991" s="19">
        <v>0.16</v>
      </c>
      <c r="D991" s="5" t="s">
        <v>167</v>
      </c>
      <c r="E991" s="7">
        <v>246976.42</v>
      </c>
      <c r="F991" s="7">
        <v>39516</v>
      </c>
    </row>
    <row r="992" spans="1:6" x14ac:dyDescent="0.25">
      <c r="A992" s="17" t="s">
        <v>305</v>
      </c>
      <c r="B992" s="26" t="s">
        <v>362</v>
      </c>
      <c r="C992" s="19">
        <v>2.14</v>
      </c>
      <c r="D992" s="5" t="s">
        <v>276</v>
      </c>
      <c r="E992" s="7">
        <v>13176.23</v>
      </c>
      <c r="F992" s="7">
        <v>28197</v>
      </c>
    </row>
    <row r="993" spans="1:6" x14ac:dyDescent="0.25">
      <c r="A993" s="17" t="s">
        <v>306</v>
      </c>
      <c r="B993" s="26" t="s">
        <v>372</v>
      </c>
      <c r="C993" s="19">
        <v>13.19</v>
      </c>
      <c r="D993" s="5" t="s">
        <v>276</v>
      </c>
      <c r="E993" s="7">
        <v>13176.23</v>
      </c>
      <c r="F993" s="7">
        <v>173795</v>
      </c>
    </row>
    <row r="994" spans="1:6" x14ac:dyDescent="0.25">
      <c r="A994" s="17" t="s">
        <v>307</v>
      </c>
      <c r="B994" s="26" t="s">
        <v>374</v>
      </c>
      <c r="C994" s="19">
        <v>10.18</v>
      </c>
      <c r="D994" s="5" t="s">
        <v>267</v>
      </c>
      <c r="E994" s="7">
        <v>1151545.01</v>
      </c>
      <c r="F994" s="7">
        <v>11722728</v>
      </c>
    </row>
    <row r="995" spans="1:6" s="20" customFormat="1" x14ac:dyDescent="0.25">
      <c r="A995" s="21" t="s">
        <v>57</v>
      </c>
      <c r="B995" s="25" t="s">
        <v>422</v>
      </c>
      <c r="C995" s="23"/>
      <c r="D995" s="24"/>
      <c r="E995" s="23"/>
      <c r="F995" s="9">
        <f>F996+F997+F998+F999+F1000+F1001</f>
        <v>21477152</v>
      </c>
    </row>
    <row r="996" spans="1:6" x14ac:dyDescent="0.25">
      <c r="A996" s="17" t="s">
        <v>314</v>
      </c>
      <c r="B996" s="26" t="s">
        <v>341</v>
      </c>
      <c r="C996" s="19">
        <v>3.6</v>
      </c>
      <c r="D996" s="5" t="s">
        <v>267</v>
      </c>
      <c r="E996" s="7">
        <v>124258.76</v>
      </c>
      <c r="F996" s="7">
        <v>447332</v>
      </c>
    </row>
    <row r="997" spans="1:6" x14ac:dyDescent="0.25">
      <c r="A997" s="17" t="s">
        <v>316</v>
      </c>
      <c r="B997" s="26" t="s">
        <v>342</v>
      </c>
      <c r="C997" s="19">
        <v>3.6</v>
      </c>
      <c r="D997" s="5" t="s">
        <v>267</v>
      </c>
      <c r="E997" s="7">
        <v>53756.99</v>
      </c>
      <c r="F997" s="7">
        <v>193525</v>
      </c>
    </row>
    <row r="998" spans="1:6" x14ac:dyDescent="0.25">
      <c r="A998" s="17" t="s">
        <v>318</v>
      </c>
      <c r="B998" s="26" t="s">
        <v>102</v>
      </c>
      <c r="C998" s="19">
        <v>3.6</v>
      </c>
      <c r="D998" s="5" t="s">
        <v>267</v>
      </c>
      <c r="E998" s="7">
        <v>345522.98</v>
      </c>
      <c r="F998" s="7">
        <v>1243883</v>
      </c>
    </row>
    <row r="999" spans="1:6" x14ac:dyDescent="0.25">
      <c r="A999" s="17" t="s">
        <v>320</v>
      </c>
      <c r="B999" s="26" t="s">
        <v>440</v>
      </c>
      <c r="C999" s="19">
        <v>3.6</v>
      </c>
      <c r="D999" s="5" t="s">
        <v>267</v>
      </c>
      <c r="E999" s="7">
        <v>1016530.97</v>
      </c>
      <c r="F999" s="7">
        <v>3659511</v>
      </c>
    </row>
    <row r="1000" spans="1:6" x14ac:dyDescent="0.25">
      <c r="A1000" s="17" t="s">
        <v>321</v>
      </c>
      <c r="B1000" s="26" t="s">
        <v>760</v>
      </c>
      <c r="C1000" s="19">
        <v>144</v>
      </c>
      <c r="D1000" s="5" t="s">
        <v>167</v>
      </c>
      <c r="E1000" s="7">
        <v>24279.27</v>
      </c>
      <c r="F1000" s="7">
        <v>3496215</v>
      </c>
    </row>
    <row r="1001" spans="1:6" x14ac:dyDescent="0.25">
      <c r="A1001" s="17" t="s">
        <v>425</v>
      </c>
      <c r="B1001" s="26" t="s">
        <v>374</v>
      </c>
      <c r="C1001" s="19">
        <v>10.8</v>
      </c>
      <c r="D1001" s="5" t="s">
        <v>267</v>
      </c>
      <c r="E1001" s="7">
        <v>1151545.01</v>
      </c>
      <c r="F1001" s="7">
        <v>12436686</v>
      </c>
    </row>
    <row r="1002" spans="1:6" s="20" customFormat="1" x14ac:dyDescent="0.25">
      <c r="A1002" s="21" t="s">
        <v>59</v>
      </c>
      <c r="B1002" s="25" t="s">
        <v>551</v>
      </c>
      <c r="C1002" s="23"/>
      <c r="D1002" s="24"/>
      <c r="E1002" s="23"/>
      <c r="F1002" s="9">
        <f>F1003+F1004+F1005+F1006+F1007+F1008</f>
        <v>4271993</v>
      </c>
    </row>
    <row r="1003" spans="1:6" x14ac:dyDescent="0.25">
      <c r="A1003" s="17" t="s">
        <v>350</v>
      </c>
      <c r="B1003" s="26" t="s">
        <v>385</v>
      </c>
      <c r="C1003" s="19">
        <v>0.9</v>
      </c>
      <c r="D1003" s="5" t="s">
        <v>267</v>
      </c>
      <c r="E1003" s="7">
        <v>56660.36</v>
      </c>
      <c r="F1003" s="7">
        <v>50994</v>
      </c>
    </row>
    <row r="1004" spans="1:6" x14ac:dyDescent="0.25">
      <c r="A1004" s="17" t="s">
        <v>351</v>
      </c>
      <c r="B1004" s="26" t="s">
        <v>386</v>
      </c>
      <c r="C1004" s="19">
        <v>13.18</v>
      </c>
      <c r="D1004" s="5" t="s">
        <v>167</v>
      </c>
      <c r="E1004" s="7">
        <v>122466.89</v>
      </c>
      <c r="F1004" s="7">
        <v>1614114</v>
      </c>
    </row>
    <row r="1005" spans="1:6" x14ac:dyDescent="0.25">
      <c r="A1005" s="17" t="s">
        <v>352</v>
      </c>
      <c r="B1005" s="26" t="s">
        <v>341</v>
      </c>
      <c r="C1005" s="19">
        <v>1.44</v>
      </c>
      <c r="D1005" s="5" t="s">
        <v>267</v>
      </c>
      <c r="E1005" s="7">
        <v>124258.76</v>
      </c>
      <c r="F1005" s="7">
        <v>178933</v>
      </c>
    </row>
    <row r="1006" spans="1:6" x14ac:dyDescent="0.25">
      <c r="A1006" s="17" t="s">
        <v>353</v>
      </c>
      <c r="B1006" s="26" t="s">
        <v>342</v>
      </c>
      <c r="C1006" s="19">
        <v>1.44</v>
      </c>
      <c r="D1006" s="5" t="s">
        <v>267</v>
      </c>
      <c r="E1006" s="7">
        <v>53756.99</v>
      </c>
      <c r="F1006" s="7">
        <v>77410</v>
      </c>
    </row>
    <row r="1007" spans="1:6" x14ac:dyDescent="0.25">
      <c r="A1007" s="17" t="s">
        <v>428</v>
      </c>
      <c r="B1007" s="26" t="s">
        <v>388</v>
      </c>
      <c r="C1007" s="19">
        <v>0.86</v>
      </c>
      <c r="D1007" s="5" t="s">
        <v>267</v>
      </c>
      <c r="E1007" s="7">
        <v>345522.98</v>
      </c>
      <c r="F1007" s="7">
        <v>297150</v>
      </c>
    </row>
    <row r="1008" spans="1:6" x14ac:dyDescent="0.25">
      <c r="A1008" s="17" t="s">
        <v>429</v>
      </c>
      <c r="B1008" s="26" t="s">
        <v>552</v>
      </c>
      <c r="C1008" s="19">
        <v>2.02</v>
      </c>
      <c r="D1008" s="5" t="s">
        <v>267</v>
      </c>
      <c r="E1008" s="7">
        <v>1016530.97</v>
      </c>
      <c r="F1008" s="7">
        <v>2053392</v>
      </c>
    </row>
    <row r="1009" spans="1:6" s="20" customFormat="1" x14ac:dyDescent="0.25">
      <c r="A1009" s="21" t="s">
        <v>61</v>
      </c>
      <c r="B1009" s="25" t="s">
        <v>344</v>
      </c>
      <c r="C1009" s="23"/>
      <c r="D1009" s="24"/>
      <c r="E1009" s="23"/>
      <c r="F1009" s="9">
        <f>F1010+F1011+F1012+F1013</f>
        <v>2501131</v>
      </c>
    </row>
    <row r="1010" spans="1:6" x14ac:dyDescent="0.25">
      <c r="A1010" s="17" t="s">
        <v>355</v>
      </c>
      <c r="B1010" s="26" t="s">
        <v>457</v>
      </c>
      <c r="C1010" s="19">
        <v>6.4</v>
      </c>
      <c r="D1010" s="5" t="s">
        <v>167</v>
      </c>
      <c r="E1010" s="7">
        <v>208190.98</v>
      </c>
      <c r="F1010" s="7">
        <v>1332422</v>
      </c>
    </row>
    <row r="1011" spans="1:6" x14ac:dyDescent="0.25">
      <c r="A1011" s="17" t="s">
        <v>357</v>
      </c>
      <c r="B1011" s="26" t="s">
        <v>346</v>
      </c>
      <c r="C1011" s="19">
        <v>41.43</v>
      </c>
      <c r="D1011" s="5" t="s">
        <v>276</v>
      </c>
      <c r="E1011" s="7">
        <v>13176.23</v>
      </c>
      <c r="F1011" s="7">
        <v>545891</v>
      </c>
    </row>
    <row r="1012" spans="1:6" x14ac:dyDescent="0.25">
      <c r="A1012" s="17" t="s">
        <v>358</v>
      </c>
      <c r="B1012" s="26" t="s">
        <v>347</v>
      </c>
      <c r="C1012" s="19">
        <v>12.31</v>
      </c>
      <c r="D1012" s="5" t="s">
        <v>276</v>
      </c>
      <c r="E1012" s="7">
        <v>13176.23</v>
      </c>
      <c r="F1012" s="7">
        <v>162200</v>
      </c>
    </row>
    <row r="1013" spans="1:6" x14ac:dyDescent="0.25">
      <c r="A1013" s="17" t="s">
        <v>359</v>
      </c>
      <c r="B1013" s="26" t="s">
        <v>374</v>
      </c>
      <c r="C1013" s="19">
        <v>0.4</v>
      </c>
      <c r="D1013" s="5" t="s">
        <v>267</v>
      </c>
      <c r="E1013" s="7">
        <v>1151545.01</v>
      </c>
      <c r="F1013" s="7">
        <v>460618</v>
      </c>
    </row>
    <row r="1014" spans="1:6" s="20" customFormat="1" x14ac:dyDescent="0.25">
      <c r="A1014" s="21" t="s">
        <v>63</v>
      </c>
      <c r="B1014" s="25" t="s">
        <v>349</v>
      </c>
      <c r="C1014" s="23"/>
      <c r="D1014" s="24"/>
      <c r="E1014" s="23"/>
      <c r="F1014" s="9">
        <f>F1015+F1016+F1017+F1018</f>
        <v>11654309</v>
      </c>
    </row>
    <row r="1015" spans="1:6" x14ac:dyDescent="0.25">
      <c r="A1015" s="17" t="s">
        <v>238</v>
      </c>
      <c r="B1015" s="26" t="s">
        <v>457</v>
      </c>
      <c r="C1015" s="19">
        <v>31.04</v>
      </c>
      <c r="D1015" s="5" t="s">
        <v>167</v>
      </c>
      <c r="E1015" s="7">
        <v>208190.98</v>
      </c>
      <c r="F1015" s="7">
        <v>6462248</v>
      </c>
    </row>
    <row r="1016" spans="1:6" x14ac:dyDescent="0.25">
      <c r="A1016" s="17" t="s">
        <v>241</v>
      </c>
      <c r="B1016" s="26" t="s">
        <v>346</v>
      </c>
      <c r="C1016" s="19">
        <v>162.95</v>
      </c>
      <c r="D1016" s="5" t="s">
        <v>276</v>
      </c>
      <c r="E1016" s="7">
        <v>13176.23</v>
      </c>
      <c r="F1016" s="7">
        <v>2147067</v>
      </c>
    </row>
    <row r="1017" spans="1:6" x14ac:dyDescent="0.25">
      <c r="A1017" s="17" t="s">
        <v>243</v>
      </c>
      <c r="B1017" s="26" t="s">
        <v>347</v>
      </c>
      <c r="C1017" s="19">
        <v>61.55</v>
      </c>
      <c r="D1017" s="5" t="s">
        <v>276</v>
      </c>
      <c r="E1017" s="7">
        <v>13176.23</v>
      </c>
      <c r="F1017" s="7">
        <v>810997</v>
      </c>
    </row>
    <row r="1018" spans="1:6" x14ac:dyDescent="0.25">
      <c r="A1018" s="17" t="s">
        <v>245</v>
      </c>
      <c r="B1018" s="26" t="s">
        <v>374</v>
      </c>
      <c r="C1018" s="19">
        <v>1.94</v>
      </c>
      <c r="D1018" s="5" t="s">
        <v>267</v>
      </c>
      <c r="E1018" s="7">
        <v>1151545.01</v>
      </c>
      <c r="F1018" s="7">
        <v>2233997</v>
      </c>
    </row>
    <row r="1019" spans="1:6" s="20" customFormat="1" x14ac:dyDescent="0.25">
      <c r="A1019" s="21" t="s">
        <v>65</v>
      </c>
      <c r="B1019" s="25" t="s">
        <v>458</v>
      </c>
      <c r="C1019" s="23"/>
      <c r="D1019" s="24"/>
      <c r="E1019" s="23"/>
      <c r="F1019" s="9">
        <f>F1020+F1021+F1022+F1023</f>
        <v>4229462</v>
      </c>
    </row>
    <row r="1020" spans="1:6" x14ac:dyDescent="0.25">
      <c r="A1020" s="17" t="s">
        <v>253</v>
      </c>
      <c r="B1020" s="26" t="s">
        <v>457</v>
      </c>
      <c r="C1020" s="19">
        <v>11.64</v>
      </c>
      <c r="D1020" s="5" t="s">
        <v>167</v>
      </c>
      <c r="E1020" s="7">
        <v>208190.98</v>
      </c>
      <c r="F1020" s="7">
        <v>2423343</v>
      </c>
    </row>
    <row r="1021" spans="1:6" x14ac:dyDescent="0.25">
      <c r="A1021" s="17" t="s">
        <v>255</v>
      </c>
      <c r="B1021" s="26" t="s">
        <v>362</v>
      </c>
      <c r="C1021" s="19">
        <v>50.92</v>
      </c>
      <c r="D1021" s="5" t="s">
        <v>276</v>
      </c>
      <c r="E1021" s="7">
        <v>13176.23</v>
      </c>
      <c r="F1021" s="7">
        <v>670933</v>
      </c>
    </row>
    <row r="1022" spans="1:6" x14ac:dyDescent="0.25">
      <c r="A1022" s="17" t="s">
        <v>363</v>
      </c>
      <c r="B1022" s="26" t="s">
        <v>347</v>
      </c>
      <c r="C1022" s="19">
        <v>47.7</v>
      </c>
      <c r="D1022" s="5" t="s">
        <v>276</v>
      </c>
      <c r="E1022" s="7">
        <v>13176.23</v>
      </c>
      <c r="F1022" s="7">
        <v>628506</v>
      </c>
    </row>
    <row r="1023" spans="1:6" x14ac:dyDescent="0.25">
      <c r="A1023" s="17" t="s">
        <v>364</v>
      </c>
      <c r="B1023" s="26" t="s">
        <v>374</v>
      </c>
      <c r="C1023" s="19">
        <v>0.44</v>
      </c>
      <c r="D1023" s="5" t="s">
        <v>267</v>
      </c>
      <c r="E1023" s="7">
        <v>1151545.01</v>
      </c>
      <c r="F1023" s="7">
        <v>506680</v>
      </c>
    </row>
    <row r="1024" spans="1:6" s="20" customFormat="1" x14ac:dyDescent="0.25">
      <c r="A1024" s="21" t="s">
        <v>67</v>
      </c>
      <c r="B1024" s="25" t="s">
        <v>354</v>
      </c>
      <c r="C1024" s="23"/>
      <c r="D1024" s="24"/>
      <c r="E1024" s="23"/>
      <c r="F1024" s="9">
        <f>F1025+F1026+F1027+F1028</f>
        <v>12645269</v>
      </c>
    </row>
    <row r="1025" spans="1:6" x14ac:dyDescent="0.25">
      <c r="A1025" s="17" t="s">
        <v>257</v>
      </c>
      <c r="B1025" s="26" t="s">
        <v>459</v>
      </c>
      <c r="C1025" s="19">
        <v>32.4</v>
      </c>
      <c r="D1025" s="5" t="s">
        <v>167</v>
      </c>
      <c r="E1025" s="7">
        <v>214925.5</v>
      </c>
      <c r="F1025" s="7">
        <v>6963586</v>
      </c>
    </row>
    <row r="1026" spans="1:6" x14ac:dyDescent="0.25">
      <c r="A1026" s="17" t="s">
        <v>259</v>
      </c>
      <c r="B1026" s="26" t="s">
        <v>338</v>
      </c>
      <c r="C1026" s="19">
        <v>110.97</v>
      </c>
      <c r="D1026" s="5" t="s">
        <v>276</v>
      </c>
      <c r="E1026" s="7">
        <v>13176.23</v>
      </c>
      <c r="F1026" s="7">
        <v>1462166</v>
      </c>
    </row>
    <row r="1027" spans="1:6" x14ac:dyDescent="0.25">
      <c r="A1027" s="17" t="s">
        <v>479</v>
      </c>
      <c r="B1027" s="26" t="s">
        <v>339</v>
      </c>
      <c r="C1027" s="19">
        <v>100</v>
      </c>
      <c r="D1027" s="5" t="s">
        <v>276</v>
      </c>
      <c r="E1027" s="7">
        <v>13176.23</v>
      </c>
      <c r="F1027" s="7">
        <v>1317623</v>
      </c>
    </row>
    <row r="1028" spans="1:6" x14ac:dyDescent="0.25">
      <c r="A1028" s="17" t="s">
        <v>481</v>
      </c>
      <c r="B1028" s="26" t="s">
        <v>374</v>
      </c>
      <c r="C1028" s="19">
        <v>2.52</v>
      </c>
      <c r="D1028" s="5" t="s">
        <v>267</v>
      </c>
      <c r="E1028" s="7">
        <v>1151545.01</v>
      </c>
      <c r="F1028" s="7">
        <v>2901894</v>
      </c>
    </row>
    <row r="1029" spans="1:6" s="20" customFormat="1" x14ac:dyDescent="0.25">
      <c r="A1029" s="21" t="s">
        <v>69</v>
      </c>
      <c r="B1029" s="25" t="s">
        <v>360</v>
      </c>
      <c r="C1029" s="23"/>
      <c r="D1029" s="24"/>
      <c r="E1029" s="23"/>
      <c r="F1029" s="9">
        <f>F1030+F1031+F1032+F1033</f>
        <v>8430091</v>
      </c>
    </row>
    <row r="1030" spans="1:6" x14ac:dyDescent="0.25">
      <c r="A1030" s="17" t="s">
        <v>261</v>
      </c>
      <c r="B1030" s="26" t="s">
        <v>459</v>
      </c>
      <c r="C1030" s="19">
        <v>21.6</v>
      </c>
      <c r="D1030" s="5" t="s">
        <v>167</v>
      </c>
      <c r="E1030" s="7">
        <v>214925.5</v>
      </c>
      <c r="F1030" s="7">
        <v>4642391</v>
      </c>
    </row>
    <row r="1031" spans="1:6" x14ac:dyDescent="0.25">
      <c r="A1031" s="17" t="s">
        <v>263</v>
      </c>
      <c r="B1031" s="26" t="s">
        <v>338</v>
      </c>
      <c r="C1031" s="19">
        <v>73.98</v>
      </c>
      <c r="D1031" s="5" t="s">
        <v>276</v>
      </c>
      <c r="E1031" s="7">
        <v>13176.23</v>
      </c>
      <c r="F1031" s="7">
        <v>974777</v>
      </c>
    </row>
    <row r="1032" spans="1:6" x14ac:dyDescent="0.25">
      <c r="A1032" s="17" t="s">
        <v>462</v>
      </c>
      <c r="B1032" s="26" t="s">
        <v>339</v>
      </c>
      <c r="C1032" s="19">
        <v>66.66</v>
      </c>
      <c r="D1032" s="5" t="s">
        <v>276</v>
      </c>
      <c r="E1032" s="7">
        <v>13176.23</v>
      </c>
      <c r="F1032" s="7">
        <v>878327</v>
      </c>
    </row>
    <row r="1033" spans="1:6" x14ac:dyDescent="0.25">
      <c r="A1033" s="17" t="s">
        <v>463</v>
      </c>
      <c r="B1033" s="26" t="s">
        <v>374</v>
      </c>
      <c r="C1033" s="19">
        <v>1.68</v>
      </c>
      <c r="D1033" s="5" t="s">
        <v>267</v>
      </c>
      <c r="E1033" s="7">
        <v>1151545.01</v>
      </c>
      <c r="F1033" s="7">
        <v>1934596</v>
      </c>
    </row>
    <row r="1034" spans="1:6" s="20" customFormat="1" x14ac:dyDescent="0.25">
      <c r="A1034" s="21" t="s">
        <v>71</v>
      </c>
      <c r="B1034" s="25" t="s">
        <v>742</v>
      </c>
      <c r="C1034" s="23"/>
      <c r="D1034" s="24"/>
      <c r="E1034" s="23"/>
      <c r="F1034" s="9">
        <f>F1035+F1036+F1037+F1038</f>
        <v>1236319</v>
      </c>
    </row>
    <row r="1035" spans="1:6" x14ac:dyDescent="0.25">
      <c r="A1035" s="17" t="s">
        <v>483</v>
      </c>
      <c r="B1035" s="26" t="s">
        <v>459</v>
      </c>
      <c r="C1035" s="19">
        <v>3.3</v>
      </c>
      <c r="D1035" s="5" t="s">
        <v>167</v>
      </c>
      <c r="E1035" s="7">
        <v>214925.5</v>
      </c>
      <c r="F1035" s="7">
        <v>709254</v>
      </c>
    </row>
    <row r="1036" spans="1:6" x14ac:dyDescent="0.25">
      <c r="A1036" s="17" t="s">
        <v>494</v>
      </c>
      <c r="B1036" s="26" t="s">
        <v>362</v>
      </c>
      <c r="C1036" s="19">
        <v>14.8</v>
      </c>
      <c r="D1036" s="5" t="s">
        <v>276</v>
      </c>
      <c r="E1036" s="7">
        <v>13176.23</v>
      </c>
      <c r="F1036" s="7">
        <v>195008</v>
      </c>
    </row>
    <row r="1037" spans="1:6" x14ac:dyDescent="0.25">
      <c r="A1037" s="17" t="s">
        <v>496</v>
      </c>
      <c r="B1037" s="26" t="s">
        <v>339</v>
      </c>
      <c r="C1037" s="19">
        <v>9.47</v>
      </c>
      <c r="D1037" s="5" t="s">
        <v>276</v>
      </c>
      <c r="E1037" s="7">
        <v>13176.23</v>
      </c>
      <c r="F1037" s="7">
        <v>124779</v>
      </c>
    </row>
    <row r="1038" spans="1:6" x14ac:dyDescent="0.25">
      <c r="A1038" s="17" t="s">
        <v>753</v>
      </c>
      <c r="B1038" s="26" t="s">
        <v>374</v>
      </c>
      <c r="C1038" s="19">
        <v>0.18</v>
      </c>
      <c r="D1038" s="5" t="s">
        <v>267</v>
      </c>
      <c r="E1038" s="7">
        <v>1151545.01</v>
      </c>
      <c r="F1038" s="7">
        <v>207278</v>
      </c>
    </row>
    <row r="1039" spans="1:6" s="20" customFormat="1" x14ac:dyDescent="0.25">
      <c r="A1039" s="21" t="s">
        <v>73</v>
      </c>
      <c r="B1039" s="25" t="s">
        <v>365</v>
      </c>
      <c r="C1039" s="23"/>
      <c r="D1039" s="24"/>
      <c r="E1039" s="23"/>
      <c r="F1039" s="9">
        <f>F1040+F1045</f>
        <v>5012011</v>
      </c>
    </row>
    <row r="1040" spans="1:6" s="20" customFormat="1" x14ac:dyDescent="0.25">
      <c r="A1040" s="21" t="s">
        <v>820</v>
      </c>
      <c r="B1040" s="28" t="s">
        <v>821</v>
      </c>
      <c r="C1040" s="23"/>
      <c r="D1040" s="24"/>
      <c r="E1040" s="23"/>
      <c r="F1040" s="9">
        <f>F1041+F1042+F1043+F1044</f>
        <v>3680469</v>
      </c>
    </row>
    <row r="1041" spans="1:6" x14ac:dyDescent="0.25">
      <c r="A1041" s="17" t="s">
        <v>822</v>
      </c>
      <c r="B1041" s="29" t="s">
        <v>356</v>
      </c>
      <c r="C1041" s="19">
        <v>6.18</v>
      </c>
      <c r="D1041" s="5" t="s">
        <v>167</v>
      </c>
      <c r="E1041" s="7">
        <v>214925.5</v>
      </c>
      <c r="F1041" s="7">
        <v>1328240</v>
      </c>
    </row>
    <row r="1042" spans="1:6" x14ac:dyDescent="0.25">
      <c r="A1042" s="17" t="s">
        <v>823</v>
      </c>
      <c r="B1042" s="29" t="s">
        <v>370</v>
      </c>
      <c r="C1042" s="19">
        <v>64.28</v>
      </c>
      <c r="D1042" s="5" t="s">
        <v>276</v>
      </c>
      <c r="E1042" s="7">
        <v>13176.23</v>
      </c>
      <c r="F1042" s="7">
        <v>846968</v>
      </c>
    </row>
    <row r="1043" spans="1:6" x14ac:dyDescent="0.25">
      <c r="A1043" s="17" t="s">
        <v>824</v>
      </c>
      <c r="B1043" s="29" t="s">
        <v>372</v>
      </c>
      <c r="C1043" s="19">
        <v>47.82</v>
      </c>
      <c r="D1043" s="5" t="s">
        <v>276</v>
      </c>
      <c r="E1043" s="7">
        <v>13176.23</v>
      </c>
      <c r="F1043" s="7">
        <v>630087</v>
      </c>
    </row>
    <row r="1044" spans="1:6" x14ac:dyDescent="0.25">
      <c r="A1044" s="17" t="s">
        <v>825</v>
      </c>
      <c r="B1044" s="29" t="s">
        <v>374</v>
      </c>
      <c r="C1044" s="19">
        <v>0.76</v>
      </c>
      <c r="D1044" s="5" t="s">
        <v>267</v>
      </c>
      <c r="E1044" s="7">
        <v>1151545.01</v>
      </c>
      <c r="F1044" s="7">
        <v>875174</v>
      </c>
    </row>
    <row r="1045" spans="1:6" s="20" customFormat="1" x14ac:dyDescent="0.25">
      <c r="A1045" s="21" t="s">
        <v>826</v>
      </c>
      <c r="B1045" s="28" t="s">
        <v>827</v>
      </c>
      <c r="C1045" s="23"/>
      <c r="D1045" s="24"/>
      <c r="E1045" s="23"/>
      <c r="F1045" s="9">
        <f>F1046+F1047+F1048+F1049</f>
        <v>1331542</v>
      </c>
    </row>
    <row r="1046" spans="1:6" x14ac:dyDescent="0.25">
      <c r="A1046" s="17" t="s">
        <v>828</v>
      </c>
      <c r="B1046" s="29" t="s">
        <v>457</v>
      </c>
      <c r="C1046" s="19">
        <v>2.8</v>
      </c>
      <c r="D1046" s="5" t="s">
        <v>167</v>
      </c>
      <c r="E1046" s="7">
        <v>208190.98</v>
      </c>
      <c r="F1046" s="7">
        <v>582935</v>
      </c>
    </row>
    <row r="1047" spans="1:6" x14ac:dyDescent="0.25">
      <c r="A1047" s="17" t="s">
        <v>829</v>
      </c>
      <c r="B1047" s="29" t="s">
        <v>370</v>
      </c>
      <c r="C1047" s="19">
        <v>21.7</v>
      </c>
      <c r="D1047" s="5" t="s">
        <v>276</v>
      </c>
      <c r="E1047" s="7">
        <v>13176.23</v>
      </c>
      <c r="F1047" s="7">
        <v>285924</v>
      </c>
    </row>
    <row r="1048" spans="1:6" x14ac:dyDescent="0.25">
      <c r="A1048" s="17" t="s">
        <v>830</v>
      </c>
      <c r="B1048" s="29" t="s">
        <v>372</v>
      </c>
      <c r="C1048" s="19">
        <v>14.14</v>
      </c>
      <c r="D1048" s="5" t="s">
        <v>276</v>
      </c>
      <c r="E1048" s="7">
        <v>13176.23</v>
      </c>
      <c r="F1048" s="7">
        <v>186312</v>
      </c>
    </row>
    <row r="1049" spans="1:6" x14ac:dyDescent="0.25">
      <c r="A1049" s="17" t="s">
        <v>831</v>
      </c>
      <c r="B1049" s="29" t="s">
        <v>374</v>
      </c>
      <c r="C1049" s="19">
        <v>0.24</v>
      </c>
      <c r="D1049" s="5" t="s">
        <v>267</v>
      </c>
      <c r="E1049" s="7">
        <v>1151545.01</v>
      </c>
      <c r="F1049" s="7">
        <v>276371</v>
      </c>
    </row>
    <row r="1050" spans="1:6" s="20" customFormat="1" x14ac:dyDescent="0.25">
      <c r="A1050" s="21" t="s">
        <v>499</v>
      </c>
      <c r="B1050" s="25" t="s">
        <v>762</v>
      </c>
      <c r="C1050" s="23"/>
      <c r="D1050" s="24"/>
      <c r="E1050" s="23"/>
      <c r="F1050" s="9">
        <f>F1051+F1052+F1053+F1054+F1055+F1056+F1057+F1058</f>
        <v>6202881</v>
      </c>
    </row>
    <row r="1051" spans="1:6" x14ac:dyDescent="0.25">
      <c r="A1051" s="17" t="s">
        <v>763</v>
      </c>
      <c r="B1051" s="26" t="s">
        <v>832</v>
      </c>
      <c r="C1051" s="19">
        <v>4.012</v>
      </c>
      <c r="D1051" s="5" t="s">
        <v>267</v>
      </c>
      <c r="E1051" s="7">
        <v>364825.99</v>
      </c>
      <c r="F1051" s="7">
        <v>1463864</v>
      </c>
    </row>
    <row r="1052" spans="1:6" x14ac:dyDescent="0.25">
      <c r="A1052" s="17" t="s">
        <v>764</v>
      </c>
      <c r="B1052" s="26" t="s">
        <v>833</v>
      </c>
      <c r="C1052" s="19">
        <v>4.012</v>
      </c>
      <c r="D1052" s="5" t="s">
        <v>267</v>
      </c>
      <c r="E1052" s="7">
        <v>53756.99</v>
      </c>
      <c r="F1052" s="7">
        <v>215700</v>
      </c>
    </row>
    <row r="1053" spans="1:6" x14ac:dyDescent="0.25">
      <c r="A1053" s="17" t="s">
        <v>765</v>
      </c>
      <c r="B1053" s="26" t="s">
        <v>834</v>
      </c>
      <c r="C1053" s="19">
        <v>2.407</v>
      </c>
      <c r="D1053" s="5" t="s">
        <v>267</v>
      </c>
      <c r="E1053" s="7">
        <v>244172.59</v>
      </c>
      <c r="F1053" s="7">
        <v>587846</v>
      </c>
    </row>
    <row r="1054" spans="1:6" x14ac:dyDescent="0.25">
      <c r="A1054" s="17" t="s">
        <v>766</v>
      </c>
      <c r="B1054" s="26" t="s">
        <v>440</v>
      </c>
      <c r="C1054" s="19">
        <v>0.802</v>
      </c>
      <c r="D1054" s="5" t="s">
        <v>267</v>
      </c>
      <c r="E1054" s="7">
        <v>1016530.97</v>
      </c>
      <c r="F1054" s="7">
        <v>815766</v>
      </c>
    </row>
    <row r="1055" spans="1:6" x14ac:dyDescent="0.25">
      <c r="A1055" s="17" t="s">
        <v>767</v>
      </c>
      <c r="B1055" s="26" t="s">
        <v>768</v>
      </c>
      <c r="C1055" s="19">
        <v>0.9</v>
      </c>
      <c r="D1055" s="5" t="s">
        <v>167</v>
      </c>
      <c r="E1055" s="7">
        <v>122466.89</v>
      </c>
      <c r="F1055" s="7">
        <v>110220</v>
      </c>
    </row>
    <row r="1056" spans="1:6" x14ac:dyDescent="0.25">
      <c r="A1056" s="17" t="s">
        <v>769</v>
      </c>
      <c r="B1056" s="26" t="s">
        <v>760</v>
      </c>
      <c r="C1056" s="19">
        <v>16.05</v>
      </c>
      <c r="D1056" s="5" t="s">
        <v>167</v>
      </c>
      <c r="E1056" s="7">
        <v>24279.27</v>
      </c>
      <c r="F1056" s="7">
        <v>389682</v>
      </c>
    </row>
    <row r="1057" spans="1:6" x14ac:dyDescent="0.25">
      <c r="A1057" s="17" t="s">
        <v>771</v>
      </c>
      <c r="B1057" s="26" t="s">
        <v>348</v>
      </c>
      <c r="C1057" s="19">
        <v>1.605</v>
      </c>
      <c r="D1057" s="5" t="s">
        <v>267</v>
      </c>
      <c r="E1057" s="7">
        <v>1151545.01</v>
      </c>
      <c r="F1057" s="7">
        <v>1848230</v>
      </c>
    </row>
    <row r="1058" spans="1:6" x14ac:dyDescent="0.25">
      <c r="A1058" s="17" t="s">
        <v>772</v>
      </c>
      <c r="B1058" s="26" t="s">
        <v>288</v>
      </c>
      <c r="C1058" s="19">
        <v>16.95</v>
      </c>
      <c r="D1058" s="5" t="s">
        <v>167</v>
      </c>
      <c r="E1058" s="7">
        <v>45520.53</v>
      </c>
      <c r="F1058" s="7">
        <v>771573</v>
      </c>
    </row>
    <row r="1059" spans="1:6" s="20" customFormat="1" x14ac:dyDescent="0.25">
      <c r="A1059" s="21" t="s">
        <v>150</v>
      </c>
      <c r="B1059" s="22" t="s">
        <v>87</v>
      </c>
      <c r="C1059" s="23"/>
      <c r="D1059" s="24"/>
      <c r="E1059" s="23"/>
      <c r="F1059" s="9">
        <f>F1060+F1061+F1062+F1063+F1064+F1065+F1066+F1067+F1068+F1074+F1075+F1076+F1077+F1078+F1079+F1080+F1081</f>
        <v>155623758</v>
      </c>
    </row>
    <row r="1060" spans="1:6" x14ac:dyDescent="0.25">
      <c r="A1060" s="17" t="s">
        <v>45</v>
      </c>
      <c r="B1060" s="27" t="s">
        <v>381</v>
      </c>
      <c r="C1060" s="19">
        <v>67.96</v>
      </c>
      <c r="D1060" s="5" t="s">
        <v>167</v>
      </c>
      <c r="E1060" s="7">
        <v>122466.89</v>
      </c>
      <c r="F1060" s="7">
        <v>8322850</v>
      </c>
    </row>
    <row r="1061" spans="1:6" x14ac:dyDescent="0.25">
      <c r="A1061" s="17" t="s">
        <v>47</v>
      </c>
      <c r="B1061" s="27" t="s">
        <v>158</v>
      </c>
      <c r="C1061" s="19">
        <v>135.92</v>
      </c>
      <c r="D1061" s="5" t="s">
        <v>167</v>
      </c>
      <c r="E1061" s="7">
        <v>54647.67</v>
      </c>
      <c r="F1061" s="7">
        <v>7427711</v>
      </c>
    </row>
    <row r="1062" spans="1:6" x14ac:dyDescent="0.25">
      <c r="A1062" s="17" t="s">
        <v>49</v>
      </c>
      <c r="B1062" s="27" t="s">
        <v>288</v>
      </c>
      <c r="C1062" s="19">
        <v>135.92</v>
      </c>
      <c r="D1062" s="5" t="s">
        <v>167</v>
      </c>
      <c r="E1062" s="7">
        <v>45520.53</v>
      </c>
      <c r="F1062" s="7">
        <v>6187150</v>
      </c>
    </row>
    <row r="1063" spans="1:6" x14ac:dyDescent="0.25">
      <c r="A1063" s="17" t="s">
        <v>51</v>
      </c>
      <c r="B1063" s="27" t="s">
        <v>382</v>
      </c>
      <c r="C1063" s="19">
        <v>77.84</v>
      </c>
      <c r="D1063" s="5" t="s">
        <v>167</v>
      </c>
      <c r="E1063" s="7">
        <v>45520.53</v>
      </c>
      <c r="F1063" s="7">
        <v>3543318</v>
      </c>
    </row>
    <row r="1064" spans="1:6" x14ac:dyDescent="0.25">
      <c r="A1064" s="17" t="s">
        <v>53</v>
      </c>
      <c r="B1064" s="27" t="s">
        <v>383</v>
      </c>
      <c r="C1064" s="19">
        <v>5.84</v>
      </c>
      <c r="D1064" s="5" t="s">
        <v>167</v>
      </c>
      <c r="E1064" s="7">
        <v>56201.8</v>
      </c>
      <c r="F1064" s="7">
        <v>328218</v>
      </c>
    </row>
    <row r="1065" spans="1:6" x14ac:dyDescent="0.25">
      <c r="A1065" s="17" t="s">
        <v>55</v>
      </c>
      <c r="B1065" s="27" t="s">
        <v>835</v>
      </c>
      <c r="C1065" s="19">
        <v>0.76</v>
      </c>
      <c r="D1065" s="5" t="s">
        <v>167</v>
      </c>
      <c r="E1065" s="7">
        <v>785025.82</v>
      </c>
      <c r="F1065" s="7">
        <v>596620</v>
      </c>
    </row>
    <row r="1066" spans="1:6" x14ac:dyDescent="0.25">
      <c r="A1066" s="17" t="s">
        <v>57</v>
      </c>
      <c r="B1066" s="27" t="s">
        <v>836</v>
      </c>
      <c r="C1066" s="19">
        <v>88.05</v>
      </c>
      <c r="D1066" s="5" t="s">
        <v>167</v>
      </c>
      <c r="E1066" s="7">
        <v>67741.79</v>
      </c>
      <c r="F1066" s="7">
        <v>5964665</v>
      </c>
    </row>
    <row r="1067" spans="1:6" x14ac:dyDescent="0.25">
      <c r="A1067" s="17" t="s">
        <v>59</v>
      </c>
      <c r="B1067" s="27" t="s">
        <v>469</v>
      </c>
      <c r="C1067" s="19">
        <v>5</v>
      </c>
      <c r="D1067" s="5" t="s">
        <v>167</v>
      </c>
      <c r="E1067" s="7">
        <v>817597.83</v>
      </c>
      <c r="F1067" s="7">
        <v>4087989</v>
      </c>
    </row>
    <row r="1068" spans="1:6" s="20" customFormat="1" x14ac:dyDescent="0.25">
      <c r="A1068" s="21" t="s">
        <v>61</v>
      </c>
      <c r="B1068" s="25" t="s">
        <v>390</v>
      </c>
      <c r="C1068" s="23"/>
      <c r="D1068" s="24"/>
      <c r="E1068" s="23"/>
      <c r="F1068" s="9">
        <f>F1069+F1070+F1071+F1072+F1073</f>
        <v>57953492</v>
      </c>
    </row>
    <row r="1069" spans="1:6" x14ac:dyDescent="0.25">
      <c r="A1069" s="17" t="s">
        <v>355</v>
      </c>
      <c r="B1069" s="26" t="s">
        <v>391</v>
      </c>
      <c r="C1069" s="19">
        <v>100.23</v>
      </c>
      <c r="D1069" s="5" t="s">
        <v>167</v>
      </c>
      <c r="E1069" s="7">
        <v>342098.29</v>
      </c>
      <c r="F1069" s="7">
        <v>34288512</v>
      </c>
    </row>
    <row r="1070" spans="1:6" x14ac:dyDescent="0.25">
      <c r="A1070" s="17" t="s">
        <v>357</v>
      </c>
      <c r="B1070" s="26" t="s">
        <v>392</v>
      </c>
      <c r="C1070" s="19">
        <v>283</v>
      </c>
      <c r="D1070" s="5" t="s">
        <v>170</v>
      </c>
      <c r="E1070" s="7">
        <v>19268.19</v>
      </c>
      <c r="F1070" s="7">
        <v>5452898</v>
      </c>
    </row>
    <row r="1071" spans="1:6" x14ac:dyDescent="0.25">
      <c r="A1071" s="17" t="s">
        <v>358</v>
      </c>
      <c r="B1071" s="26" t="s">
        <v>837</v>
      </c>
      <c r="C1071" s="19">
        <v>80</v>
      </c>
      <c r="D1071" s="5" t="s">
        <v>838</v>
      </c>
      <c r="E1071" s="7">
        <v>18997.17</v>
      </c>
      <c r="F1071" s="7">
        <v>1519774</v>
      </c>
    </row>
    <row r="1072" spans="1:6" x14ac:dyDescent="0.25">
      <c r="A1072" s="17" t="s">
        <v>359</v>
      </c>
      <c r="B1072" s="26" t="s">
        <v>480</v>
      </c>
      <c r="C1072" s="19">
        <v>138.71</v>
      </c>
      <c r="D1072" s="5" t="s">
        <v>167</v>
      </c>
      <c r="E1072" s="7">
        <v>110928.31</v>
      </c>
      <c r="F1072" s="7">
        <v>15386810</v>
      </c>
    </row>
    <row r="1073" spans="1:6" x14ac:dyDescent="0.25">
      <c r="A1073" s="17" t="s">
        <v>474</v>
      </c>
      <c r="B1073" s="26" t="s">
        <v>394</v>
      </c>
      <c r="C1073" s="19">
        <v>14.25</v>
      </c>
      <c r="D1073" s="5" t="s">
        <v>170</v>
      </c>
      <c r="E1073" s="7">
        <v>91613.93</v>
      </c>
      <c r="F1073" s="7">
        <v>1305498</v>
      </c>
    </row>
    <row r="1074" spans="1:6" x14ac:dyDescent="0.25">
      <c r="A1074" s="17" t="s">
        <v>63</v>
      </c>
      <c r="B1074" s="27" t="s">
        <v>839</v>
      </c>
      <c r="C1074" s="19">
        <v>112.3</v>
      </c>
      <c r="D1074" s="5" t="s">
        <v>167</v>
      </c>
      <c r="E1074" s="7">
        <v>241006.97</v>
      </c>
      <c r="F1074" s="7">
        <v>27065083</v>
      </c>
    </row>
    <row r="1075" spans="1:6" x14ac:dyDescent="0.25">
      <c r="A1075" s="17" t="s">
        <v>65</v>
      </c>
      <c r="B1075" s="27" t="s">
        <v>396</v>
      </c>
      <c r="C1075" s="19">
        <v>7.25</v>
      </c>
      <c r="D1075" s="5" t="s">
        <v>167</v>
      </c>
      <c r="E1075" s="7">
        <v>246252.65</v>
      </c>
      <c r="F1075" s="7">
        <v>1785332</v>
      </c>
    </row>
    <row r="1076" spans="1:6" x14ac:dyDescent="0.25">
      <c r="A1076" s="17" t="s">
        <v>67</v>
      </c>
      <c r="B1076" s="27" t="s">
        <v>498</v>
      </c>
      <c r="C1076" s="19">
        <v>145.8</v>
      </c>
      <c r="D1076" s="5" t="s">
        <v>167</v>
      </c>
      <c r="E1076" s="7">
        <v>99462.99</v>
      </c>
      <c r="F1076" s="7">
        <v>14501704</v>
      </c>
    </row>
    <row r="1077" spans="1:6" x14ac:dyDescent="0.25">
      <c r="A1077" s="17" t="s">
        <v>69</v>
      </c>
      <c r="B1077" s="27" t="s">
        <v>398</v>
      </c>
      <c r="C1077" s="19">
        <v>112.3</v>
      </c>
      <c r="D1077" s="5" t="s">
        <v>167</v>
      </c>
      <c r="E1077" s="7">
        <v>35591.98</v>
      </c>
      <c r="F1077" s="7">
        <v>3996979</v>
      </c>
    </row>
    <row r="1078" spans="1:6" x14ac:dyDescent="0.25">
      <c r="A1078" s="17" t="s">
        <v>71</v>
      </c>
      <c r="B1078" s="27" t="s">
        <v>399</v>
      </c>
      <c r="C1078" s="19">
        <v>47.37</v>
      </c>
      <c r="D1078" s="5" t="s">
        <v>170</v>
      </c>
      <c r="E1078" s="7">
        <v>214927.86</v>
      </c>
      <c r="F1078" s="7">
        <v>10181133</v>
      </c>
    </row>
    <row r="1079" spans="1:6" x14ac:dyDescent="0.25">
      <c r="A1079" s="17" t="s">
        <v>73</v>
      </c>
      <c r="B1079" s="27" t="s">
        <v>840</v>
      </c>
      <c r="C1079" s="19">
        <v>14.21</v>
      </c>
      <c r="D1079" s="5" t="s">
        <v>167</v>
      </c>
      <c r="E1079" s="7">
        <v>99462.99</v>
      </c>
      <c r="F1079" s="7">
        <v>1413369</v>
      </c>
    </row>
    <row r="1080" spans="1:6" x14ac:dyDescent="0.25">
      <c r="A1080" s="17" t="s">
        <v>499</v>
      </c>
      <c r="B1080" s="27" t="s">
        <v>503</v>
      </c>
      <c r="C1080" s="19">
        <v>1</v>
      </c>
      <c r="D1080" s="5" t="s">
        <v>240</v>
      </c>
      <c r="E1080" s="7">
        <v>386714.63</v>
      </c>
      <c r="F1080" s="7">
        <v>386715</v>
      </c>
    </row>
    <row r="1081" spans="1:6" x14ac:dyDescent="0.25">
      <c r="A1081" s="17" t="s">
        <v>501</v>
      </c>
      <c r="B1081" s="27" t="s">
        <v>841</v>
      </c>
      <c r="C1081" s="19">
        <v>12</v>
      </c>
      <c r="D1081" s="5" t="s">
        <v>169</v>
      </c>
      <c r="E1081" s="7">
        <v>156785.85</v>
      </c>
      <c r="F1081" s="7">
        <v>1881430</v>
      </c>
    </row>
    <row r="1082" spans="1:6" s="20" customFormat="1" x14ac:dyDescent="0.25">
      <c r="A1082" s="21" t="s">
        <v>151</v>
      </c>
      <c r="B1082" s="22" t="s">
        <v>89</v>
      </c>
      <c r="C1082" s="23"/>
      <c r="D1082" s="24"/>
      <c r="E1082" s="23"/>
      <c r="F1082" s="9">
        <f>F1083+F1084+F1085+F1086+F1087+F1088</f>
        <v>17452057</v>
      </c>
    </row>
    <row r="1083" spans="1:6" x14ac:dyDescent="0.25">
      <c r="A1083" s="17" t="s">
        <v>45</v>
      </c>
      <c r="B1083" s="27" t="s">
        <v>629</v>
      </c>
      <c r="C1083" s="19">
        <v>18</v>
      </c>
      <c r="D1083" s="5" t="s">
        <v>237</v>
      </c>
      <c r="E1083" s="7">
        <v>424608.39</v>
      </c>
      <c r="F1083" s="7">
        <v>7642951</v>
      </c>
    </row>
    <row r="1084" spans="1:6" x14ac:dyDescent="0.25">
      <c r="A1084" s="17" t="s">
        <v>47</v>
      </c>
      <c r="B1084" s="27" t="s">
        <v>631</v>
      </c>
      <c r="C1084" s="19">
        <v>6</v>
      </c>
      <c r="D1084" s="5" t="s">
        <v>237</v>
      </c>
      <c r="E1084" s="7">
        <v>391438.53</v>
      </c>
      <c r="F1084" s="7">
        <v>2348631</v>
      </c>
    </row>
    <row r="1085" spans="1:6" x14ac:dyDescent="0.25">
      <c r="A1085" s="17" t="s">
        <v>49</v>
      </c>
      <c r="B1085" s="27" t="s">
        <v>544</v>
      </c>
      <c r="C1085" s="19">
        <v>2</v>
      </c>
      <c r="D1085" s="5" t="s">
        <v>169</v>
      </c>
      <c r="E1085" s="7">
        <v>69831.65</v>
      </c>
      <c r="F1085" s="7">
        <v>139663</v>
      </c>
    </row>
    <row r="1086" spans="1:6" x14ac:dyDescent="0.25">
      <c r="A1086" s="17" t="s">
        <v>51</v>
      </c>
      <c r="B1086" s="27" t="s">
        <v>545</v>
      </c>
      <c r="C1086" s="19">
        <v>6</v>
      </c>
      <c r="D1086" s="5" t="s">
        <v>169</v>
      </c>
      <c r="E1086" s="7">
        <v>55282.67</v>
      </c>
      <c r="F1086" s="7">
        <v>331696</v>
      </c>
    </row>
    <row r="1087" spans="1:6" x14ac:dyDescent="0.25">
      <c r="A1087" s="17" t="s">
        <v>53</v>
      </c>
      <c r="B1087" s="27" t="s">
        <v>542</v>
      </c>
      <c r="C1087" s="19">
        <v>18</v>
      </c>
      <c r="D1087" s="5" t="s">
        <v>237</v>
      </c>
      <c r="E1087" s="7">
        <v>160506.41</v>
      </c>
      <c r="F1087" s="7">
        <v>2889116</v>
      </c>
    </row>
    <row r="1088" spans="1:6" x14ac:dyDescent="0.25">
      <c r="A1088" s="17" t="s">
        <v>55</v>
      </c>
      <c r="B1088" s="27" t="s">
        <v>781</v>
      </c>
      <c r="C1088" s="19">
        <v>1</v>
      </c>
      <c r="D1088" s="5" t="s">
        <v>169</v>
      </c>
      <c r="E1088" s="7">
        <v>4100000</v>
      </c>
      <c r="F1088" s="7">
        <v>4100000</v>
      </c>
    </row>
    <row r="1089" spans="1:6" s="10" customFormat="1" x14ac:dyDescent="0.25">
      <c r="A1089" s="15" t="s">
        <v>36</v>
      </c>
      <c r="B1089" s="16" t="s">
        <v>37</v>
      </c>
      <c r="C1089" s="12"/>
      <c r="D1089" s="11"/>
      <c r="E1089" s="12"/>
      <c r="F1089" s="14">
        <f>F1090+F1091+F1092+F1093+F1099+F1100+F1101+F1102</f>
        <v>35886105</v>
      </c>
    </row>
    <row r="1090" spans="1:6" x14ac:dyDescent="0.25">
      <c r="A1090" s="17" t="s">
        <v>45</v>
      </c>
      <c r="B1090" s="18" t="s">
        <v>153</v>
      </c>
      <c r="C1090" s="19">
        <v>11</v>
      </c>
      <c r="D1090" s="5" t="s">
        <v>170</v>
      </c>
      <c r="E1090" s="7">
        <v>147990.68</v>
      </c>
      <c r="F1090" s="7">
        <v>1627897</v>
      </c>
    </row>
    <row r="1091" spans="1:6" x14ac:dyDescent="0.25">
      <c r="A1091" s="17" t="s">
        <v>47</v>
      </c>
      <c r="B1091" s="18" t="s">
        <v>154</v>
      </c>
      <c r="C1091" s="19">
        <v>10</v>
      </c>
      <c r="D1091" s="5" t="s">
        <v>267</v>
      </c>
      <c r="E1091" s="7">
        <v>103880.83</v>
      </c>
      <c r="F1091" s="7">
        <v>1038808</v>
      </c>
    </row>
    <row r="1092" spans="1:6" x14ac:dyDescent="0.25">
      <c r="A1092" s="17" t="s">
        <v>49</v>
      </c>
      <c r="B1092" s="18" t="s">
        <v>155</v>
      </c>
      <c r="C1092" s="19">
        <v>10</v>
      </c>
      <c r="D1092" s="5" t="s">
        <v>267</v>
      </c>
      <c r="E1092" s="7">
        <v>27976.05</v>
      </c>
      <c r="F1092" s="7">
        <v>279761</v>
      </c>
    </row>
    <row r="1093" spans="1:6" s="20" customFormat="1" x14ac:dyDescent="0.25">
      <c r="A1093" s="21" t="s">
        <v>51</v>
      </c>
      <c r="B1093" s="22" t="s">
        <v>156</v>
      </c>
      <c r="C1093" s="23"/>
      <c r="D1093" s="24"/>
      <c r="E1093" s="23"/>
      <c r="F1093" s="9">
        <f>F1094+F1095+F1096+F1097+F1098</f>
        <v>2437316</v>
      </c>
    </row>
    <row r="1094" spans="1:6" x14ac:dyDescent="0.25">
      <c r="A1094" s="17" t="s">
        <v>291</v>
      </c>
      <c r="B1094" s="27" t="s">
        <v>323</v>
      </c>
      <c r="C1094" s="19">
        <v>0.26</v>
      </c>
      <c r="D1094" s="5" t="s">
        <v>267</v>
      </c>
      <c r="E1094" s="7">
        <v>345522.98</v>
      </c>
      <c r="F1094" s="7">
        <v>89836</v>
      </c>
    </row>
    <row r="1095" spans="1:6" x14ac:dyDescent="0.25">
      <c r="A1095" s="17" t="s">
        <v>293</v>
      </c>
      <c r="B1095" s="27" t="s">
        <v>324</v>
      </c>
      <c r="C1095" s="19">
        <v>0.11</v>
      </c>
      <c r="D1095" s="5" t="s">
        <v>267</v>
      </c>
      <c r="E1095" s="7">
        <v>1016530.97</v>
      </c>
      <c r="F1095" s="7">
        <v>111818</v>
      </c>
    </row>
    <row r="1096" spans="1:6" x14ac:dyDescent="0.25">
      <c r="A1096" s="17" t="s">
        <v>294</v>
      </c>
      <c r="B1096" s="27" t="s">
        <v>842</v>
      </c>
      <c r="C1096" s="19">
        <v>50.01</v>
      </c>
      <c r="D1096" s="5" t="s">
        <v>276</v>
      </c>
      <c r="E1096" s="7">
        <v>19248.5</v>
      </c>
      <c r="F1096" s="7">
        <v>962618</v>
      </c>
    </row>
    <row r="1097" spans="1:6" x14ac:dyDescent="0.25">
      <c r="A1097" s="17" t="s">
        <v>296</v>
      </c>
      <c r="B1097" s="27" t="s">
        <v>843</v>
      </c>
      <c r="C1097" s="19">
        <v>31.07</v>
      </c>
      <c r="D1097" s="5" t="s">
        <v>276</v>
      </c>
      <c r="E1097" s="7">
        <v>13176.23</v>
      </c>
      <c r="F1097" s="7">
        <v>409385</v>
      </c>
    </row>
    <row r="1098" spans="1:6" x14ac:dyDescent="0.25">
      <c r="A1098" s="17" t="s">
        <v>435</v>
      </c>
      <c r="B1098" s="27" t="s">
        <v>348</v>
      </c>
      <c r="C1098" s="19">
        <v>0.75</v>
      </c>
      <c r="D1098" s="5" t="s">
        <v>267</v>
      </c>
      <c r="E1098" s="7">
        <v>1151545.01</v>
      </c>
      <c r="F1098" s="7">
        <v>863659</v>
      </c>
    </row>
    <row r="1099" spans="1:6" x14ac:dyDescent="0.25">
      <c r="A1099" s="17" t="s">
        <v>53</v>
      </c>
      <c r="B1099" s="18" t="s">
        <v>157</v>
      </c>
      <c r="C1099" s="19">
        <v>18</v>
      </c>
      <c r="D1099" s="5" t="s">
        <v>167</v>
      </c>
      <c r="E1099" s="7">
        <v>122466.89</v>
      </c>
      <c r="F1099" s="7">
        <v>2204404</v>
      </c>
    </row>
    <row r="1100" spans="1:6" x14ac:dyDescent="0.25">
      <c r="A1100" s="17" t="s">
        <v>55</v>
      </c>
      <c r="B1100" s="18" t="s">
        <v>158</v>
      </c>
      <c r="C1100" s="19">
        <v>18</v>
      </c>
      <c r="D1100" s="5" t="s">
        <v>167</v>
      </c>
      <c r="E1100" s="7">
        <v>54647.67</v>
      </c>
      <c r="F1100" s="7">
        <v>983658</v>
      </c>
    </row>
    <row r="1101" spans="1:6" x14ac:dyDescent="0.25">
      <c r="A1101" s="17" t="s">
        <v>57</v>
      </c>
      <c r="B1101" s="18" t="s">
        <v>159</v>
      </c>
      <c r="C1101" s="19">
        <v>1</v>
      </c>
      <c r="D1101" s="5" t="s">
        <v>240</v>
      </c>
      <c r="E1101" s="7">
        <v>24912876.1</v>
      </c>
      <c r="F1101" s="7">
        <v>24912876</v>
      </c>
    </row>
    <row r="1102" spans="1:6" x14ac:dyDescent="0.25">
      <c r="A1102" s="17" t="s">
        <v>59</v>
      </c>
      <c r="B1102" s="18" t="s">
        <v>160</v>
      </c>
      <c r="C1102" s="19">
        <v>6.95</v>
      </c>
      <c r="D1102" s="5" t="s">
        <v>267</v>
      </c>
      <c r="E1102" s="7">
        <v>345522.98</v>
      </c>
      <c r="F1102" s="7">
        <v>2401385</v>
      </c>
    </row>
    <row r="1103" spans="1:6" x14ac:dyDescent="0.25">
      <c r="A1103" s="6"/>
      <c r="B1103" s="8" t="s">
        <v>844</v>
      </c>
      <c r="C1103" s="6"/>
      <c r="D1103" s="6"/>
      <c r="E1103" s="6"/>
      <c r="F1103" s="9">
        <f>F6+F66+F107+F205+F255+F331+F339+F488+F644+F757+F785+F904+F959+F965+F968+F1089</f>
        <v>3723269226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</vt:lpstr>
      <vt:lpstr>Sub Resume</vt:lpstr>
      <vt:lpstr>Detail RAB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MARLIN</dc:creator>
  <dc:title/>
  <dc:subject/>
  <dc:description/>
  <cp:keywords/>
  <cp:category/>
  <cp:lastModifiedBy>Unknown</cp:lastModifiedBy>
  <dcterms:created xsi:type="dcterms:W3CDTF">2026-09-12T07:18:56Z</dcterms:created>
  <dcterms:modified xsi:type="dcterms:W3CDTF">2026-09-12T07:18:56Z</dcterms:modified>
</cp:coreProperties>
</file>