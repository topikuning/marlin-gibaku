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Adendum" state="visible" r:id="rId4"/>
  </sheets>
  <calcPr calcId="171027"/>
</workbook>
</file>

<file path=xl/sharedStrings.xml><?xml version="1.0" encoding="utf-8"?>
<sst xmlns="http://schemas.openxmlformats.org/spreadsheetml/2006/main" count="4214" uniqueCount="1920">
  <si>
    <t>TEMPLATE ADENDUM – RENCANA ANGGARAN BIAYA</t>
  </si>
  <si>
    <t>Pesisir · KNMP Situbondo · CV. Tosan</t>
  </si>
  <si>
    <t>Kontrak: B.17114/DJPT.6/PI.420/PPK/VI/2026 · Disalin dari RAB revisi aktif #1</t>
  </si>
  <si>
    <t>CARA MENGISI:</t>
  </si>
  <si>
    <t>1. Isi kolom VOLUME ADENDUM (kolom G) – itu volume SETELAH adendum, bukan selisihnya.</t>
  </si>
  <si>
    <t>2. Item baru: SISIPKAN BARIS KOSONG di dalam kategori yang sesuai (klik kanan nomor baris → Insert), lalu isi Kode/Uraian/Sat/Harga Satuan/VOLUME ADENDUM. Jangan MENYALIN baris lama – salinan ikut membawa identitas item itu dan akan ditolak saat diunggah. Kolom Jumlah Adendum &amp; Selisih pada baris baru biarkan kosong: sistem yang menghitungnya saat impor.</t>
  </si>
  <si>
    <t>3. Mencabut item: tulis HAPUS di kolom KETERANGAN. Volume 0 BUKAN penghapusan – artinya item tetap ada dengan volume nol. Kolom REALISASI TERCATAT (L) = pekerjaan yang SUDAH dikerjakan: Volume Adendum tidak boleh di bawahnya dan item ber-realisasi tidak bisa di-HAPUS. Sel yang melanggar berubah MERAH dan ditolak saat diunggah.</t>
  </si>
  <si>
    <t>Kode</t>
  </si>
  <si>
    <t>Uraian Pekerjaan</t>
  </si>
  <si>
    <t>Volume Kontrak</t>
  </si>
  <si>
    <t>Sat</t>
  </si>
  <si>
    <t>Harga Satuan (Rp)</t>
  </si>
  <si>
    <t>Jumlah Kontrak (Rp)</t>
  </si>
  <si>
    <t>VOLUME ADENDUM</t>
  </si>
  <si>
    <t>Jumlah Adendum (Rp)</t>
  </si>
  <si>
    <t>Selisih (Rp)</t>
  </si>
  <si>
    <t>Keterangan (isi HAPUS untuk mencabut)</t>
  </si>
  <si>
    <t>MARLIN:TEMPLATE-ADENDUM:v1</t>
  </si>
  <si>
    <t>Realisasi Tercatat</t>
  </si>
  <si>
    <t>I</t>
  </si>
  <si>
    <t>PEKERJAAN PERSIAPAN</t>
  </si>
  <si>
    <t>1</t>
  </si>
  <si>
    <t>Buat Bedeng Pekerja Dan Gudang</t>
  </si>
  <si>
    <t>m²</t>
  </si>
  <si>
    <t>I#1</t>
  </si>
  <si>
    <t>2</t>
  </si>
  <si>
    <t>Pekerjaan Sewa Rumah untuk Direksi Keetz</t>
  </si>
  <si>
    <t>bln</t>
  </si>
  <si>
    <t>I#2</t>
  </si>
  <si>
    <t>3</t>
  </si>
  <si>
    <t>Papan Nama Proyek</t>
  </si>
  <si>
    <t>bh</t>
  </si>
  <si>
    <t>I#3</t>
  </si>
  <si>
    <t>4</t>
  </si>
  <si>
    <t>Listrik Kerja</t>
  </si>
  <si>
    <t>I#4</t>
  </si>
  <si>
    <t>5</t>
  </si>
  <si>
    <t>Pekerjaan Pagar Sementara</t>
  </si>
  <si>
    <t>m¹</t>
  </si>
  <si>
    <t>I#5</t>
  </si>
  <si>
    <t>6</t>
  </si>
  <si>
    <t>Pekerjaan Pengadaan SMK3K</t>
  </si>
  <si>
    <t>I#6</t>
  </si>
  <si>
    <t>6.1</t>
  </si>
  <si>
    <t>Penyiapan RK3K, terdiri atas :</t>
  </si>
  <si>
    <t>I#6#6.1</t>
  </si>
  <si>
    <t>6.1.a</t>
  </si>
  <si>
    <t>Pembuatan Manual, Prosedur, Instruksi Kerja, Ijin Kerja dan Formulir</t>
  </si>
  <si>
    <t>set</t>
  </si>
  <si>
    <t>I#6#6.1#6.1.a</t>
  </si>
  <si>
    <t>6.1.b</t>
  </si>
  <si>
    <t>Pembuatan Kartu Identitas Pekerja (KIP)</t>
  </si>
  <si>
    <t>org</t>
  </si>
  <si>
    <t>I#6#6.1#6.1.b</t>
  </si>
  <si>
    <t>6.2</t>
  </si>
  <si>
    <t>Sosialisasi dan Promosi K3, terdiri atas :</t>
  </si>
  <si>
    <t>I#6#6.2</t>
  </si>
  <si>
    <t>6.2.a</t>
  </si>
  <si>
    <t>Induksi K3 (Safety Induction) ; khusus untuk pekerja baru</t>
  </si>
  <si>
    <t>I#6#6.2#6.2.a</t>
  </si>
  <si>
    <t>6.2.b</t>
  </si>
  <si>
    <t>Pengarahan K3 (Safety Briefing) :</t>
  </si>
  <si>
    <t>I#6#6.2#6.2.b</t>
  </si>
  <si>
    <t>6.3</t>
  </si>
  <si>
    <t>Alat Pelindung Kerja, terdiri atas :</t>
  </si>
  <si>
    <t>I#6#6.3</t>
  </si>
  <si>
    <t>6.3.a</t>
  </si>
  <si>
    <t>Pembatas Area (Restricted Area)</t>
  </si>
  <si>
    <t>ls</t>
  </si>
  <si>
    <t>I#6#6.3#6.3.a</t>
  </si>
  <si>
    <t>6.4</t>
  </si>
  <si>
    <t>Alat Pelindung Diri, terdiri atas :</t>
  </si>
  <si>
    <t>I#6#6.4</t>
  </si>
  <si>
    <t>6.4.a</t>
  </si>
  <si>
    <t>Topi Pelindung (Safety Helmet)</t>
  </si>
  <si>
    <t>I#6#6.4#6.4.a</t>
  </si>
  <si>
    <t>6.4.b</t>
  </si>
  <si>
    <t>Pelindung Pernapasan dan Mulut (Masker)</t>
  </si>
  <si>
    <t>I#6#6.4#6.4.b</t>
  </si>
  <si>
    <t>6.4.c</t>
  </si>
  <si>
    <t>Sarung Tangan (Safety Gloves)</t>
  </si>
  <si>
    <t>psg</t>
  </si>
  <si>
    <t>I#6#6.4#6.4.c</t>
  </si>
  <si>
    <t>6.4.d</t>
  </si>
  <si>
    <t>Sepatu Keselamatan (Rubber Safety Shoes and Toe Cap)</t>
  </si>
  <si>
    <t>I#6#6.4#6.4.d</t>
  </si>
  <si>
    <t>6.4.e</t>
  </si>
  <si>
    <t>Rompi Keselamatan ( Safety vest)</t>
  </si>
  <si>
    <t>I#6#6.4#6.4.e</t>
  </si>
  <si>
    <t>6.5</t>
  </si>
  <si>
    <t>Asuransi dan Perijinan, terdiri atas :</t>
  </si>
  <si>
    <t>I#6#6.5</t>
  </si>
  <si>
    <t>6.5.a</t>
  </si>
  <si>
    <t>BPJS Ketenagakerjaan dan Kesehatan Kerja ; (BERDASARKAN KEPMENAKER NOMOR 44 TAHUN 2015 tentang</t>
  </si>
  <si>
    <t>I#6#6.5#6.5.a</t>
  </si>
  <si>
    <t>6.6</t>
  </si>
  <si>
    <t>Personil K3, terdiri atas :</t>
  </si>
  <si>
    <t>I#6#6.6</t>
  </si>
  <si>
    <t>6.6.a</t>
  </si>
  <si>
    <t>Petugas K3</t>
  </si>
  <si>
    <t>I#6#6.6#6.6.a</t>
  </si>
  <si>
    <t>6.7</t>
  </si>
  <si>
    <t>Fasilitas Sarana Kesehatan, terdiri atas :</t>
  </si>
  <si>
    <t>I#6#6.7</t>
  </si>
  <si>
    <t>6.7.1</t>
  </si>
  <si>
    <t>Peralatan P3K (Kotak P3K, Tandu, Tabung Oksigen, Obat Luka, Perban, dll)</t>
  </si>
  <si>
    <t>I#6#6.7#6.7.1</t>
  </si>
  <si>
    <t>6.8</t>
  </si>
  <si>
    <t>Rambu-rambu ukuran min. 90x90, terdiri atas :</t>
  </si>
  <si>
    <t>I#6#6.8</t>
  </si>
  <si>
    <t>6.8.a</t>
  </si>
  <si>
    <t>Rambu Petunjuk</t>
  </si>
  <si>
    <t>I#6#6.8#6.8.a</t>
  </si>
  <si>
    <t>6.8.b</t>
  </si>
  <si>
    <t>Rambu Larangan</t>
  </si>
  <si>
    <t>I#6#6.8#6.8.b</t>
  </si>
  <si>
    <t>6.8.c</t>
  </si>
  <si>
    <t>Rambu Peringatan</t>
  </si>
  <si>
    <t>I#6#6.8#6.8.c</t>
  </si>
  <si>
    <t>6.8.d</t>
  </si>
  <si>
    <t>Rambu Kewajiban</t>
  </si>
  <si>
    <t>I#6#6.8#6.8.d</t>
  </si>
  <si>
    <t>6.9</t>
  </si>
  <si>
    <t>Lain-lain Terkait Pengendalian Resiko K3, terdiri atas :</t>
  </si>
  <si>
    <t>I#6#6.9</t>
  </si>
  <si>
    <t>6.9.a</t>
  </si>
  <si>
    <t>Alat Pemadam Api Ringan (APAR) ; 3 kg</t>
  </si>
  <si>
    <t>I#6#6.9#6.9.a</t>
  </si>
  <si>
    <t>6.9.b</t>
  </si>
  <si>
    <t>Bendera K3</t>
  </si>
  <si>
    <t>I#6#6.9#6.9.b</t>
  </si>
  <si>
    <t>6.9.c</t>
  </si>
  <si>
    <t>Jalur Evakuasi (Escape Route)</t>
  </si>
  <si>
    <t>I#6#6.9#6.9.c</t>
  </si>
  <si>
    <t>6.9.d</t>
  </si>
  <si>
    <t>Lampu Darurat (Emergency Lamp)</t>
  </si>
  <si>
    <t>I#6#6.9#6.9.d</t>
  </si>
  <si>
    <t>6.9.e</t>
  </si>
  <si>
    <t>Pelaporan K3 dan Program Inspeksi</t>
  </si>
  <si>
    <t>I#6#6.9#6.9.e</t>
  </si>
  <si>
    <t>7</t>
  </si>
  <si>
    <t>Pekerjaan Pembersihan Lokasi dari Pohon dan Rumput (Land Clearing)</t>
  </si>
  <si>
    <t>I#7</t>
  </si>
  <si>
    <t>8</t>
  </si>
  <si>
    <t>Pekerjaan Stake Out Posisi Trase Saluran/Infrastruktur</t>
  </si>
  <si>
    <t>I#8</t>
  </si>
  <si>
    <t>9</t>
  </si>
  <si>
    <t>Pekerjaan Sondir termasuk Pelaporan termasuk mobilisasi Alat dan Personil</t>
  </si>
  <si>
    <t>ttk</t>
  </si>
  <si>
    <t>I#9</t>
  </si>
  <si>
    <t>10</t>
  </si>
  <si>
    <t>Mobilisasi dan Demobilisasi</t>
  </si>
  <si>
    <t>I#10</t>
  </si>
  <si>
    <t>10.a</t>
  </si>
  <si>
    <t>Bulldozer</t>
  </si>
  <si>
    <t>unit</t>
  </si>
  <si>
    <t>I#10#10.a</t>
  </si>
  <si>
    <t>10.b</t>
  </si>
  <si>
    <t>Roller Vibrator 12 Ton</t>
  </si>
  <si>
    <t>I#10#10.b</t>
  </si>
  <si>
    <t>10.c</t>
  </si>
  <si>
    <t>Excavator</t>
  </si>
  <si>
    <t>I#10#10.c</t>
  </si>
  <si>
    <t>10.d</t>
  </si>
  <si>
    <t>Concrete Mixer 0,35 m³</t>
  </si>
  <si>
    <t>I#10#10.d</t>
  </si>
  <si>
    <t>10.e</t>
  </si>
  <si>
    <t>Concrete Mixer Pump</t>
  </si>
  <si>
    <t>I#10#10.e</t>
  </si>
  <si>
    <t>10.f</t>
  </si>
  <si>
    <t>Stamper</t>
  </si>
  <si>
    <t>I#10#10.f</t>
  </si>
  <si>
    <t>10.g</t>
  </si>
  <si>
    <t>Mesin las</t>
  </si>
  <si>
    <t>I#10#10.g</t>
  </si>
  <si>
    <t>11</t>
  </si>
  <si>
    <t>Pekerjaan Sambungan Daya Baru Gudang Beku</t>
  </si>
  <si>
    <t>I#11</t>
  </si>
  <si>
    <t>11.a</t>
  </si>
  <si>
    <t>Pendaftaran NIDI + SLO Daya 41,5 Kva</t>
  </si>
  <si>
    <t>I#11#11.a</t>
  </si>
  <si>
    <t>11.b</t>
  </si>
  <si>
    <t>Biaya Pasang Baru Daya 41,5 Kva</t>
  </si>
  <si>
    <t>I#11#11.b</t>
  </si>
  <si>
    <t>12</t>
  </si>
  <si>
    <t>Pekerjaan Sambungan Daya Baru Pabrik Es</t>
  </si>
  <si>
    <t>I#12</t>
  </si>
  <si>
    <t>12.a</t>
  </si>
  <si>
    <t>Pendaftaran NIDI + SLO Daya 23 Kva</t>
  </si>
  <si>
    <t>I#12#12.a</t>
  </si>
  <si>
    <t>12.b</t>
  </si>
  <si>
    <t>Biaya Pasang Baru Daya 23 Kva</t>
  </si>
  <si>
    <t>I#12#12.b</t>
  </si>
  <si>
    <t>13</t>
  </si>
  <si>
    <t>Pekerjaan Sambungan Daya Baru Kawasan</t>
  </si>
  <si>
    <t>I#13</t>
  </si>
  <si>
    <t>13.a</t>
  </si>
  <si>
    <t>Pendaftaran NIDI + SLO Daya 21 Kva</t>
  </si>
  <si>
    <t>I#13#13.a</t>
  </si>
  <si>
    <t>13.b</t>
  </si>
  <si>
    <t>Biaya Pasang Baru Daya 21 Kva</t>
  </si>
  <si>
    <t>I#13#13.b</t>
  </si>
  <si>
    <t>14</t>
  </si>
  <si>
    <t>Pekerjaan Panel Distribusi Kawasan, LVMDP/PDTR 25KVA, termasuk pengiriman dan instalasi</t>
  </si>
  <si>
    <t>I#14</t>
  </si>
  <si>
    <t>15</t>
  </si>
  <si>
    <t>Pekerjaan Pengadaan Tempat Sampah Portable 1100 L ex. Krisbow + Pengiriman</t>
  </si>
  <si>
    <t>I#15</t>
  </si>
  <si>
    <t>II</t>
  </si>
  <si>
    <t>PEKERJAAN REVETMENT</t>
  </si>
  <si>
    <t>Pekerjaan Pondasi</t>
  </si>
  <si>
    <t>II#1</t>
  </si>
  <si>
    <t>1.a</t>
  </si>
  <si>
    <t>Pekerjaan Galian Tanah s/d 1 m</t>
  </si>
  <si>
    <t>m³</t>
  </si>
  <si>
    <t>II#1#1.a</t>
  </si>
  <si>
    <t>1.b</t>
  </si>
  <si>
    <t>Pekerjaan Batu Kosong (Aanstamping)</t>
  </si>
  <si>
    <t>II#1#1.b</t>
  </si>
  <si>
    <t>1.c</t>
  </si>
  <si>
    <t>Pekerjaan Batu Belah 1 : 2</t>
  </si>
  <si>
    <t>II#1#1.c</t>
  </si>
  <si>
    <t>Pekerjaan Trap Tangga Beton lebar 60 cm</t>
  </si>
  <si>
    <t>II#2</t>
  </si>
  <si>
    <t>2.a</t>
  </si>
  <si>
    <t>Pekerjaan Bekesting Tangga</t>
  </si>
  <si>
    <t>II#2#2.a</t>
  </si>
  <si>
    <t>2.b</t>
  </si>
  <si>
    <t>Pembesian Besi Beton D13-150 mm secara semi mekanis</t>
  </si>
  <si>
    <t>kg</t>
  </si>
  <si>
    <t>II#2#2.b</t>
  </si>
  <si>
    <t>2.c</t>
  </si>
  <si>
    <t>Pembesian Besi Beton Ø 10-150 mm</t>
  </si>
  <si>
    <t>II#2#2.c</t>
  </si>
  <si>
    <t>2.d</t>
  </si>
  <si>
    <t>Pekerjaan beton semi mekanis setara fc = 25</t>
  </si>
  <si>
    <t>II#2#2.d</t>
  </si>
  <si>
    <t>Pekerjaan Trap Tangga Beton lebar 30 cm</t>
  </si>
  <si>
    <t>II#3</t>
  </si>
  <si>
    <t>3.a</t>
  </si>
  <si>
    <t>II#3#3.a</t>
  </si>
  <si>
    <t>3.b</t>
  </si>
  <si>
    <t>Pembesian Besi Beton D13-100 mm secara semi mekanis</t>
  </si>
  <si>
    <t>II#3#3.b</t>
  </si>
  <si>
    <t>3.c</t>
  </si>
  <si>
    <t>Pembesian Besi Beton D10-100 mm</t>
  </si>
  <si>
    <t>II#3#3.c</t>
  </si>
  <si>
    <t>3.d</t>
  </si>
  <si>
    <t>II#3#3.d</t>
  </si>
  <si>
    <t>3.e</t>
  </si>
  <si>
    <t>Pekerjaan Acian</t>
  </si>
  <si>
    <t>II#3#3.e</t>
  </si>
  <si>
    <t>3.f</t>
  </si>
  <si>
    <t>Pekerjaan Skonengan</t>
  </si>
  <si>
    <t>II#3#3.f</t>
  </si>
  <si>
    <t>Pekerjaan Dinding Beton Penutup Trap t = 20 cm</t>
  </si>
  <si>
    <t>II#4</t>
  </si>
  <si>
    <t>4.a</t>
  </si>
  <si>
    <t>Pekerjaan Kayu Bekesting Sloof</t>
  </si>
  <si>
    <t>II#4#4.a</t>
  </si>
  <si>
    <t>4.b</t>
  </si>
  <si>
    <t>II#4#4.b</t>
  </si>
  <si>
    <t>4.c</t>
  </si>
  <si>
    <t>Pembesian Besi Beton Ø10-150 mm</t>
  </si>
  <si>
    <t>II#4#4.c</t>
  </si>
  <si>
    <t>4.d</t>
  </si>
  <si>
    <t>II#4#4.d</t>
  </si>
  <si>
    <t>Pekerjaan Pondasi Tapak (untuk ddg Landing Stair)</t>
  </si>
  <si>
    <t>II#5</t>
  </si>
  <si>
    <t>5.a</t>
  </si>
  <si>
    <t>Pekerjaan Cerucuk Kayu Dolken Ø 6 - 8 cm</t>
  </si>
  <si>
    <t>II#5#5.a</t>
  </si>
  <si>
    <t>5.b</t>
  </si>
  <si>
    <t>Pekerjaan Kayu Bekesting Pondasi</t>
  </si>
  <si>
    <t>II#5#5.b</t>
  </si>
  <si>
    <t>5.c</t>
  </si>
  <si>
    <t>II#5#5.c</t>
  </si>
  <si>
    <t>5.d</t>
  </si>
  <si>
    <t>II#5#5.d</t>
  </si>
  <si>
    <t>Pekerjaan Tapak Beton Menerus 30 x 200 cm</t>
  </si>
  <si>
    <t>II#6</t>
  </si>
  <si>
    <t>6.a</t>
  </si>
  <si>
    <t>Pekerjaan Galian Tanah sampai dengan 1 m</t>
  </si>
  <si>
    <t>II#6#6.a</t>
  </si>
  <si>
    <t>6.b</t>
  </si>
  <si>
    <t>II#6#6.b</t>
  </si>
  <si>
    <t>6.c</t>
  </si>
  <si>
    <t>II#6#6.c</t>
  </si>
  <si>
    <t>6.d</t>
  </si>
  <si>
    <t>Pekerjaan Pembesian Besi Beton D 13 mm - 150</t>
  </si>
  <si>
    <t>II#6#6.d</t>
  </si>
  <si>
    <t>6.e</t>
  </si>
  <si>
    <t>Pekerjaan Pembesian Besi Beton D 10 mm - 150</t>
  </si>
  <si>
    <t>II#6#6.e</t>
  </si>
  <si>
    <t>6.f</t>
  </si>
  <si>
    <t>II#6#6.f</t>
  </si>
  <si>
    <t>6.g</t>
  </si>
  <si>
    <t>Pekerjaan Pemadatan Beton dengan Vibrator</t>
  </si>
  <si>
    <t>II#6#6.g</t>
  </si>
  <si>
    <t>Pekerjaan Dinding Beton t = 20 cm</t>
  </si>
  <si>
    <t>II#7</t>
  </si>
  <si>
    <t>7.a</t>
  </si>
  <si>
    <t>Pekerjaan Bekesting Dinding 5 kali pakai (2 sisi)</t>
  </si>
  <si>
    <t>II#7#7.a</t>
  </si>
  <si>
    <t>7.b</t>
  </si>
  <si>
    <t>Pek. Pembesian Besi Beton D 13 mm - 200 (Vertikal)</t>
  </si>
  <si>
    <t>II#7#7.b</t>
  </si>
  <si>
    <t>7.c</t>
  </si>
  <si>
    <t>Pek. Pembesian Besi Beton D 10 mm - 200 (Horisontal)</t>
  </si>
  <si>
    <t>II#7#7.c</t>
  </si>
  <si>
    <t>7.d</t>
  </si>
  <si>
    <t>II#7#7.d</t>
  </si>
  <si>
    <t>7.e</t>
  </si>
  <si>
    <t>II#7#7.e</t>
  </si>
  <si>
    <t>V</t>
  </si>
  <si>
    <t>PEKERJAAN BANGUNAN SHELTER PENDARATAN IKAN</t>
  </si>
  <si>
    <t>V.1</t>
  </si>
  <si>
    <t>Pekerjaan Struktural</t>
  </si>
  <si>
    <t>V#V.1</t>
  </si>
  <si>
    <t>Pekerjaan Bouwplank dan Uitzet</t>
  </si>
  <si>
    <t>V#V.1#1</t>
  </si>
  <si>
    <t>Pekerjaan Tapak Beton 30x80x80 cm</t>
  </si>
  <si>
    <t>V#V.1#2</t>
  </si>
  <si>
    <t>V#V.1#2#2.a</t>
  </si>
  <si>
    <t>Pekerjaan Urugan Pasir t = 7 cm</t>
  </si>
  <si>
    <t>V#V.1#2#2.b</t>
  </si>
  <si>
    <t>Pekerjaan Lantai Kerja t = 3 cm</t>
  </si>
  <si>
    <t>V#V.1#2#2.c</t>
  </si>
  <si>
    <t>Pekerjaan Bekesting Pasangan Batako</t>
  </si>
  <si>
    <t>V#V.1#2#2.d</t>
  </si>
  <si>
    <t>2.e</t>
  </si>
  <si>
    <t>Pekerjaan Pembesian Besi Beton D10 mm - 150</t>
  </si>
  <si>
    <t>V#V.1#2#2.e</t>
  </si>
  <si>
    <t>2.f</t>
  </si>
  <si>
    <t>Pekerjaan beton semi mekanis setara fc = 20</t>
  </si>
  <si>
    <t>V#V.1#2#2.f</t>
  </si>
  <si>
    <t>2.g</t>
  </si>
  <si>
    <t>V#V.1#2#2.g</t>
  </si>
  <si>
    <t>Pekerjaan Pondasi Batu Belah</t>
  </si>
  <si>
    <t>V#V.1#3</t>
  </si>
  <si>
    <t>Pekerjaan Galian Tanah keras s.d 1 m</t>
  </si>
  <si>
    <t>V#V.1#3#3.a</t>
  </si>
  <si>
    <t>Pekerjaan Pancang Cerucuk Dolken</t>
  </si>
  <si>
    <t>V#V.1#3#3.b</t>
  </si>
  <si>
    <t>Pekerjaan Urugan Pasir urug t = 7 cm</t>
  </si>
  <si>
    <t>V#V.1#3#3.c</t>
  </si>
  <si>
    <t>Pekerjaan Pondasi Batu Belah 1 : 5</t>
  </si>
  <si>
    <t>V#V.1#3#3.d</t>
  </si>
  <si>
    <t>Pekerjaan Angkur Sloof ke pondasi batu kali</t>
  </si>
  <si>
    <t>V#V.1#4</t>
  </si>
  <si>
    <t>Pekerjaan Sloof Beton 25/30</t>
  </si>
  <si>
    <t>V#V.1#5</t>
  </si>
  <si>
    <t>V#V.1#5#5.a</t>
  </si>
  <si>
    <t>Pekerjaan Pembesian Besi Beton 5 D 10 mm</t>
  </si>
  <si>
    <t>V#V.1#5#5.b</t>
  </si>
  <si>
    <t>Pekerjaan Pembesian Besi Beton Ø 8 mm - 100/150</t>
  </si>
  <si>
    <t>V#V.1#5#5.c</t>
  </si>
  <si>
    <t>V#V.1#5#5.d</t>
  </si>
  <si>
    <t>Pekerjaan Lantai</t>
  </si>
  <si>
    <t>V#V.1#6</t>
  </si>
  <si>
    <t>Pekerjaan Urugan Tanah Urug</t>
  </si>
  <si>
    <t>V#V.1#6#6.a</t>
  </si>
  <si>
    <t>Pekerjaan pemadatan tanah urug</t>
  </si>
  <si>
    <t>V#V.1#6#6.b</t>
  </si>
  <si>
    <t>Pekerjaan Urugan Pasir t = 5 cm</t>
  </si>
  <si>
    <t>V#V.1#6#6.c</t>
  </si>
  <si>
    <t>Pekerjaan Rabat Beton t = 7 cm</t>
  </si>
  <si>
    <t>V#V.1#6#6.d</t>
  </si>
  <si>
    <t>V#V.1#6#6.e</t>
  </si>
  <si>
    <t>Pekerjaan Kolom Beton Pedestal 25/25</t>
  </si>
  <si>
    <t>V#V.1#7</t>
  </si>
  <si>
    <t>Pekerjaan Kayu Bekesting Kolom</t>
  </si>
  <si>
    <t>V#V.1#7#7.a</t>
  </si>
  <si>
    <t>Pekerjaan Pembesian Besi Beton 8 D 10 mm</t>
  </si>
  <si>
    <t>V#V.1#7#7.b</t>
  </si>
  <si>
    <t>Pekerjaan Pembesian Besi Beton Ø 8 mm - 150</t>
  </si>
  <si>
    <t>V#V.1#7#7.c</t>
  </si>
  <si>
    <t>Pekerjaan Beton Semi Mekanis setara fc = 20</t>
  </si>
  <si>
    <t>V#V.1#7#7.d</t>
  </si>
  <si>
    <t>Pekerjaan Kolom Beton 25/25</t>
  </si>
  <si>
    <t>V#V.1#8</t>
  </si>
  <si>
    <t>8.a</t>
  </si>
  <si>
    <t>V#V.1#8#8.a</t>
  </si>
  <si>
    <t>8.b</t>
  </si>
  <si>
    <t>V#V.1#8#8.b</t>
  </si>
  <si>
    <t>8.c</t>
  </si>
  <si>
    <t>V#V.1#8#8.c</t>
  </si>
  <si>
    <t>8.d</t>
  </si>
  <si>
    <t>V#V.1#8#8.d</t>
  </si>
  <si>
    <t>Pekerjaan Balok Beton RB-1 20/35</t>
  </si>
  <si>
    <t>V#V.1#9</t>
  </si>
  <si>
    <t>9.a</t>
  </si>
  <si>
    <t>Pekerjaan Kayu Bekesting Balok</t>
  </si>
  <si>
    <t>V#V.1#9#9.a</t>
  </si>
  <si>
    <t>9.b</t>
  </si>
  <si>
    <t>V#V.1#9#9.b</t>
  </si>
  <si>
    <t>9.c</t>
  </si>
  <si>
    <t>V#V.1#9#9.c</t>
  </si>
  <si>
    <t>9.d</t>
  </si>
  <si>
    <t>V#V.1#9#9.d</t>
  </si>
  <si>
    <t>Pekerjaan Balok Beton B-1 20/35</t>
  </si>
  <si>
    <t>V#V.1#10</t>
  </si>
  <si>
    <t>V#V.1#10#10.a</t>
  </si>
  <si>
    <t>V#V.1#10#10.b</t>
  </si>
  <si>
    <t>V#V.1#10#10.c</t>
  </si>
  <si>
    <t>V#V.1#10#10.d</t>
  </si>
  <si>
    <t>Pekerjaan Balok Beton Praktis 15/15</t>
  </si>
  <si>
    <t>V#V.1#11</t>
  </si>
  <si>
    <t>V#V.1#11#11.a</t>
  </si>
  <si>
    <t>Pekerjaan Pembesian Besi Beton 4 D 10 mm</t>
  </si>
  <si>
    <t>V#V.1#11#11.b</t>
  </si>
  <si>
    <t>11.c</t>
  </si>
  <si>
    <t>V#V.1#11#11.c</t>
  </si>
  <si>
    <t>11.d</t>
  </si>
  <si>
    <t>V#V.1#11#11.d</t>
  </si>
  <si>
    <t>Pekerjaan Kuda-Kuda Beton Atap</t>
  </si>
  <si>
    <t>V#V.1#12</t>
  </si>
  <si>
    <t>12.1</t>
  </si>
  <si>
    <t>Balok Beton Utama 15/20</t>
  </si>
  <si>
    <t>V#V.1#12#12.1</t>
  </si>
  <si>
    <t>12.1.a</t>
  </si>
  <si>
    <t>V#V.1#12#12.1#12.1.a</t>
  </si>
  <si>
    <t>12.1.b</t>
  </si>
  <si>
    <t>Pekerjaan Pembesian Besi Beton 4 D 10</t>
  </si>
  <si>
    <t>V#V.1#12#12.1#12.1.b</t>
  </si>
  <si>
    <t>12.1.c</t>
  </si>
  <si>
    <t>Pekerjaan Pembesian Besi Beton Ø 8 - 100/150</t>
  </si>
  <si>
    <t>V#V.1#12#12.1#12.1.c</t>
  </si>
  <si>
    <t>12.1.d</t>
  </si>
  <si>
    <t>Pekerjaan Beton Site Mix setara fc = 20</t>
  </si>
  <si>
    <t>V#V.1#12#12.1#12.1.d</t>
  </si>
  <si>
    <t>12.2</t>
  </si>
  <si>
    <t>Kolom Beton 15/20</t>
  </si>
  <si>
    <t>V#V.1#12#12.2</t>
  </si>
  <si>
    <t>12.2.a</t>
  </si>
  <si>
    <t>V#V.1#12#12.2#12.2.a</t>
  </si>
  <si>
    <t>12.2.b</t>
  </si>
  <si>
    <t>V#V.1#12#12.2#12.2.b</t>
  </si>
  <si>
    <t>12.2.c</t>
  </si>
  <si>
    <t>V#V.1#12#12.2#12.2.c</t>
  </si>
  <si>
    <t>12.2.d</t>
  </si>
  <si>
    <t>V#V.1#12#12.2#12.2.d</t>
  </si>
  <si>
    <t>V.2</t>
  </si>
  <si>
    <t>Pekerjaan Arsitektural</t>
  </si>
  <si>
    <t>V#V.2</t>
  </si>
  <si>
    <t>Pekerjaan Pasangan Dinding Bata Merah 1 : 5</t>
  </si>
  <si>
    <t>V#V.2#1</t>
  </si>
  <si>
    <t>Pekerjaan Plesteran</t>
  </si>
  <si>
    <t>V#V.2#2</t>
  </si>
  <si>
    <t>V#V.2#3</t>
  </si>
  <si>
    <t>Pekerjaan Acian Beton</t>
  </si>
  <si>
    <t>V#V.2#4</t>
  </si>
  <si>
    <t>Pekerjaan Dinding Sopi-Sopi GRC</t>
  </si>
  <si>
    <t>V#V.2#5</t>
  </si>
  <si>
    <t>Pekerjaan Trap Entrance</t>
  </si>
  <si>
    <t>V#V.2#6</t>
  </si>
  <si>
    <t>Pekerjaan Galian Tanah</t>
  </si>
  <si>
    <t>V#V.2#6#6.a</t>
  </si>
  <si>
    <t>Pekerjaan Pondasi Rolaag Bata</t>
  </si>
  <si>
    <t>V#V.2#6#6.b</t>
  </si>
  <si>
    <t>Pekerjaan Urugan Tanah</t>
  </si>
  <si>
    <t>V#V.2#6#6.c</t>
  </si>
  <si>
    <t>Pekerjaan Urugan Pasir t = 3 cm</t>
  </si>
  <si>
    <t>V#V.2#6#6.d</t>
  </si>
  <si>
    <t>V#V.2#6#6.e</t>
  </si>
  <si>
    <t>Pekerjaan Plesteran Dinding Samping Trap</t>
  </si>
  <si>
    <t>V#V.2#6#6.f</t>
  </si>
  <si>
    <t>V#V.2#6#6.g</t>
  </si>
  <si>
    <t>Pekerjaan Rangka Atap Baja Ringan</t>
  </si>
  <si>
    <t>V#V.2#7</t>
  </si>
  <si>
    <t>Pekerjaan Pemasangan Atap Pelana Rangka Atap Baja Ringan (Canai Dingin) profil C75 (AZ 100)</t>
  </si>
  <si>
    <t>V#V.2#7#7.a</t>
  </si>
  <si>
    <t>Pekerjaan Pemasangan Reng Baja Ringan R32 t = 0,45 mm (AZ 100)</t>
  </si>
  <si>
    <t>V#V.2#7#7.b</t>
  </si>
  <si>
    <t>Pekerjaan Pemasangan Atap Spandek Berpasir t = 0,45</t>
  </si>
  <si>
    <t>V#V.2#7#7.c</t>
  </si>
  <si>
    <t>Pekerjaan Pemasangan Nok Spandek Berpasir</t>
  </si>
  <si>
    <t>V#V.2#7#7.d</t>
  </si>
  <si>
    <t>Pekerjaan Plafond GRC t = 6  mm,termasuk rangka besi hollow Galvalum 40/40 modul 60x60 cm</t>
  </si>
  <si>
    <t>V#V.2#8</t>
  </si>
  <si>
    <t>Pekerjaan Dinding GRC Motif Lokal Finishing Cat termasuk dudukan besi hollow Galvanis 40/40</t>
  </si>
  <si>
    <t>V#V.2#9</t>
  </si>
  <si>
    <t>Pekerjaan Cat Dinding Luar (sealer+extreme Jotun)</t>
  </si>
  <si>
    <t>V#V.2#10</t>
  </si>
  <si>
    <t>Pekerjaan Pengecatan Plafond</t>
  </si>
  <si>
    <t>V#V.2#11</t>
  </si>
  <si>
    <t>Pekerjaan Listplank GRC L = 30 cm, t = 8 mm</t>
  </si>
  <si>
    <t>V#V.2#12</t>
  </si>
  <si>
    <t>Pengecatan Listplank GRC (Wheatershield)</t>
  </si>
  <si>
    <t>V#V.2#13</t>
  </si>
  <si>
    <t>Pek. Logo KKP plate galvanis Finish Cat Duco dia.40 cm</t>
  </si>
  <si>
    <t>V#V.2#14</t>
  </si>
  <si>
    <t>Pekerjaan Huruf Timbul plate galvanis finish cat duco, SHELTER PENDARATAN IKAN uk. 20x25 cm</t>
  </si>
  <si>
    <t>V#V.2#15</t>
  </si>
  <si>
    <t>V.3</t>
  </si>
  <si>
    <t>Pekerjaan Elektrikal</t>
  </si>
  <si>
    <t>V#V.3</t>
  </si>
  <si>
    <t>Pekerjaan Instalasi Penerangan NYM 2 x 1 ½ mm²</t>
  </si>
  <si>
    <t>V#V.3#1</t>
  </si>
  <si>
    <t>Instalasi Stop Kontak, kabel NYM 2 x 2 ½ mm²</t>
  </si>
  <si>
    <t>V#V.3#2</t>
  </si>
  <si>
    <t>Pasang Saklar Dobel</t>
  </si>
  <si>
    <t>V#V.3#3</t>
  </si>
  <si>
    <t>Pasang Stop Kontak</t>
  </si>
  <si>
    <t>V#V.3#4</t>
  </si>
  <si>
    <t>Pekerjaan Pasang Lampu Downlight 5 Inch LED 9 Watt</t>
  </si>
  <si>
    <t>V#V.3#5</t>
  </si>
  <si>
    <t>Pekerjaan Box Panel Listrik (MCB) 4 Group</t>
  </si>
  <si>
    <t>V#V.3#6</t>
  </si>
  <si>
    <t>VI</t>
  </si>
  <si>
    <t>PEKERJAAN PONDASI GUDANG BEKU PORTABLE</t>
  </si>
  <si>
    <t>VI.1</t>
  </si>
  <si>
    <t>Pekerjaan Struktural Pondasi</t>
  </si>
  <si>
    <t>VI#VI.1</t>
  </si>
  <si>
    <t>VI#VI.1#1</t>
  </si>
  <si>
    <t>Pekerjaan Pondasi Batu Belah (Bangunan)</t>
  </si>
  <si>
    <t>VI#VI.1#2</t>
  </si>
  <si>
    <t>Pekerjaan Galian Tanah Biasa sedalam 1-2 m</t>
  </si>
  <si>
    <t>VI#VI.1#2#2.a</t>
  </si>
  <si>
    <t>VI#VI.1#2#2.b</t>
  </si>
  <si>
    <t>Pekerjaan Aanstamping/ Batu Kosong</t>
  </si>
  <si>
    <t>VI#VI.1#2#2.c</t>
  </si>
  <si>
    <t>VI#VI.1#2#2.d</t>
  </si>
  <si>
    <t>Pekerjaan Urugan Tanah Kembali</t>
  </si>
  <si>
    <t>VI#VI.1#2#2.e</t>
  </si>
  <si>
    <t>Pekerjaan Pemadatan Tanah Urug</t>
  </si>
  <si>
    <t>VI#VI.1#2#2.f</t>
  </si>
  <si>
    <t>VI#VI.1#2#2.g</t>
  </si>
  <si>
    <t>2.h</t>
  </si>
  <si>
    <t>VI#VI.1#2#2.h</t>
  </si>
  <si>
    <t>Pekerjaan Pondasi Batu Belah (Teras)</t>
  </si>
  <si>
    <t>VI#VI.1#3</t>
  </si>
  <si>
    <t>Pekerjaan Galian Tanah Biasa sedalam 1 m</t>
  </si>
  <si>
    <t>VI#VI.1#3#3.a</t>
  </si>
  <si>
    <t>VI#VI.1#3#3.b</t>
  </si>
  <si>
    <t>VI#VI.1#3#3.c</t>
  </si>
  <si>
    <t>VI#VI.1#3#3.d</t>
  </si>
  <si>
    <t>VI#VI.1#3#3.e</t>
  </si>
  <si>
    <t>VI#VI.1#4</t>
  </si>
  <si>
    <t>Pekerjaan Sloof Beton 30/30</t>
  </si>
  <si>
    <t>VI#VI.1#5</t>
  </si>
  <si>
    <t>VI#VI.1#5#5.a</t>
  </si>
  <si>
    <t>Pekerjaan Pembesian Besi Beton Tulangan Utama</t>
  </si>
  <si>
    <t>VI#VI.1#5#5.b</t>
  </si>
  <si>
    <t>Pekerjaan Pembesian Besi Beton Sengkang</t>
  </si>
  <si>
    <t>VI#VI.1#5#5.c</t>
  </si>
  <si>
    <t>5.e</t>
  </si>
  <si>
    <t>VI#VI.1#5#5.e</t>
  </si>
  <si>
    <t>Pekerjaan Sloof Beton 15/20</t>
  </si>
  <si>
    <t>VI#VI.1#6</t>
  </si>
  <si>
    <t>VI#VI.1#6#6.a</t>
  </si>
  <si>
    <t>VI#VI.1#6#6.b</t>
  </si>
  <si>
    <t>VI#VI.1#6#6.c</t>
  </si>
  <si>
    <t>VI#VI.1#6#6.e</t>
  </si>
  <si>
    <t>Pekerjaan Lantai Beton t = 15 cm</t>
  </si>
  <si>
    <t>VI#VI.1#7</t>
  </si>
  <si>
    <t>VI#VI.1#7#7.a</t>
  </si>
  <si>
    <t>VI#VI.1#7#7.b</t>
  </si>
  <si>
    <t>Pekerjaan Urugan Pasir</t>
  </si>
  <si>
    <t>VI#VI.1#7#7.c</t>
  </si>
  <si>
    <t>Pekerjaan Lantai Kerja</t>
  </si>
  <si>
    <t>VI#VI.1#7#7.d</t>
  </si>
  <si>
    <t>VI#VI.1#7#7.e</t>
  </si>
  <si>
    <t>7.f</t>
  </si>
  <si>
    <t>Pekerjaan Pembesian Plat Lantai Besi Beton D10 - 150</t>
  </si>
  <si>
    <t>VI#VI.1#7#7.f</t>
  </si>
  <si>
    <t>7.g</t>
  </si>
  <si>
    <t>VI#VI.1#7#7.g</t>
  </si>
  <si>
    <t>VI#VI.1#8</t>
  </si>
  <si>
    <t>VI#VI.1#8#8.a</t>
  </si>
  <si>
    <t>VI#VI.1#8#8.b</t>
  </si>
  <si>
    <t>VI#VI.1#8#8.c</t>
  </si>
  <si>
    <t>VI#VI.1#8#8.d</t>
  </si>
  <si>
    <t>8.e</t>
  </si>
  <si>
    <t>VI#VI.1#8#8.e</t>
  </si>
  <si>
    <t>8.f</t>
  </si>
  <si>
    <t>VI#VI.1#8#8.f</t>
  </si>
  <si>
    <t>8.g</t>
  </si>
  <si>
    <t>VI#VI.1#8#8.g</t>
  </si>
  <si>
    <t>Pekerjaan Tanggul Keliling t = 10 cm</t>
  </si>
  <si>
    <t>VI#VI.1#9</t>
  </si>
  <si>
    <t>Pekerjaan Roolag Bata</t>
  </si>
  <si>
    <t>VI#VI.1#9#9.a</t>
  </si>
  <si>
    <t>VI#VI.1#9#9.b</t>
  </si>
  <si>
    <t>VI#VI.1#9#9.c</t>
  </si>
  <si>
    <t>Pekerjaan Screeding Lantai Beton</t>
  </si>
  <si>
    <t>VI#VI.1#10</t>
  </si>
  <si>
    <t>VII</t>
  </si>
  <si>
    <t>PEKERJAAN PONDASI PABRIK ES PORTABLE</t>
  </si>
  <si>
    <t>VII.1</t>
  </si>
  <si>
    <t>VII#VII.1</t>
  </si>
  <si>
    <t>VII#VII.1#1</t>
  </si>
  <si>
    <t>VII#VII.1#2</t>
  </si>
  <si>
    <t>Pekerjaan Galian Tanah keras sedalam 1 m</t>
  </si>
  <si>
    <t>VII#VII.1#2#2.a</t>
  </si>
  <si>
    <t>VII#VII.1#2#2.b</t>
  </si>
  <si>
    <t>VII#VII.1#2#2.c</t>
  </si>
  <si>
    <t>VII#VII.1#2#2.d</t>
  </si>
  <si>
    <t>VII#VII.1#2#2.e</t>
  </si>
  <si>
    <t>VII#VII.1#2#2.f</t>
  </si>
  <si>
    <t>VII#VII.1#2#2.g</t>
  </si>
  <si>
    <t>VII#VII.1#2#2.h</t>
  </si>
  <si>
    <t>VII#VII.1#3</t>
  </si>
  <si>
    <t>VII#VII.1#4</t>
  </si>
  <si>
    <t>VII#VII.1#4#4.a</t>
  </si>
  <si>
    <t>VII#VII.1#4#4.b</t>
  </si>
  <si>
    <t>VII#VII.1#4#4.c</t>
  </si>
  <si>
    <t>4.e</t>
  </si>
  <si>
    <t>VII#VII.1#4#4.e</t>
  </si>
  <si>
    <t>VII#VII.1#5</t>
  </si>
  <si>
    <t>VII#VII.1#5#5.a</t>
  </si>
  <si>
    <t>VII#VII.1#5#5.b</t>
  </si>
  <si>
    <t>VII#VII.1#5#5.c</t>
  </si>
  <si>
    <t>VII#VII.1#5#5.d</t>
  </si>
  <si>
    <t>VII#VII.1#5#5.e</t>
  </si>
  <si>
    <t>5.f</t>
  </si>
  <si>
    <t>Pekerjaan Pembesian Besi Lantai</t>
  </si>
  <si>
    <t>VII#VII.1#5#5.f</t>
  </si>
  <si>
    <t>5.g</t>
  </si>
  <si>
    <t>VII#VII.1#5#5.g</t>
  </si>
  <si>
    <t>VII#VII.1#6</t>
  </si>
  <si>
    <t>VII#VII.1#6#6.a</t>
  </si>
  <si>
    <t>VII#VII.1#6#6.b</t>
  </si>
  <si>
    <t>VII#VII.1#6#6.c</t>
  </si>
  <si>
    <t>VII#VII.1#6#6.d</t>
  </si>
  <si>
    <t>VII#VII.1#6#6.e</t>
  </si>
  <si>
    <t>VII#VII.1#6#6.f</t>
  </si>
  <si>
    <t>VII#VII.1#6#6.g</t>
  </si>
  <si>
    <t>VII#VII.1#7</t>
  </si>
  <si>
    <t>VII#VII.1#7#7.a</t>
  </si>
  <si>
    <t>VII#VII.1#7#7.b</t>
  </si>
  <si>
    <t>VII#VII.1#7#7.c</t>
  </si>
  <si>
    <t>VII#VII.1#8</t>
  </si>
  <si>
    <t>VII.2</t>
  </si>
  <si>
    <t>Pekerjaan Struktural Ground Water Tank Beton</t>
  </si>
  <si>
    <t>VII#VII.2</t>
  </si>
  <si>
    <t>VII#VII.2#1</t>
  </si>
  <si>
    <t>Pekerjaan Galian Tanah Sedalam 1 s/d 2 m</t>
  </si>
  <si>
    <t>VII#VII.2#2</t>
  </si>
  <si>
    <t>VII#VII.2#3</t>
  </si>
  <si>
    <t>Pekerjaan Lantai Kerja t = 5 cm</t>
  </si>
  <si>
    <t>VII#VII.2#4</t>
  </si>
  <si>
    <t>VII#VII.2#5</t>
  </si>
  <si>
    <t>Pekerjaan Balok Beton 15/20</t>
  </si>
  <si>
    <t>VII#VII.2#6</t>
  </si>
  <si>
    <t>VII#VII.2#6#6.a</t>
  </si>
  <si>
    <t>VII#VII.2#6#6.b</t>
  </si>
  <si>
    <t>Pekerjaan Pembesian Besi Beton Ø 6 mm - 150</t>
  </si>
  <si>
    <t>VII#VII.2#6#6.c</t>
  </si>
  <si>
    <t>Pekerjaan Beton Semi Mekanis setara fc = 25</t>
  </si>
  <si>
    <t>VII#VII.2#6#6.d</t>
  </si>
  <si>
    <t>Pekerjaan Balok Beton 15/15</t>
  </si>
  <si>
    <t>VII#VII.2#7</t>
  </si>
  <si>
    <t>VII#VII.2#7#7.a</t>
  </si>
  <si>
    <t>VII#VII.2#7#7.b</t>
  </si>
  <si>
    <t>VII#VII.2#7#7.c</t>
  </si>
  <si>
    <t>VII#VII.2#7#7.d</t>
  </si>
  <si>
    <t>Pekerjaan Lantai Beton t = 20 cm</t>
  </si>
  <si>
    <t>VII#VII.2#8</t>
  </si>
  <si>
    <t>VII#VII.2#8#8.a</t>
  </si>
  <si>
    <t>VII#VII.2#8#8.b</t>
  </si>
  <si>
    <t>VII#VII.2#8#8.c</t>
  </si>
  <si>
    <t>Pekerjaan Dinding Beton t = 15 cm</t>
  </si>
  <si>
    <t>VII#VII.2#9</t>
  </si>
  <si>
    <t>Pekerjaan Bekesting Dinding</t>
  </si>
  <si>
    <t>VII#VII.2#9#9.a</t>
  </si>
  <si>
    <t>Pekerjaan Pembesian Besi Beton D10 - 150</t>
  </si>
  <si>
    <t>VII#VII.2#9#9.b</t>
  </si>
  <si>
    <t>VII#VII.2#9#9.c</t>
  </si>
  <si>
    <t>Pekerjaan Dak Beton Beton t = 15 cm</t>
  </si>
  <si>
    <t>VII#VII.2#10</t>
  </si>
  <si>
    <t>Pekerjaan Bekesting Lantai</t>
  </si>
  <si>
    <t>VII#VII.2#10#10.a</t>
  </si>
  <si>
    <t>VII#VII.2#10#10.b</t>
  </si>
  <si>
    <t>VII#VII.2#10#10.c</t>
  </si>
  <si>
    <t>Pekerjaan Manhole Cover Beton t = 10 cm</t>
  </si>
  <si>
    <t>VII#VII.2#11</t>
  </si>
  <si>
    <t>VII#VII.2#11#11.a</t>
  </si>
  <si>
    <t>VII#VII.2#11#11.b</t>
  </si>
  <si>
    <t>Pekerjaan Pembesian Besi Beton Ø 8 mm (kupingan)</t>
  </si>
  <si>
    <t>VII#VII.2#11#11.c</t>
  </si>
  <si>
    <t>VII#VII.2#11#11.d</t>
  </si>
  <si>
    <t>Pekerjaan Waterproofing Coating ex.No Drop anti Panas</t>
  </si>
  <si>
    <t>VII#VII.2#12</t>
  </si>
  <si>
    <t>Pekerjaan PVC Waterstop lebar 200 mm</t>
  </si>
  <si>
    <t>VII#VII.2#13</t>
  </si>
  <si>
    <t>Pekerjaan Pompa Dorong Marine Grade</t>
  </si>
  <si>
    <t>VII#VII.2#14</t>
  </si>
  <si>
    <t>Pekerjaan Pemasangan Pipa HDPE Ø 2 Inch</t>
  </si>
  <si>
    <t>VII#VII.2#15</t>
  </si>
  <si>
    <t>VIII</t>
  </si>
  <si>
    <t>PEKERJAAN AREA PARKIR</t>
  </si>
  <si>
    <t>Pekerjaan Urugan Makadam t = 20 cm</t>
  </si>
  <si>
    <t>VIII#1</t>
  </si>
  <si>
    <t>Pekerjaan Pemadatan Makadam</t>
  </si>
  <si>
    <t>VIII#2</t>
  </si>
  <si>
    <t>Pekerjaan Urugan Sirtu t = 10 cm</t>
  </si>
  <si>
    <t>VIII#3</t>
  </si>
  <si>
    <t>Pekerjaan Pemadatan Sirtu</t>
  </si>
  <si>
    <t>VIII#4</t>
  </si>
  <si>
    <t>VIII#5</t>
  </si>
  <si>
    <t>Pekerjaan Lantai Paving Block t = 6 cm</t>
  </si>
  <si>
    <t>VIII#6</t>
  </si>
  <si>
    <t>Pekerjaan Kanstin 15.25.40</t>
  </si>
  <si>
    <t>VIII#7</t>
  </si>
  <si>
    <t>IX</t>
  </si>
  <si>
    <t>PEKERJAAN BANGUNAN KIOS PERBEKALAN</t>
  </si>
  <si>
    <t>IX.1</t>
  </si>
  <si>
    <t>IX#IX.1</t>
  </si>
  <si>
    <t>IX#IX.1#1</t>
  </si>
  <si>
    <t>IX#IX.1#2</t>
  </si>
  <si>
    <t>IX#IX.1#2#2.a</t>
  </si>
  <si>
    <t>IX#IX.1#2#2.b</t>
  </si>
  <si>
    <t>IX#IX.1#2#2.c</t>
  </si>
  <si>
    <t>IX#IX.1#2#2.d</t>
  </si>
  <si>
    <t>IX#IX.1#2#2.e</t>
  </si>
  <si>
    <t>IX#IX.1#2#2.f</t>
  </si>
  <si>
    <t>IX#IX.1#2#2.g</t>
  </si>
  <si>
    <t>Pekerjaan Pondasi Pas. Batu Belah</t>
  </si>
  <si>
    <t>IX#IX.1#3</t>
  </si>
  <si>
    <t>IX#IX.1#3#3.a</t>
  </si>
  <si>
    <t>IX#IX.1#3#3.b</t>
  </si>
  <si>
    <t>IX#IX.1#3#3.c</t>
  </si>
  <si>
    <t>IX#IX.1#3#3.d</t>
  </si>
  <si>
    <t>IX#IX.1#4</t>
  </si>
  <si>
    <t>IX#IX.1#5</t>
  </si>
  <si>
    <t>IX#IX.1#5#5.a</t>
  </si>
  <si>
    <t>IX#IX.1#5#5.b</t>
  </si>
  <si>
    <t>IX#IX.1#5#5.c</t>
  </si>
  <si>
    <t>IX#IX.1#5#5.d</t>
  </si>
  <si>
    <t>IX#IX.1#6</t>
  </si>
  <si>
    <t>IX#IX.1#6#6.a</t>
  </si>
  <si>
    <t>IX#IX.1#6#6.b</t>
  </si>
  <si>
    <t>IX#IX.1#6#6.c</t>
  </si>
  <si>
    <t>IX#IX.1#6#6.d</t>
  </si>
  <si>
    <t>IX#IX.1#7</t>
  </si>
  <si>
    <t>Pekerjaan Bekesting Kolom</t>
  </si>
  <si>
    <t>IX#IX.1#7#7.a</t>
  </si>
  <si>
    <t>IX#IX.1#7#7.b</t>
  </si>
  <si>
    <t>IX#IX.1#7#7.c</t>
  </si>
  <si>
    <t>IX#IX.1#7#7.d</t>
  </si>
  <si>
    <t>Pekerjaan Kolom Beton Praktis 15/15</t>
  </si>
  <si>
    <t>IX#IX.1#8</t>
  </si>
  <si>
    <t>IX#IX.1#8#8.a</t>
  </si>
  <si>
    <t>IX#IX.1#8#8.b</t>
  </si>
  <si>
    <t>IX#IX.1#8#8.c</t>
  </si>
  <si>
    <t>IX#IX.1#8#8.d</t>
  </si>
  <si>
    <t>IX#IX.1#9</t>
  </si>
  <si>
    <t>Pekerjaan Bekesting Balok</t>
  </si>
  <si>
    <t>IX#IX.1#9#9.a</t>
  </si>
  <si>
    <t>IX#IX.1#9#9.b</t>
  </si>
  <si>
    <t>IX#IX.1#9#9.c</t>
  </si>
  <si>
    <t>IX#IX.1#9#9.d</t>
  </si>
  <si>
    <t>IX#IX.1#10</t>
  </si>
  <si>
    <t>IX#IX.1#10#10.a</t>
  </si>
  <si>
    <t>IX#IX.1#10#10.b</t>
  </si>
  <si>
    <t>IX#IX.1#10#10.c</t>
  </si>
  <si>
    <t>IX#IX.1#10#10.d</t>
  </si>
  <si>
    <t>IX#IX.1#11</t>
  </si>
  <si>
    <t>IX#IX.1#11#11.a</t>
  </si>
  <si>
    <t>IX#IX.1#11#11.b</t>
  </si>
  <si>
    <t>IX#IX.1#11#11.c</t>
  </si>
  <si>
    <t>IX#IX.1#11#11.d</t>
  </si>
  <si>
    <t>IX#IX.1#12</t>
  </si>
  <si>
    <t>IX#IX.1#12#12.1</t>
  </si>
  <si>
    <t>IX#IX.1#12#12.1#12.1.a</t>
  </si>
  <si>
    <t>IX#IX.1#12#12.1#12.1.b</t>
  </si>
  <si>
    <t>IX#IX.1#12#12.1#12.1.c</t>
  </si>
  <si>
    <t>IX#IX.1#12#12.1#12.1.d</t>
  </si>
  <si>
    <t>IX#IX.1#12#12.2</t>
  </si>
  <si>
    <t>IX#IX.1#12#12.2#12.2.a</t>
  </si>
  <si>
    <t>IX#IX.1#12#12.2#12.2.b</t>
  </si>
  <si>
    <t>IX#IX.1#12#12.2#12.2.c</t>
  </si>
  <si>
    <t>IX#IX.1#12#12.2#12.2.d</t>
  </si>
  <si>
    <t>IX#IX.1#13</t>
  </si>
  <si>
    <t>Pekerjaan Galian Tanah (Roolag Teras)</t>
  </si>
  <si>
    <t>IX#IX.1#13#13.a</t>
  </si>
  <si>
    <t>Pekerjaan Pondasi Rolaag Bata (Teras)</t>
  </si>
  <si>
    <t>IX#IX.1#13#13.b</t>
  </si>
  <si>
    <t>13.c</t>
  </si>
  <si>
    <t>IX#IX.1#13#13.c</t>
  </si>
  <si>
    <t>13.d</t>
  </si>
  <si>
    <t>IX#IX.1#13#13.d</t>
  </si>
  <si>
    <t>13.e</t>
  </si>
  <si>
    <t>IX#IX.1#13#13.e</t>
  </si>
  <si>
    <t>13.f</t>
  </si>
  <si>
    <t>Pekerjaan Lantai Kerja = 5 cm</t>
  </si>
  <si>
    <t>IX#IX.1#13#13.f</t>
  </si>
  <si>
    <t>IX.2</t>
  </si>
  <si>
    <t>IX#IX.2</t>
  </si>
  <si>
    <t>Pekerjaan Pasangan Dinding Bata Merah</t>
  </si>
  <si>
    <t>IX#IX.2#1</t>
  </si>
  <si>
    <t>IX#IX.2#2</t>
  </si>
  <si>
    <t>IX#IX.2#3</t>
  </si>
  <si>
    <t>IX#IX.2#4</t>
  </si>
  <si>
    <t>Pekerjaan Skonengan (Opening Kusen)</t>
  </si>
  <si>
    <t>IX#IX.2#5</t>
  </si>
  <si>
    <t>Pekerjaan Pintu Rooling Door Aluminium 200 x 250 m², t = 0,6 mm komplit terpasang</t>
  </si>
  <si>
    <t>IX#IX.2#6</t>
  </si>
  <si>
    <t>Pekerjaan Kusen Pintu UPVC P-03, termasuk kusen, daun pintu, hadle (1 set), engsel, baut pasang/baut skrup dan kunci</t>
  </si>
  <si>
    <t>IX#IX.2#7</t>
  </si>
  <si>
    <t>Pekerjaan Kusen Jendela BV (2 bh)</t>
  </si>
  <si>
    <t>IX#IX.2#8</t>
  </si>
  <si>
    <t>Pekerjaan Kusen Aluminium 4 inch</t>
  </si>
  <si>
    <t>IX#IX.2#8#8.a</t>
  </si>
  <si>
    <t>Pasang Kaca Es t = 5 mm</t>
  </si>
  <si>
    <t>IX#IX.2#8#8.b</t>
  </si>
  <si>
    <t>IX#IX.2#9</t>
  </si>
  <si>
    <t>IX#IX.2#9#9.a</t>
  </si>
  <si>
    <t>IX#IX.2#9#9.b</t>
  </si>
  <si>
    <t>IX#IX.2#9#9.c</t>
  </si>
  <si>
    <t>IX#IX.2#9#9.d</t>
  </si>
  <si>
    <t>9.e</t>
  </si>
  <si>
    <t>IX#IX.2#9#9.e</t>
  </si>
  <si>
    <t>9.f</t>
  </si>
  <si>
    <t>IX#IX.2#9#9.f</t>
  </si>
  <si>
    <t>9#2</t>
  </si>
  <si>
    <t>Pas. Lantai Keramik 40x40 cm Polished</t>
  </si>
  <si>
    <t>IX#IX.2#9#2</t>
  </si>
  <si>
    <t>Pas. Lantai Keramik 40x40 cm Matte</t>
  </si>
  <si>
    <t>IX#IX.2#10</t>
  </si>
  <si>
    <t>Pas. Dinding Keramik 20x20 cm Polished</t>
  </si>
  <si>
    <t>IX#IX.2#11</t>
  </si>
  <si>
    <t>IX#IX.2#12</t>
  </si>
  <si>
    <t>IX#IX.2#12#12.a</t>
  </si>
  <si>
    <t>IX#IX.2#12#12.b</t>
  </si>
  <si>
    <t>12.c</t>
  </si>
  <si>
    <t>Pekerjaan Pemasangan Atap Spandek Berpasir</t>
  </si>
  <si>
    <t>IX#IX.2#12#12.c</t>
  </si>
  <si>
    <t>12.d</t>
  </si>
  <si>
    <t>IX#IX.2#12#12.d</t>
  </si>
  <si>
    <t>IX#IX.2#13</t>
  </si>
  <si>
    <t>Pekerjaan Atap Kanopi 32,5 x 25,2 cm</t>
  </si>
  <si>
    <t>IX#IX.2#14</t>
  </si>
  <si>
    <t>14.a</t>
  </si>
  <si>
    <t>Pekerjaan Pondasi Kolom Pedestal</t>
  </si>
  <si>
    <t/>
  </si>
  <si>
    <t>IX#IX.2#14#14.a</t>
  </si>
  <si>
    <t>14.2</t>
  </si>
  <si>
    <t>~ Pekerjaan Galian Tanah</t>
  </si>
  <si>
    <t>IX#IX.2#14#14.2</t>
  </si>
  <si>
    <t>14.3</t>
  </si>
  <si>
    <t>~ Pekerjaan Bekesting Kolom</t>
  </si>
  <si>
    <t>IX#IX.2#14#14.3</t>
  </si>
  <si>
    <t>14.4</t>
  </si>
  <si>
    <t>~ Pekerjaan Beton Site Mix setara fc = 20</t>
  </si>
  <si>
    <t>IX#IX.2#14#14.4</t>
  </si>
  <si>
    <t>14.5</t>
  </si>
  <si>
    <t>~ Pekerjaan Dynabolt Ø 10 mm</t>
  </si>
  <si>
    <t>IX#IX.2#14#14.5</t>
  </si>
  <si>
    <t>14.b</t>
  </si>
  <si>
    <t>Pekerjaan Rangka Atap Kanopi Besi Hollow 40/60, modul 85/80, termasuk kolom kanopi</t>
  </si>
  <si>
    <t>IX#IX.2#14#14.b</t>
  </si>
  <si>
    <t>14.c</t>
  </si>
  <si>
    <t>Pekerjaan Pemasangan Atap Spandek</t>
  </si>
  <si>
    <t>IX#IX.2#14#14.c</t>
  </si>
  <si>
    <t>Pekerjaan Cat Dinding Luar</t>
  </si>
  <si>
    <t>IX#IX.2#15</t>
  </si>
  <si>
    <t>16</t>
  </si>
  <si>
    <t>Pekerjaan Cat Plafond</t>
  </si>
  <si>
    <t>IX#IX.2#16</t>
  </si>
  <si>
    <t>17</t>
  </si>
  <si>
    <t>IX#IX.2#17</t>
  </si>
  <si>
    <t>18</t>
  </si>
  <si>
    <t>IX#IX.2#18</t>
  </si>
  <si>
    <t>17#2</t>
  </si>
  <si>
    <t>Pekerjaan Logo KKP plate galvanis Finish Cat Duco</t>
  </si>
  <si>
    <t>IX#IX.2#17#2</t>
  </si>
  <si>
    <t>18#2</t>
  </si>
  <si>
    <t>Pekerjaan Huruf Timbul plate galvanis finish cat duco, KIOS PERBEKALAN uk. 20x25 cm</t>
  </si>
  <si>
    <t>IX#IX.2#18#2</t>
  </si>
  <si>
    <t>IX.3</t>
  </si>
  <si>
    <t>Pekerjaan Mekanikal Elektrikal</t>
  </si>
  <si>
    <t>IX#IX.3</t>
  </si>
  <si>
    <t>Pekerjaan Instalasi Air Bersih Pipa PVC Ø ½ Inch</t>
  </si>
  <si>
    <t>IX#IX.3#1</t>
  </si>
  <si>
    <t>Pekerjaan Instalasi Air Bersih Pipa PVC Ø 1 Inch</t>
  </si>
  <si>
    <t>IX#IX.3#2</t>
  </si>
  <si>
    <t>Pekerjaan Instalasi Air Buangan Pipa PVC Ø 3 Inch</t>
  </si>
  <si>
    <t>IX#IX.3#3</t>
  </si>
  <si>
    <t>Pekerjaan Instalasi Air Buangan Pipa PVC Ø 4 Inch</t>
  </si>
  <si>
    <t>IX#IX.3#4</t>
  </si>
  <si>
    <t>Pekerjaan Pemasangan Closet Duduk</t>
  </si>
  <si>
    <t>IX#IX.3#5</t>
  </si>
  <si>
    <t>Pekerjaan Pemasangan Jet Washer</t>
  </si>
  <si>
    <t>IX#IX.3#6</t>
  </si>
  <si>
    <t>Pekerjaan Pemasangan Kran Air</t>
  </si>
  <si>
    <t>IX#IX.3#7</t>
  </si>
  <si>
    <t>Pekerjaan Pemasangan Floor Drain</t>
  </si>
  <si>
    <t>IX#IX.3#8</t>
  </si>
  <si>
    <t>Pekerjaan Pompa Dorong</t>
  </si>
  <si>
    <t>IX#IX.3#9</t>
  </si>
  <si>
    <t>Tiang Menara Toren Tangki Air 600 liter, T = 4 m</t>
  </si>
  <si>
    <t>IX#IX.3#10</t>
  </si>
  <si>
    <t>Pengadaan Barang</t>
  </si>
  <si>
    <t>IX#IX.3#10#10.a</t>
  </si>
  <si>
    <t>Pengiriman</t>
  </si>
  <si>
    <t>IX#IX.3#10#10.b</t>
  </si>
  <si>
    <t>Pekerjaan Pondasi Tapak 30x60x60 cm</t>
  </si>
  <si>
    <t>IX#IX.3#10#10.c</t>
  </si>
  <si>
    <t>10.4</t>
  </si>
  <si>
    <t>~ Galian Tanah</t>
  </si>
  <si>
    <t>IX#IX.3#10#10.4</t>
  </si>
  <si>
    <t>10.5</t>
  </si>
  <si>
    <t>~ Pekerjaan Bekesting Pasangan Batako</t>
  </si>
  <si>
    <t>IX#IX.3#10#10.5</t>
  </si>
  <si>
    <t>10.6</t>
  </si>
  <si>
    <t>~ Pembesian Besi D 13 - 150</t>
  </si>
  <si>
    <t>IX#IX.3#10#10.6</t>
  </si>
  <si>
    <t>10.7</t>
  </si>
  <si>
    <t>~ Pekerjaan Beton Semi Mekanis setara fc = 20</t>
  </si>
  <si>
    <t>IX#IX.3#10#10.7</t>
  </si>
  <si>
    <t>Pekerjaan Kolom Pedestal 25/25</t>
  </si>
  <si>
    <t>IX#IX.3#10#10.d</t>
  </si>
  <si>
    <t>10.9</t>
  </si>
  <si>
    <t>~ Pekerjaan Kayu Bekesting Kolom</t>
  </si>
  <si>
    <t>IX#IX.3#10#10.9</t>
  </si>
  <si>
    <t>10.10</t>
  </si>
  <si>
    <t>~ Pekerjaan Pembesian Besi Beton 8 D 13</t>
  </si>
  <si>
    <t>IX#IX.3#10#10.10</t>
  </si>
  <si>
    <t>10.11</t>
  </si>
  <si>
    <t>~ Pekerjaan Pembesian Besi Beton Ø 8 - 100/150</t>
  </si>
  <si>
    <t>IX#IX.3#10#10.11</t>
  </si>
  <si>
    <t>10.12</t>
  </si>
  <si>
    <t>IX#IX.3#10#10.12</t>
  </si>
  <si>
    <t>10.13</t>
  </si>
  <si>
    <t>~ Pekerjaan Angkur D13</t>
  </si>
  <si>
    <t>IX#IX.3#10#10.13</t>
  </si>
  <si>
    <t>Pekerjaan Pengadaan dan Pemasangan Tangki Toren Kap.600 liter ex.Penguin TD60</t>
  </si>
  <si>
    <t>IX#IX.3#11</t>
  </si>
  <si>
    <t>Pekerjaan Septiktank Bio Tech 1 m³</t>
  </si>
  <si>
    <t>IX#IX.3#12</t>
  </si>
  <si>
    <t>Pekerjaan Galian Tanah s/d 2 m</t>
  </si>
  <si>
    <t>IX#IX.3#12#12.a</t>
  </si>
  <si>
    <t>Pekerjaan Pasir Urug t = 10 cm</t>
  </si>
  <si>
    <t>IX#IX.3#12#12.b</t>
  </si>
  <si>
    <t>IX#IX.3#12#12.c</t>
  </si>
  <si>
    <t>Pekerjaan Pengadaan Dan Setting Bio-Tech 1 m³</t>
  </si>
  <si>
    <t>IX#IX.3#12#12.d</t>
  </si>
  <si>
    <t>Instalasi Penerangan, kabel NYY 2 x 1 ½ mm²</t>
  </si>
  <si>
    <t>IX#IX.3#13</t>
  </si>
  <si>
    <t>IX#IX.3#14</t>
  </si>
  <si>
    <t>Pasang Downlight Ø 5 Inch+ LED 9 watt</t>
  </si>
  <si>
    <t>IX#IX.3#15</t>
  </si>
  <si>
    <t>Pekerjaan Saklar Ganda</t>
  </si>
  <si>
    <t>IX#IX.3#16</t>
  </si>
  <si>
    <t>Pekerjaan Saklar Tunggal</t>
  </si>
  <si>
    <t>IX#IX.3#17</t>
  </si>
  <si>
    <t>Pekerjaan Stop Kontak</t>
  </si>
  <si>
    <t>IX#IX.3#18</t>
  </si>
  <si>
    <t>19</t>
  </si>
  <si>
    <t>Pasang Kipas Angin Plafond</t>
  </si>
  <si>
    <t>IX#IX.3#19</t>
  </si>
  <si>
    <t>20</t>
  </si>
  <si>
    <t>IX#IX.3#20</t>
  </si>
  <si>
    <t>X</t>
  </si>
  <si>
    <t>PEKERJAAN BANGUNAN KANTOR PENGELOLA</t>
  </si>
  <si>
    <t>X.1</t>
  </si>
  <si>
    <t>X#X.1</t>
  </si>
  <si>
    <t>X#X.1#1</t>
  </si>
  <si>
    <t>X#X.1#2</t>
  </si>
  <si>
    <t>X#X.1#2#2.a</t>
  </si>
  <si>
    <t>X#X.1#2#2.b</t>
  </si>
  <si>
    <t>X#X.1#2#2.c</t>
  </si>
  <si>
    <t>X#X.1#2#2.d</t>
  </si>
  <si>
    <t>X#X.1#2#2.e</t>
  </si>
  <si>
    <t>X#X.1#2#2.f</t>
  </si>
  <si>
    <t>X#X.1#2#2.g</t>
  </si>
  <si>
    <t>X#X.1#3</t>
  </si>
  <si>
    <t>X#X.1#3#3.a</t>
  </si>
  <si>
    <t>X#X.1#3#3.b</t>
  </si>
  <si>
    <t>Pekerjaan Pasir Urug t = 7 cm</t>
  </si>
  <si>
    <t>X#X.1#3#3.c</t>
  </si>
  <si>
    <t>X#X.1#3#3.d</t>
  </si>
  <si>
    <t>X#X.1#4</t>
  </si>
  <si>
    <t>X#X.1#5</t>
  </si>
  <si>
    <t>X#X.1#5#5.a</t>
  </si>
  <si>
    <t>X#X.1#5#5.b</t>
  </si>
  <si>
    <t>X#X.1#5#5.c</t>
  </si>
  <si>
    <t>X#X.1#5#5.d</t>
  </si>
  <si>
    <t>X#X.1#6</t>
  </si>
  <si>
    <t>X#X.1#6#6.a</t>
  </si>
  <si>
    <t>X#X.1#6#6.b</t>
  </si>
  <si>
    <t>X#X.1#6#6.c</t>
  </si>
  <si>
    <t>X#X.1#6#6.d</t>
  </si>
  <si>
    <t>X#X.1#7</t>
  </si>
  <si>
    <t>X#X.1#7#7.a</t>
  </si>
  <si>
    <t>X#X.1#7#7.b</t>
  </si>
  <si>
    <t>X#X.1#7#7.c</t>
  </si>
  <si>
    <t>X#X.1#7#7.d</t>
  </si>
  <si>
    <t>X#X.1#8</t>
  </si>
  <si>
    <t>X#X.1#8#8.a</t>
  </si>
  <si>
    <t>X#X.1#8#8.b</t>
  </si>
  <si>
    <t>X#X.1#8#8.c</t>
  </si>
  <si>
    <t>X#X.1#8#8.d</t>
  </si>
  <si>
    <t>X#X.1#9</t>
  </si>
  <si>
    <t>X#X.1#9#9.a</t>
  </si>
  <si>
    <t>X#X.1#9#9.b</t>
  </si>
  <si>
    <t>X#X.1#9#9.c</t>
  </si>
  <si>
    <t>Pekerjaan Beton Site Mix 1:2:3 setara fc = 20</t>
  </si>
  <si>
    <t>X#X.1#9#9.d</t>
  </si>
  <si>
    <t>X#X.1#10</t>
  </si>
  <si>
    <t>X#X.1#10#10.a</t>
  </si>
  <si>
    <t>X#X.1#10#10.b</t>
  </si>
  <si>
    <t>X#X.1#10#10.c</t>
  </si>
  <si>
    <t>X#X.1#10#10.d</t>
  </si>
  <si>
    <t>X#X.1#11</t>
  </si>
  <si>
    <t>X#X.1#11#11.a</t>
  </si>
  <si>
    <t>X#X.1#11#11.b</t>
  </si>
  <si>
    <t>X#X.1#11#11.c</t>
  </si>
  <si>
    <t>X#X.1#11#11.d</t>
  </si>
  <si>
    <t>X#X.1#12</t>
  </si>
  <si>
    <t>X#X.1#12#12.a</t>
  </si>
  <si>
    <t>X#X.1#12#12.b</t>
  </si>
  <si>
    <t>X#X.1#12#12.c</t>
  </si>
  <si>
    <t>X#X.1#12#12.d</t>
  </si>
  <si>
    <t>Pekerjaan Lantai Rabat Keliling Bangunan</t>
  </si>
  <si>
    <t>X#X.1#13</t>
  </si>
  <si>
    <t>X#X.1#13#13.a</t>
  </si>
  <si>
    <t>X#X.1#13#13.b</t>
  </si>
  <si>
    <t>X#X.1#13#13.c</t>
  </si>
  <si>
    <t>X#X.1#13#13.d</t>
  </si>
  <si>
    <t>X#X.1#13#13.e</t>
  </si>
  <si>
    <t>Pekerjaan Lantai Rabat Beton t = 7 cm</t>
  </si>
  <si>
    <t>X#X.1#13#13.f</t>
  </si>
  <si>
    <t>13#2</t>
  </si>
  <si>
    <t>Pekerjaan Topi Jendela Beton t = 10 cm</t>
  </si>
  <si>
    <t>X#X.1#13#2</t>
  </si>
  <si>
    <t>X#X.1#13#2#13.a</t>
  </si>
  <si>
    <t>X#X.1#13#2#13.b</t>
  </si>
  <si>
    <t>X#X.1#13#2#13.c</t>
  </si>
  <si>
    <t>X#X.1#13#2#13.d</t>
  </si>
  <si>
    <t>Pekerjaan Waterproofing Coating ex.Nodrop anti panas</t>
  </si>
  <si>
    <t>X#X.1#13#2#13.e</t>
  </si>
  <si>
    <t>X.2</t>
  </si>
  <si>
    <t>Pekerjaan Arsitektural Dan ME</t>
  </si>
  <si>
    <t>X#X.2</t>
  </si>
  <si>
    <t>Pasangan Dinding Bata Merah</t>
  </si>
  <si>
    <t>X#X.2#1</t>
  </si>
  <si>
    <t>Plesteran</t>
  </si>
  <si>
    <t>X#X.2#2</t>
  </si>
  <si>
    <t>Acian Finish</t>
  </si>
  <si>
    <t>X#X.2#3</t>
  </si>
  <si>
    <t>Pekerjaan Kusen</t>
  </si>
  <si>
    <t>X#X.2#4</t>
  </si>
  <si>
    <t>4.1</t>
  </si>
  <si>
    <t>Pekerjaan Kusen Pintu P-01</t>
  </si>
  <si>
    <t>X#X.2#4#4.1</t>
  </si>
  <si>
    <t>4.1.a</t>
  </si>
  <si>
    <t>X#X.2#4#4.1#4.1.a</t>
  </si>
  <si>
    <t>4.1.b</t>
  </si>
  <si>
    <t>Pek. Daun Pintu Multiplex 2x18mm + Rangka Kayu, lapis HPL (Engineering Door)</t>
  </si>
  <si>
    <t>X#X.2#4#4.1#4.1.b</t>
  </si>
  <si>
    <t>4.1.c</t>
  </si>
  <si>
    <t>Pasang Engsel Pintu 4 Inch</t>
  </si>
  <si>
    <t>X#X.2#4#4.1#4.1.c</t>
  </si>
  <si>
    <t>4.1.d</t>
  </si>
  <si>
    <t>Pasang Door Closer</t>
  </si>
  <si>
    <t>X#X.2#4#4.1#4.1.d</t>
  </si>
  <si>
    <t>4.1.e</t>
  </si>
  <si>
    <t>Pasang Handel + Kunci Swing</t>
  </si>
  <si>
    <t>X#X.2#4#4.1#4.1.e</t>
  </si>
  <si>
    <t>4.2</t>
  </si>
  <si>
    <t>X#X.2#4#4.2</t>
  </si>
  <si>
    <t>4.3</t>
  </si>
  <si>
    <t>Pekerjaan Kusen Jendela J-01</t>
  </si>
  <si>
    <t>X#X.2#4#4.3</t>
  </si>
  <si>
    <t>4.3.a</t>
  </si>
  <si>
    <t>X#X.2#4#4.3#4.3.a</t>
  </si>
  <si>
    <t>4.3.b</t>
  </si>
  <si>
    <t>Pekerjaan Daun Jendela Aluminium tanpa Kaca</t>
  </si>
  <si>
    <t>X#X.2#4#4.3#4.3.b</t>
  </si>
  <si>
    <t>4.3.c</t>
  </si>
  <si>
    <t>Pasang Kaca Polos t = 5 mm</t>
  </si>
  <si>
    <t>X#X.2#4#4.3#4.3.c</t>
  </si>
  <si>
    <t>4.3.d</t>
  </si>
  <si>
    <t>Pasang Engsel Jendela 3 Inch</t>
  </si>
  <si>
    <t>X#X.2#4#4.3#4.3.d</t>
  </si>
  <si>
    <t>4.3.e</t>
  </si>
  <si>
    <t>Casement</t>
  </si>
  <si>
    <t>X#X.2#4#4.3#4.3.e</t>
  </si>
  <si>
    <t>4.3.f</t>
  </si>
  <si>
    <t>Rambuncis</t>
  </si>
  <si>
    <t>X#X.2#4#4.3#4.3.f</t>
  </si>
  <si>
    <t>4.4</t>
  </si>
  <si>
    <t>Pekerjaan Kusen Jendela J-02</t>
  </si>
  <si>
    <t>X#X.2#4#4.4</t>
  </si>
  <si>
    <t>4.4.a</t>
  </si>
  <si>
    <t>X#X.2#4#4.4#4.4.a</t>
  </si>
  <si>
    <t>4.4.b</t>
  </si>
  <si>
    <t>X#X.2#4#4.4#4.4.b</t>
  </si>
  <si>
    <t>4.4.c</t>
  </si>
  <si>
    <t>X#X.2#4#4.4#4.4.c</t>
  </si>
  <si>
    <t>4.4.d</t>
  </si>
  <si>
    <t>X#X.2#4#4.4#4.4.d</t>
  </si>
  <si>
    <t>4.4.e</t>
  </si>
  <si>
    <t>X#X.2#4#4.4#4.4.e</t>
  </si>
  <si>
    <t>4.4.f</t>
  </si>
  <si>
    <t>X#X.2#4#4.4#4.4.f</t>
  </si>
  <si>
    <t>4.5</t>
  </si>
  <si>
    <t>Pekerjaan Kusen Jendela BV</t>
  </si>
  <si>
    <t>X#X.2#4#4.5</t>
  </si>
  <si>
    <t>4.5.a</t>
  </si>
  <si>
    <t>X#X.2#4#4.5#4.5.a</t>
  </si>
  <si>
    <t>4.5.b</t>
  </si>
  <si>
    <t>X#X.2#4#4.5#4.5.b</t>
  </si>
  <si>
    <t>X#X.2#5</t>
  </si>
  <si>
    <t>X#X.2#6</t>
  </si>
  <si>
    <t>X#X.2#7</t>
  </si>
  <si>
    <t>X#X.2#8</t>
  </si>
  <si>
    <t>Pekerjaan Cat Dinding</t>
  </si>
  <si>
    <t>X#X.2#9</t>
  </si>
  <si>
    <t>Cat Dinding (Interior)</t>
  </si>
  <si>
    <t>X#X.2#9#9.a</t>
  </si>
  <si>
    <t>Cat Dinding (Exterior)</t>
  </si>
  <si>
    <t>X#X.2#9#9.b</t>
  </si>
  <si>
    <t>X#X.2#10</t>
  </si>
  <si>
    <t>Pekerjaan Cat Listplank GRC</t>
  </si>
  <si>
    <t>X#X.2#11</t>
  </si>
  <si>
    <t>X#X.2#12</t>
  </si>
  <si>
    <t>Pekerjaan Pemasangan Atap Jurai/Limasan Rangka Atap Baja Ringan (Canai Dingin) profil C75 (AZ 100)</t>
  </si>
  <si>
    <t>X#X.2#12#12.a</t>
  </si>
  <si>
    <t>X#X.2#12#12.b</t>
  </si>
  <si>
    <t>X#X.2#12#12.c</t>
  </si>
  <si>
    <t>X#X.2#12#12.d</t>
  </si>
  <si>
    <t>X#X.2#13</t>
  </si>
  <si>
    <t>Pekerjaan Logo KKP plate galvanis Finish Cat Duco dia.40 cm</t>
  </si>
  <si>
    <t>X#X.2#14</t>
  </si>
  <si>
    <t>Pekerjaan Huruf Timbul plate galvanis finish cat duco, KANTOR PENGELOLA uk. 20x25 cm</t>
  </si>
  <si>
    <t>X#X.2#15</t>
  </si>
  <si>
    <t>X#X.2#16</t>
  </si>
  <si>
    <t>X#X.2#17</t>
  </si>
  <si>
    <t>X#X.2#18</t>
  </si>
  <si>
    <t>X#X.2#19</t>
  </si>
  <si>
    <t>X#X.2#20</t>
  </si>
  <si>
    <t>21</t>
  </si>
  <si>
    <t>X#X.2#21</t>
  </si>
  <si>
    <t>22</t>
  </si>
  <si>
    <t>X#X.2#22</t>
  </si>
  <si>
    <t>23</t>
  </si>
  <si>
    <t>X#X.2#23</t>
  </si>
  <si>
    <t>24</t>
  </si>
  <si>
    <t>X#X.2#24</t>
  </si>
  <si>
    <t>25</t>
  </si>
  <si>
    <t>X#X.2#25</t>
  </si>
  <si>
    <t>26</t>
  </si>
  <si>
    <t>X#X.2#26</t>
  </si>
  <si>
    <t>26.a</t>
  </si>
  <si>
    <t>X#X.2#26#26.a</t>
  </si>
  <si>
    <t>26.b</t>
  </si>
  <si>
    <t>X#X.2#26#26.b</t>
  </si>
  <si>
    <t>26.c</t>
  </si>
  <si>
    <t>X#X.2#26#26.c</t>
  </si>
  <si>
    <t>26.4</t>
  </si>
  <si>
    <t>X#X.2#26#26.4</t>
  </si>
  <si>
    <t>26.5</t>
  </si>
  <si>
    <t>X#X.2#26#26.5</t>
  </si>
  <si>
    <t>26.6</t>
  </si>
  <si>
    <t>X#X.2#26#26.6</t>
  </si>
  <si>
    <t>26.7</t>
  </si>
  <si>
    <t>X#X.2#26#26.7</t>
  </si>
  <si>
    <t>26.d</t>
  </si>
  <si>
    <t>X#X.2#26#26.d</t>
  </si>
  <si>
    <t>26.9</t>
  </si>
  <si>
    <t>X#X.2#26#26.9</t>
  </si>
  <si>
    <t>26.10</t>
  </si>
  <si>
    <t>X#X.2#26#26.10</t>
  </si>
  <si>
    <t>26.11</t>
  </si>
  <si>
    <t>X#X.2#26#26.11</t>
  </si>
  <si>
    <t>26.12</t>
  </si>
  <si>
    <t>X#X.2#26#26.12</t>
  </si>
  <si>
    <t>26.13</t>
  </si>
  <si>
    <t>X#X.2#26#26.13</t>
  </si>
  <si>
    <t>27</t>
  </si>
  <si>
    <t>Pekerjaan Septiktank Bio-Tech 1 m³</t>
  </si>
  <si>
    <t>X#X.2#27</t>
  </si>
  <si>
    <t>27.a</t>
  </si>
  <si>
    <t>X#X.2#27#27.a</t>
  </si>
  <si>
    <t>27.b</t>
  </si>
  <si>
    <t>X#X.2#27#27.b</t>
  </si>
  <si>
    <t>27.c</t>
  </si>
  <si>
    <t>X#X.2#27#27.c</t>
  </si>
  <si>
    <t>27.d</t>
  </si>
  <si>
    <t>X#X.2#27#27.d</t>
  </si>
  <si>
    <t>28</t>
  </si>
  <si>
    <t>Pekerjaan Instalasi Penerangan, kabel NYY 2 x 1 ½ mm²</t>
  </si>
  <si>
    <t>X#X.2#28</t>
  </si>
  <si>
    <t>29</t>
  </si>
  <si>
    <t>Pekerjaan Instalasi Stop Kontak, kabel NYY 2 x 2 ½ mm²</t>
  </si>
  <si>
    <t>X#X.2#29</t>
  </si>
  <si>
    <t>30</t>
  </si>
  <si>
    <t>Pekerjaan Instalasi TV</t>
  </si>
  <si>
    <t>X#X.2#30</t>
  </si>
  <si>
    <t>31</t>
  </si>
  <si>
    <t>X#X.2#31</t>
  </si>
  <si>
    <t>32</t>
  </si>
  <si>
    <t>Pekerjaan Saklar Dobel</t>
  </si>
  <si>
    <t>X#X.2#32</t>
  </si>
  <si>
    <t>33</t>
  </si>
  <si>
    <t>X#X.2#33</t>
  </si>
  <si>
    <t>34</t>
  </si>
  <si>
    <t>Pekerjaan Stop Kontak AC</t>
  </si>
  <si>
    <t>X#X.2#34</t>
  </si>
  <si>
    <t>35</t>
  </si>
  <si>
    <t>Pekerjaan Stop Kontak Antena</t>
  </si>
  <si>
    <t>X#X.2#35</t>
  </si>
  <si>
    <t>36</t>
  </si>
  <si>
    <t>X#X.2#36</t>
  </si>
  <si>
    <t>37</t>
  </si>
  <si>
    <t>Pekerjaan AC Split 3/4 PK - std</t>
  </si>
  <si>
    <t>X#X.2#37</t>
  </si>
  <si>
    <t>38</t>
  </si>
  <si>
    <t>Pekerjaan Box Panel Listrik (MCB) 8 Group</t>
  </si>
  <si>
    <t>X#X.2#38</t>
  </si>
  <si>
    <t>XI</t>
  </si>
  <si>
    <t>PEKERJAAN BANGUNAN TANGKI AIR DAN SUMUR BOR</t>
  </si>
  <si>
    <t>XI.1</t>
  </si>
  <si>
    <t>XI#XI.1</t>
  </si>
  <si>
    <t>XI#XI.1#1</t>
  </si>
  <si>
    <t>Pekerjaan Pile Cap 60x100x100 cm</t>
  </si>
  <si>
    <t>XI#XI.1#2</t>
  </si>
  <si>
    <t>Pekerjaan Galian Tanah Keras s/d 1 m</t>
  </si>
  <si>
    <t>XI#XI.1#2#2.a</t>
  </si>
  <si>
    <t>XI#XI.1#2#2.b</t>
  </si>
  <si>
    <t>Pekerjaan Urugan Pasir Urug t = 5 cm</t>
  </si>
  <si>
    <t>XI#XI.1#2#2.c</t>
  </si>
  <si>
    <t>XI#XI.1#2#2.d</t>
  </si>
  <si>
    <t>XI#XI.1#2#2.e</t>
  </si>
  <si>
    <t>Pekerjaan Pembesian Besi Beton D16 - 150</t>
  </si>
  <si>
    <t>XI#XI.1#2#2.f</t>
  </si>
  <si>
    <t>Pekerjaan Pembesian Besi Beton Ties D13 - 400</t>
  </si>
  <si>
    <t>XI#XI.1#2#2.g</t>
  </si>
  <si>
    <t>XI#XI.1#2#2.h</t>
  </si>
  <si>
    <t>2.i</t>
  </si>
  <si>
    <t>Pekerjaan Pengecoran dengan Concrete Vibrator</t>
  </si>
  <si>
    <t>XI#XI.1#2#2.i</t>
  </si>
  <si>
    <t>Pekerjaan Tie Beam TB-1 25/30</t>
  </si>
  <si>
    <t>XI#XI.1#3</t>
  </si>
  <si>
    <t>XI#XI.1#3#3.a</t>
  </si>
  <si>
    <t>XI#XI.1#3#3.b</t>
  </si>
  <si>
    <t>XI#XI.1#3#3.c</t>
  </si>
  <si>
    <t>XI#XI.1#3#3.d</t>
  </si>
  <si>
    <t>Pekerjaan Pembesian Besi Beton 5 D 13</t>
  </si>
  <si>
    <t>XI#XI.1#3#3.e</t>
  </si>
  <si>
    <t>Pekerjaan Pembesian Besi Beton Ø 8  - 100/200</t>
  </si>
  <si>
    <t>XI#XI.1#3#3.f</t>
  </si>
  <si>
    <t>3.g</t>
  </si>
  <si>
    <t>XI#XI.1#3#3.g</t>
  </si>
  <si>
    <t>3.h</t>
  </si>
  <si>
    <t>XI#XI.1#3#3.h</t>
  </si>
  <si>
    <t>Pekerjaan Kolom Beton 30/30</t>
  </si>
  <si>
    <t>XI#XI.1#4</t>
  </si>
  <si>
    <t>XI#XI.1#4#4.a</t>
  </si>
  <si>
    <t>Pekerjaan Pembesian Besi Beton 12 D13</t>
  </si>
  <si>
    <t>XI#XI.1#4#4.b</t>
  </si>
  <si>
    <t>Pekerjaan Pembesian Besi Beton Ties D 10 - 200</t>
  </si>
  <si>
    <t>XI#XI.1#4#4.c</t>
  </si>
  <si>
    <t>Pekerjaan Pembesian Besi Beton D10 - 100/200</t>
  </si>
  <si>
    <t>XI#XI.1#4#4.d</t>
  </si>
  <si>
    <t>XI#XI.1#4#4.e</t>
  </si>
  <si>
    <t>4.f</t>
  </si>
  <si>
    <t>XI#XI.1#4#4.f</t>
  </si>
  <si>
    <t>Pekerjaan Perancah/Scafolding</t>
  </si>
  <si>
    <t>XI#XI.1#5</t>
  </si>
  <si>
    <t>Pekerjaan Balok Beton B-1 20/40</t>
  </si>
  <si>
    <t>XI#XI.1#6</t>
  </si>
  <si>
    <t>XI#XI.1#6#6.a</t>
  </si>
  <si>
    <t>Pekerjaan Pembesian Besi Beton 6 D 13</t>
  </si>
  <si>
    <t>XI#XI.1#6#6.b</t>
  </si>
  <si>
    <t>XI#XI.1#6#6.c</t>
  </si>
  <si>
    <t>XI#XI.1#6#6.d</t>
  </si>
  <si>
    <t>XI#XI.1#6#6.e</t>
  </si>
  <si>
    <t>XI#XI.1#6#6.f</t>
  </si>
  <si>
    <t>XI#XI.1#6#6.g</t>
  </si>
  <si>
    <t>Pekerjaan Balok Beton B-2 20/30</t>
  </si>
  <si>
    <t>XI#XI.1#7</t>
  </si>
  <si>
    <t>XI#XI.1#7#7.a</t>
  </si>
  <si>
    <t>Pekerjaan Pembesian Besi Beton 5 D 10</t>
  </si>
  <si>
    <t>XI#XI.1#7#7.b</t>
  </si>
  <si>
    <t>XI#XI.1#7#7.c</t>
  </si>
  <si>
    <t>XI#XI.1#7#7.d</t>
  </si>
  <si>
    <t>XI#XI.1#7#7.e</t>
  </si>
  <si>
    <t>Pekerjaan Balok Beton B-3 15/40</t>
  </si>
  <si>
    <t>XI#XI.1#8</t>
  </si>
  <si>
    <t>XI#XI.1#8#8.a</t>
  </si>
  <si>
    <t>Pekerjaan Pembesian Besi Beton 10 D 10</t>
  </si>
  <si>
    <t>XI#XI.1#8#8.c</t>
  </si>
  <si>
    <t>XI#XI.1#8#8.d</t>
  </si>
  <si>
    <t>XI#XI.1#8#8.e</t>
  </si>
  <si>
    <t>XI#XI.1#8#8.f</t>
  </si>
  <si>
    <t>XI#XI.1#8#8.g</t>
  </si>
  <si>
    <t>XI#XI.1#9</t>
  </si>
  <si>
    <t>Pekerjaan Kayu Bekesting Lantai</t>
  </si>
  <si>
    <t>XI#XI.1#9#9.a</t>
  </si>
  <si>
    <t>Pekerjaan Pembesian Besi Wiremesh M8-150, 2 lapis</t>
  </si>
  <si>
    <t>XI#XI.1#9#9.b</t>
  </si>
  <si>
    <t>XI#XI.1#9#9.c</t>
  </si>
  <si>
    <t>XI#XI.1#9#9.d</t>
  </si>
  <si>
    <t>XI.2</t>
  </si>
  <si>
    <t>Pekerjaan Tangki FRP 18 m³ Dan Plumbing</t>
  </si>
  <si>
    <t>XI#XI.2</t>
  </si>
  <si>
    <t>Pekerjaan Tangki Fiber Reinforced Plastic (FRP) 18 m³</t>
  </si>
  <si>
    <t>XI#XI.2#1</t>
  </si>
  <si>
    <t>Pekerjaan Pengiriman Bahan (On Site) dan Tenaga Perakitan</t>
  </si>
  <si>
    <t>XI#XI.2#1#1.a</t>
  </si>
  <si>
    <t>Pekerjaan Pengadaan dan Setting Tangki Air FRP 18.000 liter (Inlet, Outlet, Drain, Vent, Overflow dan Vent Flanges Ø 2 Inch, Man Hole dia.50 cm, Bolt+Nuts M10x40 Galvanis, Base Frame UNP 80</t>
  </si>
  <si>
    <t>XI#XI.2#1#1.b</t>
  </si>
  <si>
    <t>Pekerjaan Pembagian Pemipaan Distribusi</t>
  </si>
  <si>
    <t>XI#XI.2#2</t>
  </si>
  <si>
    <t>Pekerjaan Tee Pipa Galvanis Ø 2 Inch</t>
  </si>
  <si>
    <t>XI#XI.2#2#2.a</t>
  </si>
  <si>
    <t>Pekerjaan Flange Gate Valve Galvanis Ø 2 Inch</t>
  </si>
  <si>
    <t>XI#XI.2#2#2.b</t>
  </si>
  <si>
    <t>Pekerjaan Sambungan Pipa, Sock Ø 2 Inch, Pipa Galvanis dan Pipa HDPE</t>
  </si>
  <si>
    <t>XI#XI.2#2#2.c</t>
  </si>
  <si>
    <t>Pekerjaan Sambungan Pipa, Sock Ø 2 Inch, Pipa PVC dan Pipa HDPE</t>
  </si>
  <si>
    <t>XI#XI.2#2#2.d</t>
  </si>
  <si>
    <t>Pekerjaan Distribusi Air Bersih Instalasi Pipa HDPE Ø 2 Inch</t>
  </si>
  <si>
    <t>XI#XI.2#3</t>
  </si>
  <si>
    <t>Shelter Pendaratan Ikan - Pabrik Es - Gd. Beku</t>
  </si>
  <si>
    <t>XI#XI.2#3#3.a</t>
  </si>
  <si>
    <t>Bangunan Kantor - Kios Perbekalan</t>
  </si>
  <si>
    <t>XI#XI.2#3#3.b</t>
  </si>
  <si>
    <t>Pekerjaan Instalasi Air Bersih Shelter Pendaratan Ikan</t>
  </si>
  <si>
    <t>XI#XI.2#4</t>
  </si>
  <si>
    <t>Pekerjaan Instalasi Air Bersih Pipa PVC AW Ø ½ Inch</t>
  </si>
  <si>
    <t>XI#XI.2#4#4.a</t>
  </si>
  <si>
    <t>Pekerjaan Kran Air Ø ½ Inch</t>
  </si>
  <si>
    <t>XI#XI.2#4#4.b</t>
  </si>
  <si>
    <t>Pekerjaan Instalasi Air Bersih Gudang Beku Portable</t>
  </si>
  <si>
    <t>XI#XI.2#5</t>
  </si>
  <si>
    <t>XI#XI.2#5#5.a</t>
  </si>
  <si>
    <t>XI#XI.2#5#5.b</t>
  </si>
  <si>
    <t>Pekerjaan Instalasi Air Bersih Bangunan Pabrik Es</t>
  </si>
  <si>
    <t>XI#XI.2#6</t>
  </si>
  <si>
    <t>XI#XI.2#6#6.a</t>
  </si>
  <si>
    <t>XI#XI.2#6#6.b</t>
  </si>
  <si>
    <t>Pekerjaan Instalasi Air Bersih Bangunan Kios Perbekalan</t>
  </si>
  <si>
    <t>XI#XI.2#7</t>
  </si>
  <si>
    <t>XI#XI.2#7#7.a</t>
  </si>
  <si>
    <t>XI#XI.2#7#7.b</t>
  </si>
  <si>
    <t>Pekerjaan Instalasi Air Bersih Bangunan Kantor</t>
  </si>
  <si>
    <t>XI#XI.2#8</t>
  </si>
  <si>
    <t>XI#XI.2#8#8.a</t>
  </si>
  <si>
    <t>XI#XI.2#8#8.b</t>
  </si>
  <si>
    <t>Pekerjaan Tangga Monyet (Maintanance), Pipa Galvanis Ø 2 Inch + Ø 1 ½ Inch, Finish Cat Dasar dan Penutup, T = 3 m</t>
  </si>
  <si>
    <t>XI#XI.2#9</t>
  </si>
  <si>
    <t>XI#XI.2#10</t>
  </si>
  <si>
    <t>XI.3</t>
  </si>
  <si>
    <t>Pekerjaan Deep Well</t>
  </si>
  <si>
    <t>XI#XI.3</t>
  </si>
  <si>
    <t>XI.3.1</t>
  </si>
  <si>
    <t>Pekerjaan Pengeboran</t>
  </si>
  <si>
    <t>XI#XI.3.1</t>
  </si>
  <si>
    <t>Pekerjaan Geo-listrik</t>
  </si>
  <si>
    <t>XI#XI.3.1#1</t>
  </si>
  <si>
    <t>Pekerjaan Penyelidikan Geolistrik</t>
  </si>
  <si>
    <t>XI#XI.3.1#1#1.a</t>
  </si>
  <si>
    <t>Pekerjaan Pemasangan Pipa Casing dan Pipa Perfoated Screen</t>
  </si>
  <si>
    <t>XI#XI.3.1#2</t>
  </si>
  <si>
    <t>Pengeboran Lubang Awal Ø 6 Inch termasuk mobilisasi alat dan Personil</t>
  </si>
  <si>
    <t>XI#XI.3.1#2#2.a</t>
  </si>
  <si>
    <t>Pekerjaan setting Pipa Galvanis Ø 6 Inch, t = 3 mm</t>
  </si>
  <si>
    <t>XI#XI.3.1#2#2.b</t>
  </si>
  <si>
    <t>Pekerjaan Pengelasan sambungan pipa</t>
  </si>
  <si>
    <t>XI#XI.3.1#2#2.c</t>
  </si>
  <si>
    <t>Pipa Galvanis Perfoated Screen Ø 3 Inch, t = 2 mm</t>
  </si>
  <si>
    <t>XI#XI.3.1#2#2.d</t>
  </si>
  <si>
    <t>Pengisian Gravel Pack</t>
  </si>
  <si>
    <t>XI#XI.3.1#3</t>
  </si>
  <si>
    <t>Pekerjaan Semen Grouting Bag (atas dinding Sumur)</t>
  </si>
  <si>
    <t>XI#XI.3.1#4</t>
  </si>
  <si>
    <t>Pekerjaan Rumah Pompa 80x150 cm</t>
  </si>
  <si>
    <t>XI#XI.3.1#5</t>
  </si>
  <si>
    <t>XI#XI.3.1#5#5.a</t>
  </si>
  <si>
    <t>XI#XI.3.1#5#5.b</t>
  </si>
  <si>
    <t>5.3</t>
  </si>
  <si>
    <t>XI#XI.3.1#5#5.3</t>
  </si>
  <si>
    <t>5.4</t>
  </si>
  <si>
    <t>~ Pekerjaan Pembesian Wiremseh M8-150</t>
  </si>
  <si>
    <t>XI#XI.3.1#5#5.4</t>
  </si>
  <si>
    <t>5.5</t>
  </si>
  <si>
    <t>XI#XI.3.1#5#5.5</t>
  </si>
  <si>
    <t>Pekerjaan Pasangan Bata Merah</t>
  </si>
  <si>
    <t>XI#XI.3.1#5#5.c</t>
  </si>
  <si>
    <t>XI#XI.3.1#5#5.d</t>
  </si>
  <si>
    <t>XI#XI.3.1#5#5.e</t>
  </si>
  <si>
    <t>Pekerjaan Tutup Rumah Pompa, plat Bordes t = 2,3 mm rangka siku besi 50.50.5 mm + 40.40.4 mm, Fin. Cat</t>
  </si>
  <si>
    <t>XI#XI.3.1#5#5.f</t>
  </si>
  <si>
    <t>XI.3.2</t>
  </si>
  <si>
    <t>Pekerjaan Pengadaan Dan Material</t>
  </si>
  <si>
    <t>XI#XI.3.2</t>
  </si>
  <si>
    <t>Pekerjaan Pemasangan Pompa Air Submersible Deepwell Well SP 9-10 ex.Grundfos</t>
  </si>
  <si>
    <t>XI#XI.3.2#1</t>
  </si>
  <si>
    <t>Pekerjaan Pemasangan Panel Kontrol Pompa 3 Phase</t>
  </si>
  <si>
    <t>XI#XI.3.2#2</t>
  </si>
  <si>
    <t>Pekerjaan tarik Kabel Pompa NYYHY 3 x 1 ½ mm²</t>
  </si>
  <si>
    <t>XI#XI.3.2#3</t>
  </si>
  <si>
    <t>Pekerjaan tarik Kabel Elektroda NYYHY 3 x 2 ½ mm²</t>
  </si>
  <si>
    <t>XI#XI.3.2#4</t>
  </si>
  <si>
    <t>Pekerjaan Pemasangan Elektroda - Water Level Switch Control (Vertical Float Level Switch VSM)</t>
  </si>
  <si>
    <t>XI#XI.3.2#5</t>
  </si>
  <si>
    <t>Pekerjaan Pipa Isap/Hantar - PVC AW = 2 Inch SNI</t>
  </si>
  <si>
    <t>XI#XI.3.2#6</t>
  </si>
  <si>
    <t>XII</t>
  </si>
  <si>
    <t>PEKERJAAN PENERANGAN KAWASAN</t>
  </si>
  <si>
    <t>XII.1</t>
  </si>
  <si>
    <t>Pekerjaan Penerangan Tiang T = 7 m Dan T = 4 m</t>
  </si>
  <si>
    <t>XII#XII.1</t>
  </si>
  <si>
    <t>Pekerjaan Tapak Beton 30x100x100 cm</t>
  </si>
  <si>
    <t>XII#XII.1#1</t>
  </si>
  <si>
    <t>XII#XII.1#1#1.a</t>
  </si>
  <si>
    <t>XII#XII.1#1#1.b</t>
  </si>
  <si>
    <t>XII#XII.1#1#1.c</t>
  </si>
  <si>
    <t>1.d</t>
  </si>
  <si>
    <t>Pekerjaan Bekesting pasangan Batako</t>
  </si>
  <si>
    <t>XII#XII.1#1#1.d</t>
  </si>
  <si>
    <t>1.e</t>
  </si>
  <si>
    <t>Pekerjaan Pembesian Besi Beton D 10 - 150</t>
  </si>
  <si>
    <t>XII#XII.1#1#1.e</t>
  </si>
  <si>
    <t>1.f</t>
  </si>
  <si>
    <t>XII#XII.1#1#1.f</t>
  </si>
  <si>
    <t>Pekerjaan Kolom Pedestal 50/50</t>
  </si>
  <si>
    <t>XII#XII.1#2</t>
  </si>
  <si>
    <t>XII#XII.1#2#2.a</t>
  </si>
  <si>
    <t>Pekerjaan Pembesian Besi Beton 8 D 10</t>
  </si>
  <si>
    <t>XII#XII.1#2#2.b</t>
  </si>
  <si>
    <t>Pekerjaan Pembesian Besi Beton Ø 8  - 150</t>
  </si>
  <si>
    <t>XII#XII.1#2#2.c</t>
  </si>
  <si>
    <t>XII#XII.1#2#2.d</t>
  </si>
  <si>
    <t>Pekerjaan Pengadaan dan Pemasangan Tiang PJU 7 meter (Oktagonal Dobel Arm Hot Deep Galvanis) serta Lampu LED 40 Watt</t>
  </si>
  <si>
    <t>XII#XII.1#3</t>
  </si>
  <si>
    <t>Pekerjaan Pengadaan dan Pemasangan Tiang PJU 7 meter (Oktagonal Single Arm Hot Deep Galvanis) serta Lampu LED 40 Watt</t>
  </si>
  <si>
    <t>XII#XII.1#4</t>
  </si>
  <si>
    <t>Pekerjaan Pengiriman Tiang Lampu</t>
  </si>
  <si>
    <t>XII#XII.1#5</t>
  </si>
  <si>
    <t>XII.2</t>
  </si>
  <si>
    <t>XII#XII.2</t>
  </si>
  <si>
    <t>Pekerjaan Pengadaan dan Pemasangan Panel Distribusi</t>
  </si>
  <si>
    <t>XII#XII.2#1</t>
  </si>
  <si>
    <t>Pekerjaan Pengadaan dan Pemasangan Panel Kontroler</t>
  </si>
  <si>
    <t>XII#XII.2#2</t>
  </si>
  <si>
    <t>Pekerjaan Instalasi Penerangan Jalan, kabel NYY 4 x 2 ½ mm²</t>
  </si>
  <si>
    <t>XII#XII.2#3</t>
  </si>
  <si>
    <t>Pekerjaan Tarik Kabel NYY 2 x 4 (Supreme)</t>
  </si>
  <si>
    <t>m'</t>
  </si>
  <si>
    <t>XII#XII.2#4</t>
  </si>
  <si>
    <t>Pekerjaan Tarik Kabel Distribusi NYY 4 x 6 (Supreme)</t>
  </si>
  <si>
    <t>XII#XII.2#5</t>
  </si>
  <si>
    <t>Pekerjaan Sparing Pipa PVC Listrik 3/4 D</t>
  </si>
  <si>
    <t>XII#XII.2#6</t>
  </si>
  <si>
    <t>Pekerjaan Galian Tanah (tanam kabel)</t>
  </si>
  <si>
    <t>XII#XII.2#7</t>
  </si>
  <si>
    <t>Pekerjaan Pemasangan MCB 2 Ampere</t>
  </si>
  <si>
    <t>XII#XII.2#8</t>
  </si>
  <si>
    <t>Pekerjaan Grounding</t>
  </si>
  <si>
    <t>XII#XII.2#9</t>
  </si>
  <si>
    <t>Pekerjaan Pemasangan 5/8" Rod Coupling</t>
  </si>
  <si>
    <t>XII#XII.2#10</t>
  </si>
  <si>
    <t>XIII</t>
  </si>
  <si>
    <t>PEKERJAAN BANGUNAN GENSET</t>
  </si>
  <si>
    <t>XIII.1</t>
  </si>
  <si>
    <t>XIII#XIII.1</t>
  </si>
  <si>
    <t>XIII#XIII.1#1</t>
  </si>
  <si>
    <t>XIII#XIII.1#2</t>
  </si>
  <si>
    <t>XIII#XIII.1#2#2.a</t>
  </si>
  <si>
    <t>XIII#XIII.1#2#2.b</t>
  </si>
  <si>
    <t>XIII#XIII.1#2#2.c</t>
  </si>
  <si>
    <t>XIII#XIII.1#2#2.d</t>
  </si>
  <si>
    <t>XIII#XIII.1#2#2.e</t>
  </si>
  <si>
    <t>XIII#XIII.1#2#2.f</t>
  </si>
  <si>
    <t>XIII#XIII.1#2#2.g</t>
  </si>
  <si>
    <t>XIII#XIII.1#3</t>
  </si>
  <si>
    <t>XIII#XIII.1#3#3.a</t>
  </si>
  <si>
    <t>XIII#XIII.1#3#3.b</t>
  </si>
  <si>
    <t>Pekerjaan urugan pasir t = 7 cm</t>
  </si>
  <si>
    <t>XIII#XIII.1#3#3.c</t>
  </si>
  <si>
    <t>Pekerjaan Pasangan Batu Kali/Belah</t>
  </si>
  <si>
    <t>XIII#XIII.1#3#3.d</t>
  </si>
  <si>
    <t>XIII#XIII.1#4</t>
  </si>
  <si>
    <t>XIII#XIII.1#5</t>
  </si>
  <si>
    <t>XIII#XIII.1#5#5.a</t>
  </si>
  <si>
    <t>XIII#XIII.1#5#5.b</t>
  </si>
  <si>
    <t>Pekerjaan Pembesian Besi Beton Ø 8  - 100/150</t>
  </si>
  <si>
    <t>XIII#XIII.1#5#5.c</t>
  </si>
  <si>
    <t>XIII#XIII.1#5#5.d</t>
  </si>
  <si>
    <t>Pekerjaan Sloof Beton 15/20 (Ramp)</t>
  </si>
  <si>
    <t>XIII#XIII.1#6</t>
  </si>
  <si>
    <t>XIII#XIII.1#6#6.a</t>
  </si>
  <si>
    <t>XIII#XIII.1#6#6.b</t>
  </si>
  <si>
    <t>XIII#XIII.1#6#6.c</t>
  </si>
  <si>
    <t>XIII#XIII.1#6#6.d</t>
  </si>
  <si>
    <t>XIII#XIII.1#6#6.e</t>
  </si>
  <si>
    <t>Pekerjaan Pile Cap 60x100x300 (dudukan Genset)</t>
  </si>
  <si>
    <t>XIII#XIII.1#7</t>
  </si>
  <si>
    <t>XIII#XIII.1#7#7.a</t>
  </si>
  <si>
    <t>XIII#XIII.1#7#7.b</t>
  </si>
  <si>
    <t>XIII#XIII.1#7#7.c</t>
  </si>
  <si>
    <t>XIII#XIII.1#7#7.d</t>
  </si>
  <si>
    <t>XIII#XIII.1#7#7.e</t>
  </si>
  <si>
    <t>Pekerjaan Pembesian Besi Beton D 8 - 150</t>
  </si>
  <si>
    <t>XIII#XIII.1#7#7.f</t>
  </si>
  <si>
    <t>XIII#XIII.1#7#7.g</t>
  </si>
  <si>
    <t>XIII#XIII.1#8</t>
  </si>
  <si>
    <t>XIII#XIII.1#8#8.a</t>
  </si>
  <si>
    <t>XIII#XIII.1#8#8.b</t>
  </si>
  <si>
    <t>XIII#XIII.1#8#8.c</t>
  </si>
  <si>
    <t>XIII#XIII.1#8#8.d</t>
  </si>
  <si>
    <t>XIII#XIII.1#9</t>
  </si>
  <si>
    <t>XIII#XIII.1#9#9.a</t>
  </si>
  <si>
    <t>XIII#XIII.1#9#9.b</t>
  </si>
  <si>
    <t>XIII#XIII.1#9#9.c</t>
  </si>
  <si>
    <t>XIII#XIII.1#9#9.d</t>
  </si>
  <si>
    <t>XIII#XIII.1#10</t>
  </si>
  <si>
    <t>XIII#XIII.1#10#10.a</t>
  </si>
  <si>
    <t>XIII#XIII.1#10#10.b</t>
  </si>
  <si>
    <t>XIII#XIII.1#10#10.c</t>
  </si>
  <si>
    <t>XIII#XIII.1#10#10.d</t>
  </si>
  <si>
    <t>XIII#XIII.1#11</t>
  </si>
  <si>
    <t>XIII#XIII.1#11#11.a</t>
  </si>
  <si>
    <t>XIII#XIII.1#11#11.b</t>
  </si>
  <si>
    <t>XIII#XIII.1#11#11.c</t>
  </si>
  <si>
    <t>XIII#XIII.1#11#11.d</t>
  </si>
  <si>
    <t>Pekerjaan Balok Beton B-2 15/20</t>
  </si>
  <si>
    <t>XIII#XIII.1#12</t>
  </si>
  <si>
    <t>XIII#XIII.1#12#12.a</t>
  </si>
  <si>
    <t>XIII#XIII.1#12#12.b</t>
  </si>
  <si>
    <t>XIII#XIII.1#12#12.c</t>
  </si>
  <si>
    <t>XIII#XIII.1#12#12.d</t>
  </si>
  <si>
    <t>XIII#XIII.1#13</t>
  </si>
  <si>
    <t>13.1</t>
  </si>
  <si>
    <t>XIII#XIII.1#13#13.1</t>
  </si>
  <si>
    <t>13.1.a</t>
  </si>
  <si>
    <t>XIII#XIII.1#13#13.1#13.1.a</t>
  </si>
  <si>
    <t>13.1.b</t>
  </si>
  <si>
    <t>XIII#XIII.1#13#13.1#13.1.b</t>
  </si>
  <si>
    <t>13.1.c</t>
  </si>
  <si>
    <t>XIII#XIII.1#13#13.1#13.1.c</t>
  </si>
  <si>
    <t>13.1.d</t>
  </si>
  <si>
    <t>XIII#XIII.1#13#13.1#13.1.d</t>
  </si>
  <si>
    <t>13.2</t>
  </si>
  <si>
    <t>XIII#XIII.1#13#13.2</t>
  </si>
  <si>
    <t>13.2.a</t>
  </si>
  <si>
    <t>XIII#XIII.1#13#13.2#13.2.a</t>
  </si>
  <si>
    <t>13.2.b</t>
  </si>
  <si>
    <t>XIII#XIII.1#13#13.2#13.2.b</t>
  </si>
  <si>
    <t>13.2.c</t>
  </si>
  <si>
    <t>XIII#XIII.1#13#13.2#13.2.c</t>
  </si>
  <si>
    <t>13.2.d</t>
  </si>
  <si>
    <t>XIII#XIII.1#13#13.2#13.2.d</t>
  </si>
  <si>
    <t>XIII#XIII.1#14</t>
  </si>
  <si>
    <t>XIII#XIII.1#14#14.a</t>
  </si>
  <si>
    <t>XIII#XIII.1#14#14.b</t>
  </si>
  <si>
    <t>XIII#XIII.1#14#14.c</t>
  </si>
  <si>
    <t>14.d</t>
  </si>
  <si>
    <t>XIII#XIII.1#14#14.d</t>
  </si>
  <si>
    <t>14.e</t>
  </si>
  <si>
    <t>XIII#XIII.1#14#14.e</t>
  </si>
  <si>
    <t>XIII#XIII.1#15</t>
  </si>
  <si>
    <t>15.a</t>
  </si>
  <si>
    <t>XIII#XIII.1#15#15.a</t>
  </si>
  <si>
    <t>15.b</t>
  </si>
  <si>
    <t>XIII#XIII.1#15#15.b</t>
  </si>
  <si>
    <t>15.c</t>
  </si>
  <si>
    <t>XIII#XIII.1#15#15.c</t>
  </si>
  <si>
    <t>15.d</t>
  </si>
  <si>
    <t>XIII#XIII.1#15#15.d</t>
  </si>
  <si>
    <t>15.e</t>
  </si>
  <si>
    <t>Pekerjaan Pembesian Wiremesh M8-150 (2 lapis)</t>
  </si>
  <si>
    <t>XIII#XIII.1#15#15.e</t>
  </si>
  <si>
    <t>15.f</t>
  </si>
  <si>
    <t>XIII#XIII.1#15#15.f</t>
  </si>
  <si>
    <t>Pekerjaan Ramp</t>
  </si>
  <si>
    <t>XIII#XIII.1#16</t>
  </si>
  <si>
    <t>16.a</t>
  </si>
  <si>
    <t>XIII#XIII.1#16#16.a</t>
  </si>
  <si>
    <t>16.b</t>
  </si>
  <si>
    <t>XIII#XIII.1#16#16.b</t>
  </si>
  <si>
    <t>16.c</t>
  </si>
  <si>
    <t>XIII#XIII.1#16#16.c</t>
  </si>
  <si>
    <t>16.d</t>
  </si>
  <si>
    <t>XIII#XIII.1#16#16.d</t>
  </si>
  <si>
    <t>16.e</t>
  </si>
  <si>
    <t>Pekerjaan Dinding Bata Ramp</t>
  </si>
  <si>
    <t>XIII#XIII.1#16#16.e</t>
  </si>
  <si>
    <t>16.f</t>
  </si>
  <si>
    <t>Pekerjaan Pembesian Wiremesh M8-150 (1 lapis)</t>
  </si>
  <si>
    <t>XIII#XIII.1#16#16.f</t>
  </si>
  <si>
    <t>16.g</t>
  </si>
  <si>
    <t>XIII#XIII.1#16#16.g</t>
  </si>
  <si>
    <t>16.h</t>
  </si>
  <si>
    <t>XIII#XIII.1#16#16.h</t>
  </si>
  <si>
    <t>16.i</t>
  </si>
  <si>
    <t>XIII#XIII.1#16#16.i</t>
  </si>
  <si>
    <t>XIII.2</t>
  </si>
  <si>
    <t>Pekerjaan Arsitektural Dan Eletrikal</t>
  </si>
  <si>
    <t>XIII#XIII.2</t>
  </si>
  <si>
    <t>XIII#XIII.2#1</t>
  </si>
  <si>
    <t>XIII#XIII.2#2</t>
  </si>
  <si>
    <t>XIII#XIII.2#3</t>
  </si>
  <si>
    <t>XIII#XIII.2#4</t>
  </si>
  <si>
    <t>XIII#XIII.2#5</t>
  </si>
  <si>
    <t>XIII#XIII.2#5#5.a</t>
  </si>
  <si>
    <t>XIII#XIII.2#5#5.b</t>
  </si>
  <si>
    <t>XIII#XIII.2#5#5.c</t>
  </si>
  <si>
    <t>XIII#XIII.2#5#5.d</t>
  </si>
  <si>
    <t>XIII#XIII.2#6</t>
  </si>
  <si>
    <t>XIII#XIII.2#7</t>
  </si>
  <si>
    <t>Pekerjaan Pengecatan Listplank</t>
  </si>
  <si>
    <t>XIII#XIII.2#8</t>
  </si>
  <si>
    <t>Pekerjaan Pintu Dobel Besi 214x217 cm</t>
  </si>
  <si>
    <t>XIII#XIII.2#9</t>
  </si>
  <si>
    <t>Pekerjaan Jendela Jalusi Aluminium</t>
  </si>
  <si>
    <t>XIII#XIII.2#10</t>
  </si>
  <si>
    <t>Pekerjaan Pengecatan Dinding Tekstur</t>
  </si>
  <si>
    <t>XIII#XIII.2#11</t>
  </si>
  <si>
    <t>XIII#XIII.2#12</t>
  </si>
  <si>
    <t>Pekerjaan Huruf Timbul plate galvanis finish cat duco, RUMAH GENSET uk. 20x25 cm</t>
  </si>
  <si>
    <t>XIII#XIII.2#13</t>
  </si>
  <si>
    <t>XIII#XIII.2#14</t>
  </si>
  <si>
    <t>Pekerjaan Instalasi Stop Kontak NYM 2 x 2 ½ mm²</t>
  </si>
  <si>
    <t>XIII#XIII.2#15</t>
  </si>
  <si>
    <t>Pekerjaan Saklar Double</t>
  </si>
  <si>
    <t>XIII#XIII.2#16</t>
  </si>
  <si>
    <t>XIII#XIII.2#17</t>
  </si>
  <si>
    <t>XIII#XIII.2#18</t>
  </si>
  <si>
    <t>Pekerjaan Panel Box 3 Phase 380V, 50 Hz</t>
  </si>
  <si>
    <t>XIII#XIII.2#19</t>
  </si>
  <si>
    <t>XIV</t>
  </si>
  <si>
    <t>PEKERJAAN JALAN LINGKUNGAN DAN SALURAN</t>
  </si>
  <si>
    <t>XIV.1</t>
  </si>
  <si>
    <t>Pekerjaan Saluran Batu Belah Kawasan</t>
  </si>
  <si>
    <t>XIV#XIV.1</t>
  </si>
  <si>
    <t>Pekerjaan Pengukuran Saluran</t>
  </si>
  <si>
    <t>XIV#XIV.1#1</t>
  </si>
  <si>
    <t>Pekerjaan Galian Tanah Saluran sampai dengan 1 m</t>
  </si>
  <si>
    <t>XIV#XIV.1#2</t>
  </si>
  <si>
    <t>Pek. Pemadatan Tanah Galian Saluran dengan Stamper</t>
  </si>
  <si>
    <t>XIV#XIV.1#3</t>
  </si>
  <si>
    <t>Pekerjaan Saluran Batu Belah 50/40</t>
  </si>
  <si>
    <t>XIV#XIV.1#4</t>
  </si>
  <si>
    <t>Pekerjaan Rabat Beton Lantai Saluran Kawasan t = 5 cm</t>
  </si>
  <si>
    <t>XIV#XIV.1#5</t>
  </si>
  <si>
    <t>Pekerjaan Instalasi Drainase Pipa PVC Ø 4 Inch</t>
  </si>
  <si>
    <t>XIV#XIV.1#6</t>
  </si>
  <si>
    <t>Pekerjaan Plesteran Dinding Saluran</t>
  </si>
  <si>
    <t>XIV#XIV.1#7</t>
  </si>
  <si>
    <t>Pekerjaan Acian Finish</t>
  </si>
  <si>
    <t>XIV#XIV.1#8</t>
  </si>
  <si>
    <t>XIV#XIV.1#9</t>
  </si>
  <si>
    <t>Pekerjaan Beton Dekkeur t = 15 cm</t>
  </si>
  <si>
    <t>XIV#XIV.1#10</t>
  </si>
  <si>
    <t>XIV#XIV.1#10#10.a</t>
  </si>
  <si>
    <t>XIV#XIV.1#10#10.b</t>
  </si>
  <si>
    <t>XIV#XIV.1#10#10.c</t>
  </si>
  <si>
    <t>Pekerjaan Bak Kontrol 80x80x90 cm (5 unit)</t>
  </si>
  <si>
    <t>XIV#XIV.1#11</t>
  </si>
  <si>
    <t>XIV#XIV.1#11#11.a</t>
  </si>
  <si>
    <t>XIV#XIV.1#11#11.b</t>
  </si>
  <si>
    <t>XIV#XIV.1#11#11.c</t>
  </si>
  <si>
    <t>XIV#XIV.1#11#11.d</t>
  </si>
  <si>
    <t>11.e</t>
  </si>
  <si>
    <t>Pekerjaan Tutup Bak Kontrol (Steel Gratting) 120x120 cm</t>
  </si>
  <si>
    <t>XIV#XIV.1#11#11.e</t>
  </si>
  <si>
    <t>Pekerjaan Saluran Pasangan Bata Merah (keliling bangunan)</t>
  </si>
  <si>
    <t>XIV#XIV.1#12</t>
  </si>
  <si>
    <t>XIV#XIV.1#12#12.a</t>
  </si>
  <si>
    <t>XIV#XIV.1#12#12.b</t>
  </si>
  <si>
    <t>XIV#XIV.1#12#12.c</t>
  </si>
  <si>
    <t>XIV#XIV.1#12#12.d</t>
  </si>
  <si>
    <t>12.e</t>
  </si>
  <si>
    <t>XIV#XIV.1#12#12.e</t>
  </si>
  <si>
    <t>12.f</t>
  </si>
  <si>
    <t>Pekerjaan Rabat Beton Lantai Saluran Bangunan t = 5 cm</t>
  </si>
  <si>
    <t>XIV#XIV.1#12#12.f</t>
  </si>
  <si>
    <t>XIV.2</t>
  </si>
  <si>
    <t>Pekerjaan Jalan Beton Kawasan</t>
  </si>
  <si>
    <t>XIV#XIV.2</t>
  </si>
  <si>
    <t>Pekerjaan Pengukuran dan Pematokan Jalan</t>
  </si>
  <si>
    <t>XIV#XIV.2#1</t>
  </si>
  <si>
    <t>Pekerjaan Pemadatan Tanah Existing</t>
  </si>
  <si>
    <t>XIV#XIV.2#2</t>
  </si>
  <si>
    <t>Pekerjaan Urugan Makadam t = 20 cm dipadatkan</t>
  </si>
  <si>
    <t>XIV#XIV.2#3</t>
  </si>
  <si>
    <t>XIV#XIV.2#4</t>
  </si>
  <si>
    <t>XIV#XIV.2#5</t>
  </si>
  <si>
    <t>XIV#XIV.2#6</t>
  </si>
  <si>
    <t>Pekerjaan Jalan Beton t = 15 cm</t>
  </si>
  <si>
    <t>XIV#XIV.2#7</t>
  </si>
  <si>
    <t>XIV#XIV.2#7#7.a</t>
  </si>
  <si>
    <t>Pekerjaan Pembesian Wiremesh M8-150</t>
  </si>
  <si>
    <t>XIV#XIV.2#7#7.b</t>
  </si>
  <si>
    <t>Pekerjaan Joint sealer aspal</t>
  </si>
  <si>
    <t>XIV#XIV.2#7#7.c</t>
  </si>
  <si>
    <t>Pekerjaan Pemasangan Plastik Cor</t>
  </si>
  <si>
    <t>XIV#XIV.2#7#7.d</t>
  </si>
  <si>
    <t>7.c#2</t>
  </si>
  <si>
    <t>Pekerjaan Dudukan Dowel</t>
  </si>
  <si>
    <t>XIV#XIV.2#7#7.c#2</t>
  </si>
  <si>
    <t>7.6</t>
  </si>
  <si>
    <t>~ Pekerjaan Tul. Pokok Besi Beton 4 D 8 mm</t>
  </si>
  <si>
    <t>XIV#XIV.2#7#7.6</t>
  </si>
  <si>
    <t>7.7</t>
  </si>
  <si>
    <t>~ Pekerjaan Dowel Besi Beton D 8 mm - 300</t>
  </si>
  <si>
    <t>XIV#XIV.2#7#7.7</t>
  </si>
  <si>
    <t>7.d#2</t>
  </si>
  <si>
    <t>Pekerjaan Dowel Besi Beton D 13 mm - 300</t>
  </si>
  <si>
    <t>XIV#XIV.2#7#7.d#2</t>
  </si>
  <si>
    <t>Pekerjaan Pipa PVC AW Ø 3/4"</t>
  </si>
  <si>
    <t>XIV#XIV.2#7#7.e</t>
  </si>
  <si>
    <t>7.c#3</t>
  </si>
  <si>
    <t>Pekerjaan Beton Site Mix mutu f'c = 20 Mpa dengan Concrete Mixer Pump</t>
  </si>
  <si>
    <t>XIV#XIV.2#7#7.c#3</t>
  </si>
  <si>
    <t>7.d#3</t>
  </si>
  <si>
    <t>XIV#XIV.2#7#7.d#3</t>
  </si>
  <si>
    <t>XIV.3</t>
  </si>
  <si>
    <t>Pekerjaan Pedestrian Kawasan</t>
  </si>
  <si>
    <t>XIV#XIV.3</t>
  </si>
  <si>
    <t>Pekerjaan Galian Tanah Kanstin</t>
  </si>
  <si>
    <t>XIV#XIV.3#1</t>
  </si>
  <si>
    <t>XIV#XIV.3#2</t>
  </si>
  <si>
    <t>Pekerjaan Kanstin 15x25x40 cm</t>
  </si>
  <si>
    <t>XIV#XIV.3#3</t>
  </si>
  <si>
    <t>Pekerjaan Urugan Tanah mendatangkan t = 12 cm</t>
  </si>
  <si>
    <t>XIV#XIV.3#4</t>
  </si>
  <si>
    <t>XIV#XIV.3#5</t>
  </si>
  <si>
    <t>Pekerjaan Pemadatan Urugan Pasir</t>
  </si>
  <si>
    <t>XIV#XIV.3#6</t>
  </si>
  <si>
    <t>Pekerjaan Paving Blok t = 6 cm</t>
  </si>
  <si>
    <t>XIV#XIV.3#7</t>
  </si>
  <si>
    <t>XV</t>
  </si>
  <si>
    <t>PEKERJAAN LANDSKAPING KAWASAN</t>
  </si>
  <si>
    <t>Pekerjaan Penanaman Rumput Gajah Mini</t>
  </si>
  <si>
    <t>XV#1</t>
  </si>
  <si>
    <t>Penanaman 1 Buah Pohon Sedang Mangga (Mangifera indica), Diameter 6-8 cm, Tinggi 2-3 meter, Polybag 50 L</t>
  </si>
  <si>
    <t>btg</t>
  </si>
  <si>
    <t>XV#2</t>
  </si>
  <si>
    <t>Penanaman 1 Buah Pohon Sedang Alpukat (Persea Americana), Diameter 6-8 cm, Tinggi 2-3 meter, Polybag 50 L</t>
  </si>
  <si>
    <t>XV#3</t>
  </si>
  <si>
    <t>Penanaman 1 Buah Pohon Sedang Rambutan (Nephelium lappaceum), Diameter 6-8 cm, Tinggi 2-3 meter, Polybag 50 L</t>
  </si>
  <si>
    <t>XV#4</t>
  </si>
  <si>
    <t>Penanaman 1 Buah Pohon Sedang Lengkeng (Dimocarpus longan), Diameter 6-8 cm, Tinggi 2-3 meter, Polybag 50 L</t>
  </si>
  <si>
    <t>XV#5</t>
  </si>
  <si>
    <t>XVI</t>
  </si>
  <si>
    <t>PEKERJAAN LEVELLING LAHAN</t>
  </si>
  <si>
    <t>Pekerjaan Urugan Tanah mendatangkan</t>
  </si>
  <si>
    <t>XVI#1</t>
  </si>
  <si>
    <t>Pek. Pemadatan Tanah Urug dengan alat berat tiap 20 cm</t>
  </si>
  <si>
    <t>XVI#2</t>
  </si>
  <si>
    <t>XVII</t>
  </si>
  <si>
    <t>PEKERJAAN BANGUNAN DOCKING KAPAL</t>
  </si>
  <si>
    <t>XVII.1</t>
  </si>
  <si>
    <t>XVII#XVII.1</t>
  </si>
  <si>
    <t>XVII#XVII.1#1</t>
  </si>
  <si>
    <t>XVII#XVII.1#2</t>
  </si>
  <si>
    <t>XVII#XVII.1#2#2.a</t>
  </si>
  <si>
    <t>XVII#XVII.1#2#2.b</t>
  </si>
  <si>
    <t>XVII#XVII.1#2#2.c</t>
  </si>
  <si>
    <t>XVII#XVII.1#2#2.d</t>
  </si>
  <si>
    <t>XVII#XVII.1#2#2.e</t>
  </si>
  <si>
    <t>XVII#XVII.1#2#2.f</t>
  </si>
  <si>
    <t>XVII#XVII.1#2#2.g</t>
  </si>
  <si>
    <t>XVII#XVII.1#3</t>
  </si>
  <si>
    <t>Pekerjaan Galian Tanah sedalam 1 m</t>
  </si>
  <si>
    <t>XVII#XVII.1#3#3.a</t>
  </si>
  <si>
    <t>XVII#XVII.1#3#3.b</t>
  </si>
  <si>
    <t>XVII#XVII.1#3#3.c</t>
  </si>
  <si>
    <t>XVII#XVII.1#3#3.d</t>
  </si>
  <si>
    <t>XVII#XVII.1#4</t>
  </si>
  <si>
    <t>XVII#XVII.1#5</t>
  </si>
  <si>
    <t>XVII#XVII.1#5#5.a</t>
  </si>
  <si>
    <t>XVII#XVII.1#5#5.b</t>
  </si>
  <si>
    <t>XVII#XVII.1#5#5.c</t>
  </si>
  <si>
    <t>XVII#XVII.1#5#5.d</t>
  </si>
  <si>
    <t>XVII#XVII.1#6</t>
  </si>
  <si>
    <t>XVII#XVII.1#6#6.a</t>
  </si>
  <si>
    <t>XVII#XVII.1#6#6.b</t>
  </si>
  <si>
    <t>XVII#XVII.1#6#6.c</t>
  </si>
  <si>
    <t>XVII#XVII.1#6#6.d</t>
  </si>
  <si>
    <t>XVII#XVII.1#7</t>
  </si>
  <si>
    <t>XVII#XVII.1#7#7.a</t>
  </si>
  <si>
    <t>XVII#XVII.1#7#7.b</t>
  </si>
  <si>
    <t>XVII#XVII.1#7#7.c</t>
  </si>
  <si>
    <t>XVII#XVII.1#7#7.d</t>
  </si>
  <si>
    <t>XVII#XVII.1#7#7.e</t>
  </si>
  <si>
    <t>XVII#XVII.1#7#7.f</t>
  </si>
  <si>
    <t>XVII#XVII.1#8</t>
  </si>
  <si>
    <t>XVII#XVII.1#8#8.a</t>
  </si>
  <si>
    <t>XVII#XVII.1#8#8.b</t>
  </si>
  <si>
    <t>XVII#XVII.1#8#8.c</t>
  </si>
  <si>
    <t>XVII#XVII.1#8#8.d</t>
  </si>
  <si>
    <t>XVII#XVII.1#8#8.e</t>
  </si>
  <si>
    <t>XVII#XVII.1#8#8.f</t>
  </si>
  <si>
    <t>XVII#XVII.1#9</t>
  </si>
  <si>
    <t>XVII#XVII.1#9#9.a</t>
  </si>
  <si>
    <t>XVII#XVII.1#9#9.b</t>
  </si>
  <si>
    <t>XVII#XVII.1#9#9.c</t>
  </si>
  <si>
    <t>XVII#XVII.1#9#9.d</t>
  </si>
  <si>
    <t>XVII#XVII.1#10</t>
  </si>
  <si>
    <t>XVII#XVII.1#10#10.a</t>
  </si>
  <si>
    <t>XVII#XVII.1#10#10.b</t>
  </si>
  <si>
    <t>XVII#XVII.1#10#10.c</t>
  </si>
  <si>
    <t>XVII#XVII.1#10#10.d</t>
  </si>
  <si>
    <t>XVII#XVII.1#11</t>
  </si>
  <si>
    <t>XVII#XVII.1#11#11.a</t>
  </si>
  <si>
    <t>XVII#XVII.1#11#11.b</t>
  </si>
  <si>
    <t>XVII#XVII.1#11#11.c</t>
  </si>
  <si>
    <t>XVII#XVII.1#11#11.d</t>
  </si>
  <si>
    <t>XVII#XVII.1#12</t>
  </si>
  <si>
    <t>XVII#XVII.1#12#12.a</t>
  </si>
  <si>
    <t>XVII#XVII.1#12#12.b</t>
  </si>
  <si>
    <t>XVII#XVII.1#12#12.c</t>
  </si>
  <si>
    <t>XVII#XVII.1#12#12.d</t>
  </si>
  <si>
    <t>XVII#XVII.1#13</t>
  </si>
  <si>
    <t>XVII#XVII.1#13#13.a</t>
  </si>
  <si>
    <t>XVII#XVII.1#13#13.b</t>
  </si>
  <si>
    <t>XVII#XVII.1#13#13.c</t>
  </si>
  <si>
    <t>XVII#XVII.1#13#13.d</t>
  </si>
  <si>
    <t>XVII#XVII.1#14</t>
  </si>
  <si>
    <t>XVII#XVII.1#14#14.a</t>
  </si>
  <si>
    <t>XVII#XVII.1#14#14.b</t>
  </si>
  <si>
    <t>XVII#XVII.1#14#14.c</t>
  </si>
  <si>
    <t>XVII#XVII.1#14#14.d</t>
  </si>
  <si>
    <t>XVII#XVII.1#15</t>
  </si>
  <si>
    <t>15.1</t>
  </si>
  <si>
    <t>Pekerjaan Balok 15/20</t>
  </si>
  <si>
    <t>XVII#XVII.1#15#15.1</t>
  </si>
  <si>
    <t>15.1.a</t>
  </si>
  <si>
    <t>XVII#XVII.1#15#15.1#15.1.a</t>
  </si>
  <si>
    <t>15.1.b</t>
  </si>
  <si>
    <t>XVII#XVII.1#15#15.1#15.1.b</t>
  </si>
  <si>
    <t>15.1.c</t>
  </si>
  <si>
    <t>XVII#XVII.1#15#15.1#15.1.c</t>
  </si>
  <si>
    <t>15.1.d</t>
  </si>
  <si>
    <t>XVII#XVII.1#15#15.1#15.1.d</t>
  </si>
  <si>
    <t>15.2</t>
  </si>
  <si>
    <t>Pekerjaan Kolom 15/20</t>
  </si>
  <si>
    <t>XVII#XVII.1#15#15.2</t>
  </si>
  <si>
    <t>15.2.a</t>
  </si>
  <si>
    <t>XVII#XVII.1#15#15.2#15.2.a</t>
  </si>
  <si>
    <t>15.2.b</t>
  </si>
  <si>
    <t>XVII#XVII.1#15#15.2#15.2.b</t>
  </si>
  <si>
    <t>15.2.c</t>
  </si>
  <si>
    <t>XVII#XVII.1#15#15.2#15.2.c</t>
  </si>
  <si>
    <t>15.2.d</t>
  </si>
  <si>
    <t>XVII#XVII.1#15#15.2#15.2.d</t>
  </si>
  <si>
    <t>XVII#XVII.1#16</t>
  </si>
  <si>
    <t>Pekerjaan Urugan Makadam  t = 25 cm</t>
  </si>
  <si>
    <t>XVII#XVII.1#16#16.a</t>
  </si>
  <si>
    <t>Pekerjaan Pemadatan Makam dengan stamper</t>
  </si>
  <si>
    <t>XVII#XVII.1#16#16.b</t>
  </si>
  <si>
    <t>Pekerjaan Urugan Sirtu t = 15 cm dipadatkan dengan Tamper</t>
  </si>
  <si>
    <t>XVII#XVII.1#16#16.c</t>
  </si>
  <si>
    <t>XVII#XVII.1#16#16.d</t>
  </si>
  <si>
    <t>XVII#XVII.1#16#16.e</t>
  </si>
  <si>
    <t>XVII#XVII.1#16#16.f</t>
  </si>
  <si>
    <t>XVII#XVII.1#16#16.g</t>
  </si>
  <si>
    <t>XVII#XVII.1#16#16.h</t>
  </si>
  <si>
    <t>XVII.2</t>
  </si>
  <si>
    <t>XVII#XVII.2</t>
  </si>
  <si>
    <t>XVII#XVII.2#1</t>
  </si>
  <si>
    <t>XVII#XVII.2#2</t>
  </si>
  <si>
    <t>XVII#XVII.2#3</t>
  </si>
  <si>
    <t>XVII#XVII.2#4</t>
  </si>
  <si>
    <t>XVII#XVII.2#5</t>
  </si>
  <si>
    <t>Pekerjaan Dinding Roster 20x20 cm</t>
  </si>
  <si>
    <t>XVII#XVII.2#6</t>
  </si>
  <si>
    <t>Pekerjaan Floor Hardener</t>
  </si>
  <si>
    <t>XVII#XVII.2#7</t>
  </si>
  <si>
    <t>XVII#XVII.2#8</t>
  </si>
  <si>
    <t>XVII#XVII.2#9</t>
  </si>
  <si>
    <t>XVII#XVII.2#9#9.a</t>
  </si>
  <si>
    <t>XVII#XVII.2#9#9.b</t>
  </si>
  <si>
    <t>Pekerjaan Pemasangan Dynabolt M8 x 100 mm SS 304</t>
  </si>
  <si>
    <t>buah</t>
  </si>
  <si>
    <t>XVII#XVII.2#9#9.c</t>
  </si>
  <si>
    <t>XVII#XVII.2#9#9.d</t>
  </si>
  <si>
    <t>XVII#XVII.2#9#9.e</t>
  </si>
  <si>
    <t>Pekerjaan Plafond GRC t = 6  mm,termasuk rangka besi hollow 40/40 modul 60x60 cm</t>
  </si>
  <si>
    <t>XVII#XVII.2#10</t>
  </si>
  <si>
    <t>XVII#XVII.2#11</t>
  </si>
  <si>
    <t>XVII#XVII.2#12</t>
  </si>
  <si>
    <t>XVII#XVII.2#13</t>
  </si>
  <si>
    <t>XVII#XVII.2#14</t>
  </si>
  <si>
    <t>Pengecatan Listplank GRC</t>
  </si>
  <si>
    <t>XVII#XVII.2#15</t>
  </si>
  <si>
    <t>XVII#XVII.2#16</t>
  </si>
  <si>
    <t>Pekerjaan Huruf Timbul plate galvanis finish cat duco, DOCKING KAPAL uk. 20x25 cm</t>
  </si>
  <si>
    <t>XVII#XVII.2#17</t>
  </si>
  <si>
    <t>XVII.3</t>
  </si>
  <si>
    <t>XVII#XVII.3</t>
  </si>
  <si>
    <t>XVII#XVII.3#1</t>
  </si>
  <si>
    <t>XVII#XVII.3#2</t>
  </si>
  <si>
    <t>XVII#XVII.3#3</t>
  </si>
  <si>
    <t>XVII#XVII.3#4</t>
  </si>
  <si>
    <t>XVII#XVII.3#5</t>
  </si>
  <si>
    <t>XVII#XVII.3#6</t>
  </si>
  <si>
    <t>XVIII</t>
  </si>
  <si>
    <t>PEKERJAAN BANGUNAN IPAL BIOTECH</t>
  </si>
  <si>
    <t>XVIII#1</t>
  </si>
  <si>
    <t>Pekerjaan Galian Tanah Keras sampai dengan 2 m</t>
  </si>
  <si>
    <t>XVIII#2</t>
  </si>
  <si>
    <t>Pekerjaan Buang Tanah bekas Galian</t>
  </si>
  <si>
    <t>XVIII#3</t>
  </si>
  <si>
    <t>XVIII#4</t>
  </si>
  <si>
    <t>XVIII#4#4.a</t>
  </si>
  <si>
    <t>XVIII#4#4.b</t>
  </si>
  <si>
    <t>Pekerjaan Pembesian Besi Beton D13 - 150 melintang</t>
  </si>
  <si>
    <t>XVIII#4#4.c</t>
  </si>
  <si>
    <t>Pekerjaan Pembesian Besi Beton D10 - 150 memanjang</t>
  </si>
  <si>
    <t>XVIII#4#4.d</t>
  </si>
  <si>
    <t>XVIII#4#4.e</t>
  </si>
  <si>
    <t>Pekerjaan Dinding Pasangan Bata 1 : 5</t>
  </si>
  <si>
    <t>XVIII#5</t>
  </si>
  <si>
    <t>XVIII#6</t>
  </si>
  <si>
    <t>Pekerjaan Pengadaan dan Pemasangan IPAL Biotech 2 m³</t>
  </si>
  <si>
    <t>XVIII#7</t>
  </si>
  <si>
    <t>Pekerjaan Urugan Pasir Urug</t>
  </si>
  <si>
    <t>XVIII#8</t>
  </si>
  <si>
    <t>NILAI KONTRAK BERJALAN (pra-PPN)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</si>
</sst>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.###"/>
  </numFmts>
  <fonts count="8" x14ac:knownFonts="1">
    <font>
      <color theme="1"/>
      <family val="2"/>
      <scheme val="minor"/>
      <sz val="11"/>
      <name val="Calibri"/>
    </font>
    <font>
      <b/>
      <sz val="12"/>
    </font>
    <font>
      <sz val="10"/>
    </font>
    <font>
      <b/>
      <sz val="10"/>
    </font>
    <font>
      <color rgb="FFB00020"/>
      <sz val="10"/>
    </font>
    <font>
      <b/>
      <sz val="9"/>
    </font>
    <font>
      <sz val="9"/>
    </font>
    <font>
      <i/>
      <sz val="9"/>
    </font>
  </fonts>
  <fills count="7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FFF9E6"/>
      </patternFill>
    </fill>
    <fill>
      <patternFill patternType="solid">
        <fgColor rgb="FFEAF6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4" borderId="1" xfId="0" applyFont="1" applyFill="1" applyBorder="1" applyAlignment="1" applyProtection="1">
      <alignment horizontal="center" vertical="top"/>
      <protection locked="0"/>
    </xf>
    <xf numFmtId="0" fontId="5" fillId="4" borderId="1" xfId="0" applyFont="1" applyFill="1" applyBorder="1" applyAlignment="1" applyProtection="1">
      <alignment vertical="top" wrapText="1"/>
      <protection locked="0"/>
    </xf>
    <xf numFmtId="0" fontId="5" fillId="4" borderId="1" xfId="0" applyFont="1" applyFill="1" applyBorder="1" applyProtection="1"/>
    <xf numFmtId="0" fontId="5" fillId="4" borderId="1" xfId="0" applyFont="1" applyFill="1" applyBorder="1" applyProtection="1">
      <protection locked="0"/>
    </xf>
    <xf numFmtId="164" fontId="5" fillId="4" borderId="1" xfId="0" applyNumberFormat="1" applyFont="1" applyFill="1" applyBorder="1" applyProtection="1"/>
    <xf numFmtId="0" fontId="5" fillId="0" borderId="0" xfId="0" applyFont="1" applyProtection="1"/>
    <xf numFmtId="0" fontId="5" fillId="0" borderId="1" xfId="0" applyFont="1" applyBorder="1" applyProtection="1"/>
    <xf numFmtId="0" fontId="6" fillId="0" borderId="1" xfId="0" applyFont="1" applyBorder="1" applyAlignment="1" applyProtection="1">
      <alignment horizontal="center" vertical="top"/>
      <protection locked="0"/>
    </xf>
    <xf numFmtId="0" fontId="6" fillId="0" borderId="1" xfId="0" applyFont="1" applyBorder="1" applyAlignment="1" applyProtection="1">
      <alignment vertical="top" wrapText="1" indent="1"/>
      <protection locked="0"/>
    </xf>
    <xf numFmtId="165" fontId="6" fillId="0" borderId="1" xfId="0" applyNumberFormat="1" applyFont="1" applyBorder="1" applyProtection="1"/>
    <xf numFmtId="0" fontId="6" fillId="0" borderId="1" xfId="0" applyFont="1" applyBorder="1" applyAlignment="1" applyProtection="1">
      <alignment horizontal="center"/>
      <protection locked="0"/>
    </xf>
    <xf numFmtId="164" fontId="6" fillId="0" borderId="1" xfId="0" applyNumberFormat="1" applyFont="1" applyBorder="1" applyProtection="1">
      <protection locked="0"/>
    </xf>
    <xf numFmtId="164" fontId="6" fillId="0" borderId="1" xfId="0" applyNumberFormat="1" applyFont="1" applyBorder="1" applyProtection="1"/>
    <xf numFmtId="165" fontId="6" fillId="5" borderId="1" xfId="0" applyNumberFormat="1" applyFont="1" applyFill="1" applyBorder="1" applyProtection="1">
      <protection locked="0"/>
    </xf>
    <xf numFmtId="0" fontId="6" fillId="0" borderId="1" xfId="0" applyFont="1" applyBorder="1" applyProtection="1">
      <protection locked="0"/>
    </xf>
    <xf numFmtId="0" fontId="0" fillId="0" borderId="0" xfId="0" applyProtection="1"/>
    <xf numFmtId="165" fontId="5" fillId="6" borderId="1" xfId="0" applyNumberFormat="1" applyFont="1" applyFill="1" applyBorder="1" applyAlignment="1" applyProtection="1">
      <alignment horizontal="right"/>
    </xf>
    <xf numFmtId="0" fontId="7" fillId="0" borderId="0" xfId="0" applyFont="1"/>
    <xf numFmtId="0" fontId="7" fillId="0" borderId="1" xfId="0" applyFont="1" applyBorder="1" applyAlignment="1" applyProtection="1">
      <alignment horizontal="center" vertical="top"/>
      <protection locked="0"/>
    </xf>
    <xf numFmtId="0" fontId="7" fillId="0" borderId="1" xfId="0" applyFont="1" applyBorder="1" applyAlignment="1" applyProtection="1">
      <alignment vertical="top" wrapText="1" indent="1"/>
      <protection locked="0"/>
    </xf>
    <xf numFmtId="0" fontId="7" fillId="0" borderId="1" xfId="0" applyFont="1" applyBorder="1" applyProtection="1"/>
    <xf numFmtId="0" fontId="7" fillId="0" borderId="1" xfId="0" applyFont="1" applyBorder="1" applyProtection="1">
      <protection locked="0"/>
    </xf>
    <xf numFmtId="164" fontId="7" fillId="0" borderId="1" xfId="0" applyNumberFormat="1" applyFont="1" applyBorder="1" applyProtection="1"/>
    <xf numFmtId="0" fontId="7" fillId="0" borderId="0" xfId="0" applyFont="1" applyProtection="1"/>
    <xf numFmtId="0" fontId="7" fillId="0" borderId="1" xfId="0" applyFont="1" applyBorder="1" applyAlignment="1" applyProtection="1">
      <alignment vertical="top" wrapText="1" indent="2"/>
      <protection locked="0"/>
    </xf>
    <xf numFmtId="0" fontId="6" fillId="0" borderId="1" xfId="0" applyFont="1" applyBorder="1" applyAlignment="1" applyProtection="1">
      <alignment vertical="top" wrapText="1" indent="3"/>
      <protection locked="0"/>
    </xf>
    <xf numFmtId="165" fontId="6" fillId="0" borderId="1" xfId="0" applyNumberFormat="1" applyFont="1" applyBorder="1" applyAlignment="1" applyProtection="1">
      <alignment horizontal="right"/>
    </xf>
    <xf numFmtId="0" fontId="6" fillId="0" borderId="1" xfId="0" applyFont="1" applyBorder="1" applyAlignment="1" applyProtection="1">
      <alignment vertical="top" wrapText="1" indent="2"/>
      <protection locked="0"/>
    </xf>
    <xf numFmtId="0" fontId="7" fillId="0" borderId="1" xfId="0" applyFont="1" applyBorder="1" applyAlignment="1" applyProtection="1">
      <alignment vertical="top" wrapText="1" indent="3"/>
      <protection locked="0"/>
    </xf>
    <xf numFmtId="0" fontId="6" fillId="0" borderId="1" xfId="0" applyFont="1" applyBorder="1" applyAlignment="1" applyProtection="1">
      <alignment vertical="top" wrapText="1" indent="4"/>
      <protection locked="0"/>
    </xf>
    <xf numFmtId="164" fontId="5" fillId="0" borderId="0" xfId="0" applyNumberFormat="1" applyFont="1"/>
  </cellXfs>
  <cellStyles count="1">
    <cellStyle name="Normal" xfId="0" builtinId="0"/>
  </cellStyles>
  <dxfs count="326"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3" width="12" customWidth="1"/>
    <col min="4" max="4" width="8" customWidth="1"/>
    <col min="5" max="5" width="15" customWidth="1"/>
    <col min="6" max="6" width="17" customWidth="1"/>
    <col min="7" max="7" width="14" customWidth="1"/>
    <col min="8" max="8" width="17" customWidth="1"/>
    <col min="9" max="9" width="15" customWidth="1"/>
    <col min="10" max="10" width="26" customWidth="1"/>
    <col min="11" max="11" width="1" hidden="1" customWidth="1"/>
    <col min="12" max="12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4" t="s">
        <v>6</v>
      </c>
    </row>
    <row r="8" ht="30" customHeight="1" spans="1:12" x14ac:dyDescent="0.25">
      <c r="A8" s="5" t="s">
        <v>7</v>
      </c>
      <c r="B8" s="6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7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</row>
    <row r="9" spans="1:12" s="8" customFormat="1" x14ac:dyDescent="0.25">
      <c r="A9" s="9" t="s">
        <v>19</v>
      </c>
      <c r="B9" s="10" t="s">
        <v>20</v>
      </c>
      <c r="C9" s="11"/>
      <c r="D9" s="12"/>
      <c r="E9" s="12"/>
      <c r="F9" s="13">
        <v>460697021</v>
      </c>
      <c r="G9" s="12"/>
      <c r="H9" s="11"/>
      <c r="I9" s="11"/>
      <c r="J9" s="12"/>
      <c r="K9" s="14" t="s">
        <v>19</v>
      </c>
      <c r="L9" s="15"/>
    </row>
    <row r="10" spans="1:12" x14ac:dyDescent="0.25">
      <c r="A10" s="16" t="s">
        <v>21</v>
      </c>
      <c r="B10" s="17" t="s">
        <v>22</v>
      </c>
      <c r="C10" s="18">
        <v>50</v>
      </c>
      <c r="D10" s="19" t="s">
        <v>23</v>
      </c>
      <c r="E10" s="20">
        <v>1260000</v>
      </c>
      <c r="F10" s="21">
        <v>63000000</v>
      </c>
      <c r="G10" s="22">
        <v>50</v>
      </c>
      <c r="H10" s="21">
        <f>ROUND(G10*E10,0)</f>
        <v>63000000</v>
      </c>
      <c r="I10" s="21">
        <f>H10-F10</f>
        <v>0</v>
      </c>
      <c r="J10" s="23"/>
      <c r="K10" s="24" t="s">
        <v>24</v>
      </c>
      <c r="L10" s="25">
        <v>50</v>
      </c>
    </row>
    <row r="11" spans="1:12" x14ac:dyDescent="0.25">
      <c r="A11" s="16" t="s">
        <v>25</v>
      </c>
      <c r="B11" s="17" t="s">
        <v>26</v>
      </c>
      <c r="C11" s="18">
        <v>6</v>
      </c>
      <c r="D11" s="19" t="s">
        <v>27</v>
      </c>
      <c r="E11" s="20">
        <v>2350000</v>
      </c>
      <c r="F11" s="21">
        <v>14100000</v>
      </c>
      <c r="G11" s="22">
        <v>6</v>
      </c>
      <c r="H11" s="21">
        <f>ROUND(G11*E11,0)</f>
        <v>14100000</v>
      </c>
      <c r="I11" s="21">
        <f>H11-F11</f>
        <v>0</v>
      </c>
      <c r="J11" s="23"/>
      <c r="K11" s="24" t="s">
        <v>28</v>
      </c>
      <c r="L11" s="25">
        <v>6</v>
      </c>
    </row>
    <row r="12" spans="1:12" x14ac:dyDescent="0.25">
      <c r="A12" s="16" t="s">
        <v>29</v>
      </c>
      <c r="B12" s="17" t="s">
        <v>30</v>
      </c>
      <c r="C12" s="18">
        <v>1</v>
      </c>
      <c r="D12" s="19" t="s">
        <v>31</v>
      </c>
      <c r="E12" s="20">
        <v>1985634.62</v>
      </c>
      <c r="F12" s="21">
        <v>1985634</v>
      </c>
      <c r="G12" s="22">
        <v>1</v>
      </c>
      <c r="H12" s="21">
        <f>ROUND(G12*E12,0)</f>
        <v>1985634</v>
      </c>
      <c r="I12" s="21">
        <f>H12-F12</f>
        <v>0</v>
      </c>
      <c r="J12" s="23"/>
      <c r="K12" s="24" t="s">
        <v>32</v>
      </c>
      <c r="L12" s="25">
        <v>1</v>
      </c>
    </row>
    <row r="13" spans="1:12" x14ac:dyDescent="0.25">
      <c r="A13" s="16" t="s">
        <v>33</v>
      </c>
      <c r="B13" s="17" t="s">
        <v>34</v>
      </c>
      <c r="C13" s="18">
        <v>6</v>
      </c>
      <c r="D13" s="19" t="s">
        <v>27</v>
      </c>
      <c r="E13" s="20">
        <v>830000</v>
      </c>
      <c r="F13" s="21">
        <v>4980000</v>
      </c>
      <c r="G13" s="22">
        <v>6</v>
      </c>
      <c r="H13" s="21">
        <f>ROUND(G13*E13,0)</f>
        <v>4980000</v>
      </c>
      <c r="I13" s="21">
        <f>H13-F13</f>
        <v>0</v>
      </c>
      <c r="J13" s="23"/>
      <c r="K13" s="24" t="s">
        <v>35</v>
      </c>
      <c r="L13" s="25">
        <v>3</v>
      </c>
    </row>
    <row r="14" spans="1:12" x14ac:dyDescent="0.25">
      <c r="A14" s="16" t="s">
        <v>36</v>
      </c>
      <c r="B14" s="17" t="s">
        <v>37</v>
      </c>
      <c r="C14" s="18">
        <v>150</v>
      </c>
      <c r="D14" s="19" t="s">
        <v>38</v>
      </c>
      <c r="E14" s="20">
        <v>370000</v>
      </c>
      <c r="F14" s="21">
        <v>55500000</v>
      </c>
      <c r="G14" s="22">
        <v>150</v>
      </c>
      <c r="H14" s="21">
        <f>ROUND(G14*E14,0)</f>
        <v>55500000</v>
      </c>
      <c r="I14" s="21">
        <f>H14-F14</f>
        <v>0</v>
      </c>
      <c r="J14" s="23"/>
      <c r="K14" s="24" t="s">
        <v>39</v>
      </c>
      <c r="L14" s="25">
        <v>150</v>
      </c>
    </row>
    <row r="15" spans="1:12" s="26" customFormat="1" x14ac:dyDescent="0.25">
      <c r="A15" s="27" t="s">
        <v>40</v>
      </c>
      <c r="B15" s="28" t="s">
        <v>41</v>
      </c>
      <c r="C15" s="29"/>
      <c r="D15" s="30"/>
      <c r="E15" s="30"/>
      <c r="F15" s="31">
        <v>88974411</v>
      </c>
      <c r="G15" s="30"/>
      <c r="H15" s="29"/>
      <c r="I15" s="29"/>
      <c r="J15" s="30"/>
      <c r="K15" s="32" t="s">
        <v>42</v>
      </c>
      <c r="L15" s="29"/>
    </row>
    <row r="16" spans="1:12" s="26" customFormat="1" x14ac:dyDescent="0.25">
      <c r="A16" s="27" t="s">
        <v>43</v>
      </c>
      <c r="B16" s="33" t="s">
        <v>44</v>
      </c>
      <c r="C16" s="29"/>
      <c r="D16" s="30"/>
      <c r="E16" s="30"/>
      <c r="F16" s="31">
        <v>2471221</v>
      </c>
      <c r="G16" s="30"/>
      <c r="H16" s="29"/>
      <c r="I16" s="29"/>
      <c r="J16" s="30"/>
      <c r="K16" s="32" t="s">
        <v>45</v>
      </c>
      <c r="L16" s="29"/>
    </row>
    <row r="17" spans="1:12" x14ac:dyDescent="0.25">
      <c r="A17" s="16" t="s">
        <v>46</v>
      </c>
      <c r="B17" s="34" t="s">
        <v>47</v>
      </c>
      <c r="C17" s="18">
        <v>2</v>
      </c>
      <c r="D17" s="19" t="s">
        <v>48</v>
      </c>
      <c r="E17" s="20">
        <v>972000</v>
      </c>
      <c r="F17" s="21">
        <v>1944000</v>
      </c>
      <c r="G17" s="22">
        <v>2</v>
      </c>
      <c r="H17" s="21">
        <f>ROUND(G17*E17,0)</f>
        <v>1944000</v>
      </c>
      <c r="I17" s="21">
        <f>H17-F17</f>
        <v>0</v>
      </c>
      <c r="J17" s="23"/>
      <c r="K17" s="24" t="s">
        <v>49</v>
      </c>
      <c r="L17" s="35">
        <v>0</v>
      </c>
    </row>
    <row r="18" spans="1:12" x14ac:dyDescent="0.25">
      <c r="A18" s="16" t="s">
        <v>50</v>
      </c>
      <c r="B18" s="34" t="s">
        <v>51</v>
      </c>
      <c r="C18" s="18">
        <v>80</v>
      </c>
      <c r="D18" s="19" t="s">
        <v>52</v>
      </c>
      <c r="E18" s="20">
        <v>6590.26</v>
      </c>
      <c r="F18" s="21">
        <v>527221</v>
      </c>
      <c r="G18" s="22">
        <v>80</v>
      </c>
      <c r="H18" s="21">
        <f>ROUND(G18*E18,0)</f>
        <v>527221</v>
      </c>
      <c r="I18" s="21">
        <f>H18-F18</f>
        <v>0</v>
      </c>
      <c r="J18" s="23"/>
      <c r="K18" s="24" t="s">
        <v>53</v>
      </c>
      <c r="L18" s="35">
        <v>0</v>
      </c>
    </row>
    <row r="19" spans="1:12" s="26" customFormat="1" x14ac:dyDescent="0.25">
      <c r="A19" s="27" t="s">
        <v>54</v>
      </c>
      <c r="B19" s="33" t="s">
        <v>55</v>
      </c>
      <c r="C19" s="29"/>
      <c r="D19" s="30"/>
      <c r="E19" s="30"/>
      <c r="F19" s="31">
        <v>1251204</v>
      </c>
      <c r="G19" s="30"/>
      <c r="H19" s="29"/>
      <c r="I19" s="29"/>
      <c r="J19" s="30"/>
      <c r="K19" s="32" t="s">
        <v>56</v>
      </c>
      <c r="L19" s="29"/>
    </row>
    <row r="20" spans="1:12" x14ac:dyDescent="0.25">
      <c r="A20" s="16" t="s">
        <v>57</v>
      </c>
      <c r="B20" s="34" t="s">
        <v>58</v>
      </c>
      <c r="C20" s="18">
        <v>80</v>
      </c>
      <c r="D20" s="19" t="s">
        <v>52</v>
      </c>
      <c r="E20" s="20">
        <v>7746.23</v>
      </c>
      <c r="F20" s="21">
        <v>619698</v>
      </c>
      <c r="G20" s="22">
        <v>80</v>
      </c>
      <c r="H20" s="21">
        <f>ROUND(G20*E20,0)</f>
        <v>619698</v>
      </c>
      <c r="I20" s="21">
        <f>H20-F20</f>
        <v>0</v>
      </c>
      <c r="J20" s="23"/>
      <c r="K20" s="24" t="s">
        <v>59</v>
      </c>
      <c r="L20" s="35">
        <v>0</v>
      </c>
    </row>
    <row r="21" spans="1:12" x14ac:dyDescent="0.25">
      <c r="A21" s="16" t="s">
        <v>60</v>
      </c>
      <c r="B21" s="34" t="s">
        <v>61</v>
      </c>
      <c r="C21" s="18">
        <v>80</v>
      </c>
      <c r="D21" s="19" t="s">
        <v>52</v>
      </c>
      <c r="E21" s="20">
        <v>7893.82</v>
      </c>
      <c r="F21" s="21">
        <v>631506</v>
      </c>
      <c r="G21" s="22">
        <v>80</v>
      </c>
      <c r="H21" s="21">
        <f>ROUND(G21*E21,0)</f>
        <v>631506</v>
      </c>
      <c r="I21" s="21">
        <f>H21-F21</f>
        <v>0</v>
      </c>
      <c r="J21" s="23"/>
      <c r="K21" s="24" t="s">
        <v>62</v>
      </c>
      <c r="L21" s="25">
        <v>21</v>
      </c>
    </row>
    <row r="22" spans="1:12" s="26" customFormat="1" x14ac:dyDescent="0.25">
      <c r="A22" s="27" t="s">
        <v>63</v>
      </c>
      <c r="B22" s="33" t="s">
        <v>64</v>
      </c>
      <c r="C22" s="29"/>
      <c r="D22" s="30"/>
      <c r="E22" s="30"/>
      <c r="F22" s="31">
        <v>118231</v>
      </c>
      <c r="G22" s="30"/>
      <c r="H22" s="29"/>
      <c r="I22" s="29"/>
      <c r="J22" s="30"/>
      <c r="K22" s="32" t="s">
        <v>65</v>
      </c>
      <c r="L22" s="29"/>
    </row>
    <row r="23" spans="1:12" x14ac:dyDescent="0.25">
      <c r="A23" s="16" t="s">
        <v>66</v>
      </c>
      <c r="B23" s="34" t="s">
        <v>67</v>
      </c>
      <c r="C23" s="18">
        <v>1</v>
      </c>
      <c r="D23" s="19" t="s">
        <v>68</v>
      </c>
      <c r="E23" s="20">
        <v>118230.96</v>
      </c>
      <c r="F23" s="21">
        <v>118231</v>
      </c>
      <c r="G23" s="22">
        <v>1</v>
      </c>
      <c r="H23" s="21">
        <f>ROUND(G23*E23,0)</f>
        <v>118231</v>
      </c>
      <c r="I23" s="21">
        <f>H23-F23</f>
        <v>0</v>
      </c>
      <c r="J23" s="23"/>
      <c r="K23" s="24" t="s">
        <v>69</v>
      </c>
      <c r="L23" s="35">
        <v>0</v>
      </c>
    </row>
    <row r="24" spans="1:12" s="26" customFormat="1" x14ac:dyDescent="0.25">
      <c r="A24" s="27" t="s">
        <v>70</v>
      </c>
      <c r="B24" s="33" t="s">
        <v>71</v>
      </c>
      <c r="C24" s="29"/>
      <c r="D24" s="30"/>
      <c r="E24" s="30"/>
      <c r="F24" s="31">
        <v>19388303</v>
      </c>
      <c r="G24" s="30"/>
      <c r="H24" s="29"/>
      <c r="I24" s="29"/>
      <c r="J24" s="30"/>
      <c r="K24" s="32" t="s">
        <v>72</v>
      </c>
      <c r="L24" s="29"/>
    </row>
    <row r="25" spans="1:12" x14ac:dyDescent="0.25">
      <c r="A25" s="16" t="s">
        <v>73</v>
      </c>
      <c r="B25" s="34" t="s">
        <v>74</v>
      </c>
      <c r="C25" s="18">
        <v>80</v>
      </c>
      <c r="D25" s="19" t="s">
        <v>31</v>
      </c>
      <c r="E25" s="20">
        <v>75274.15</v>
      </c>
      <c r="F25" s="21">
        <v>6021932</v>
      </c>
      <c r="G25" s="22">
        <v>80</v>
      </c>
      <c r="H25" s="21">
        <f>ROUND(G25*E25,0)</f>
        <v>6021932</v>
      </c>
      <c r="I25" s="21">
        <f>H25-F25</f>
        <v>0</v>
      </c>
      <c r="J25" s="23"/>
      <c r="K25" s="24" t="s">
        <v>75</v>
      </c>
      <c r="L25" s="25">
        <v>30</v>
      </c>
    </row>
    <row r="26" spans="1:12" x14ac:dyDescent="0.25">
      <c r="A26" s="16" t="s">
        <v>76</v>
      </c>
      <c r="B26" s="34" t="s">
        <v>77</v>
      </c>
      <c r="C26" s="18">
        <v>80</v>
      </c>
      <c r="D26" s="19" t="s">
        <v>31</v>
      </c>
      <c r="E26" s="20">
        <v>5268.15</v>
      </c>
      <c r="F26" s="21">
        <v>421452</v>
      </c>
      <c r="G26" s="22">
        <v>80</v>
      </c>
      <c r="H26" s="21">
        <f>ROUND(G26*E26,0)</f>
        <v>421452</v>
      </c>
      <c r="I26" s="21">
        <f>H26-F26</f>
        <v>0</v>
      </c>
      <c r="J26" s="23"/>
      <c r="K26" s="24" t="s">
        <v>78</v>
      </c>
      <c r="L26" s="35">
        <v>0</v>
      </c>
    </row>
    <row r="27" spans="1:12" x14ac:dyDescent="0.25">
      <c r="A27" s="16" t="s">
        <v>79</v>
      </c>
      <c r="B27" s="34" t="s">
        <v>80</v>
      </c>
      <c r="C27" s="18">
        <v>80</v>
      </c>
      <c r="D27" s="19" t="s">
        <v>81</v>
      </c>
      <c r="E27" s="20">
        <v>5138.25</v>
      </c>
      <c r="F27" s="21">
        <v>411060</v>
      </c>
      <c r="G27" s="22">
        <v>80</v>
      </c>
      <c r="H27" s="21">
        <f>ROUND(G27*E27,0)</f>
        <v>411060</v>
      </c>
      <c r="I27" s="21">
        <f>H27-F27</f>
        <v>0</v>
      </c>
      <c r="J27" s="23"/>
      <c r="K27" s="24" t="s">
        <v>82</v>
      </c>
      <c r="L27" s="35">
        <v>0</v>
      </c>
    </row>
    <row r="28" spans="1:12" x14ac:dyDescent="0.25">
      <c r="A28" s="16" t="s">
        <v>83</v>
      </c>
      <c r="B28" s="34" t="s">
        <v>84</v>
      </c>
      <c r="C28" s="18">
        <v>80</v>
      </c>
      <c r="D28" s="19" t="s">
        <v>81</v>
      </c>
      <c r="E28" s="20">
        <v>130000</v>
      </c>
      <c r="F28" s="21">
        <v>10400000</v>
      </c>
      <c r="G28" s="22">
        <v>80</v>
      </c>
      <c r="H28" s="21">
        <f>ROUND(G28*E28,0)</f>
        <v>10400000</v>
      </c>
      <c r="I28" s="21">
        <f>H28-F28</f>
        <v>0</v>
      </c>
      <c r="J28" s="23"/>
      <c r="K28" s="24" t="s">
        <v>85</v>
      </c>
      <c r="L28" s="25">
        <v>10</v>
      </c>
    </row>
    <row r="29" spans="1:12" x14ac:dyDescent="0.25">
      <c r="A29" s="16" t="s">
        <v>86</v>
      </c>
      <c r="B29" s="34" t="s">
        <v>87</v>
      </c>
      <c r="C29" s="18">
        <v>80</v>
      </c>
      <c r="D29" s="19" t="s">
        <v>31</v>
      </c>
      <c r="E29" s="20">
        <v>26673.24</v>
      </c>
      <c r="F29" s="21">
        <v>2133859</v>
      </c>
      <c r="G29" s="22">
        <v>80</v>
      </c>
      <c r="H29" s="21">
        <f>ROUND(G29*E29,0)</f>
        <v>2133859</v>
      </c>
      <c r="I29" s="21">
        <f>H29-F29</f>
        <v>0</v>
      </c>
      <c r="J29" s="23"/>
      <c r="K29" s="24" t="s">
        <v>88</v>
      </c>
      <c r="L29" s="25">
        <v>30</v>
      </c>
    </row>
    <row r="30" spans="1:12" s="26" customFormat="1" x14ac:dyDescent="0.25">
      <c r="A30" s="27" t="s">
        <v>89</v>
      </c>
      <c r="B30" s="33" t="s">
        <v>90</v>
      </c>
      <c r="C30" s="29"/>
      <c r="D30" s="30"/>
      <c r="E30" s="30"/>
      <c r="F30" s="31">
        <v>18000000</v>
      </c>
      <c r="G30" s="30"/>
      <c r="H30" s="29"/>
      <c r="I30" s="29"/>
      <c r="J30" s="30"/>
      <c r="K30" s="32" t="s">
        <v>91</v>
      </c>
      <c r="L30" s="29"/>
    </row>
    <row r="31" spans="1:12" x14ac:dyDescent="0.25">
      <c r="A31" s="16" t="s">
        <v>92</v>
      </c>
      <c r="B31" s="34" t="s">
        <v>93</v>
      </c>
      <c r="C31" s="18">
        <v>1</v>
      </c>
      <c r="D31" s="19" t="s">
        <v>68</v>
      </c>
      <c r="E31" s="20">
        <v>18000000</v>
      </c>
      <c r="F31" s="21">
        <v>18000000</v>
      </c>
      <c r="G31" s="22">
        <v>1</v>
      </c>
      <c r="H31" s="21">
        <f>ROUND(G31*E31,0)</f>
        <v>18000000</v>
      </c>
      <c r="I31" s="21">
        <f>H31-F31</f>
        <v>0</v>
      </c>
      <c r="J31" s="23"/>
      <c r="K31" s="24" t="s">
        <v>94</v>
      </c>
      <c r="L31" s="35">
        <v>0</v>
      </c>
    </row>
    <row r="32" spans="1:12" s="26" customFormat="1" x14ac:dyDescent="0.25">
      <c r="A32" s="27" t="s">
        <v>95</v>
      </c>
      <c r="B32" s="33" t="s">
        <v>96</v>
      </c>
      <c r="C32" s="29"/>
      <c r="D32" s="30"/>
      <c r="E32" s="30"/>
      <c r="F32" s="31">
        <v>36000000</v>
      </c>
      <c r="G32" s="30"/>
      <c r="H32" s="29"/>
      <c r="I32" s="29"/>
      <c r="J32" s="30"/>
      <c r="K32" s="32" t="s">
        <v>97</v>
      </c>
      <c r="L32" s="29"/>
    </row>
    <row r="33" spans="1:12" x14ac:dyDescent="0.25">
      <c r="A33" s="16" t="s">
        <v>98</v>
      </c>
      <c r="B33" s="34" t="s">
        <v>99</v>
      </c>
      <c r="C33" s="18">
        <v>6</v>
      </c>
      <c r="D33" s="19" t="s">
        <v>27</v>
      </c>
      <c r="E33" s="20">
        <v>6000000</v>
      </c>
      <c r="F33" s="21">
        <v>36000000</v>
      </c>
      <c r="G33" s="22">
        <v>6</v>
      </c>
      <c r="H33" s="21">
        <f>ROUND(G33*E33,0)</f>
        <v>36000000</v>
      </c>
      <c r="I33" s="21">
        <f>H33-F33</f>
        <v>0</v>
      </c>
      <c r="J33" s="23"/>
      <c r="K33" s="24" t="s">
        <v>100</v>
      </c>
      <c r="L33" s="25">
        <v>3</v>
      </c>
    </row>
    <row r="34" spans="1:12" s="26" customFormat="1" x14ac:dyDescent="0.25">
      <c r="A34" s="27" t="s">
        <v>101</v>
      </c>
      <c r="B34" s="33" t="s">
        <v>102</v>
      </c>
      <c r="C34" s="29"/>
      <c r="D34" s="30"/>
      <c r="E34" s="30"/>
      <c r="F34" s="31">
        <v>5000000</v>
      </c>
      <c r="G34" s="30"/>
      <c r="H34" s="29"/>
      <c r="I34" s="29"/>
      <c r="J34" s="30"/>
      <c r="K34" s="32" t="s">
        <v>103</v>
      </c>
      <c r="L34" s="29"/>
    </row>
    <row r="35" spans="1:12" x14ac:dyDescent="0.25">
      <c r="A35" s="16" t="s">
        <v>104</v>
      </c>
      <c r="B35" s="34" t="s">
        <v>105</v>
      </c>
      <c r="C35" s="18">
        <v>1</v>
      </c>
      <c r="D35" s="19" t="s">
        <v>68</v>
      </c>
      <c r="E35" s="20">
        <v>5000000</v>
      </c>
      <c r="F35" s="21">
        <v>5000000</v>
      </c>
      <c r="G35" s="22">
        <v>1</v>
      </c>
      <c r="H35" s="21">
        <f>ROUND(G35*E35,0)</f>
        <v>5000000</v>
      </c>
      <c r="I35" s="21">
        <f>H35-F35</f>
        <v>0</v>
      </c>
      <c r="J35" s="23"/>
      <c r="K35" s="24" t="s">
        <v>106</v>
      </c>
      <c r="L35" s="35">
        <v>0</v>
      </c>
    </row>
    <row r="36" spans="1:12" s="26" customFormat="1" x14ac:dyDescent="0.25">
      <c r="A36" s="27" t="s">
        <v>107</v>
      </c>
      <c r="B36" s="33" t="s">
        <v>108</v>
      </c>
      <c r="C36" s="29"/>
      <c r="D36" s="30"/>
      <c r="E36" s="30"/>
      <c r="F36" s="31">
        <v>1242563</v>
      </c>
      <c r="G36" s="30"/>
      <c r="H36" s="29"/>
      <c r="I36" s="29"/>
      <c r="J36" s="30"/>
      <c r="K36" s="32" t="s">
        <v>109</v>
      </c>
      <c r="L36" s="29"/>
    </row>
    <row r="37" spans="1:12" x14ac:dyDescent="0.25">
      <c r="A37" s="16" t="s">
        <v>110</v>
      </c>
      <c r="B37" s="34" t="s">
        <v>111</v>
      </c>
      <c r="C37" s="18">
        <v>5</v>
      </c>
      <c r="D37" s="19" t="s">
        <v>31</v>
      </c>
      <c r="E37" s="20">
        <v>70798.25</v>
      </c>
      <c r="F37" s="21">
        <v>353991</v>
      </c>
      <c r="G37" s="22">
        <v>5</v>
      </c>
      <c r="H37" s="21">
        <f>ROUND(G37*E37,0)</f>
        <v>353991</v>
      </c>
      <c r="I37" s="21">
        <f>H37-F37</f>
        <v>0</v>
      </c>
      <c r="J37" s="23"/>
      <c r="K37" s="24" t="s">
        <v>112</v>
      </c>
      <c r="L37" s="25">
        <v>5</v>
      </c>
    </row>
    <row r="38" spans="1:12" x14ac:dyDescent="0.25">
      <c r="A38" s="16" t="s">
        <v>113</v>
      </c>
      <c r="B38" s="34" t="s">
        <v>114</v>
      </c>
      <c r="C38" s="18">
        <v>2</v>
      </c>
      <c r="D38" s="19" t="s">
        <v>31</v>
      </c>
      <c r="E38" s="20">
        <v>74587.22</v>
      </c>
      <c r="F38" s="21">
        <v>149174</v>
      </c>
      <c r="G38" s="22">
        <v>2</v>
      </c>
      <c r="H38" s="21">
        <f>ROUND(G38*E38,0)</f>
        <v>149174</v>
      </c>
      <c r="I38" s="21">
        <f>H38-F38</f>
        <v>0</v>
      </c>
      <c r="J38" s="23"/>
      <c r="K38" s="24" t="s">
        <v>115</v>
      </c>
      <c r="L38" s="25">
        <v>2</v>
      </c>
    </row>
    <row r="39" spans="1:12" x14ac:dyDescent="0.25">
      <c r="A39" s="16" t="s">
        <v>116</v>
      </c>
      <c r="B39" s="34" t="s">
        <v>117</v>
      </c>
      <c r="C39" s="18">
        <v>5</v>
      </c>
      <c r="D39" s="19" t="s">
        <v>31</v>
      </c>
      <c r="E39" s="20">
        <v>74901.01</v>
      </c>
      <c r="F39" s="21">
        <v>374505</v>
      </c>
      <c r="G39" s="22">
        <v>5</v>
      </c>
      <c r="H39" s="21">
        <f>ROUND(G39*E39,0)</f>
        <v>374505</v>
      </c>
      <c r="I39" s="21">
        <f>H39-F39</f>
        <v>0</v>
      </c>
      <c r="J39" s="23"/>
      <c r="K39" s="24" t="s">
        <v>118</v>
      </c>
      <c r="L39" s="35">
        <v>0</v>
      </c>
    </row>
    <row r="40" spans="1:12" x14ac:dyDescent="0.25">
      <c r="A40" s="16" t="s">
        <v>119</v>
      </c>
      <c r="B40" s="34" t="s">
        <v>120</v>
      </c>
      <c r="C40" s="18">
        <v>5</v>
      </c>
      <c r="D40" s="19" t="s">
        <v>31</v>
      </c>
      <c r="E40" s="20">
        <v>72978.5</v>
      </c>
      <c r="F40" s="21">
        <v>364893</v>
      </c>
      <c r="G40" s="22">
        <v>5</v>
      </c>
      <c r="H40" s="21">
        <f>ROUND(G40*E40,0)</f>
        <v>364893</v>
      </c>
      <c r="I40" s="21">
        <f>H40-F40</f>
        <v>0</v>
      </c>
      <c r="J40" s="23"/>
      <c r="K40" s="24" t="s">
        <v>121</v>
      </c>
      <c r="L40" s="25">
        <v>5</v>
      </c>
    </row>
    <row r="41" spans="1:12" s="26" customFormat="1" x14ac:dyDescent="0.25">
      <c r="A41" s="27" t="s">
        <v>122</v>
      </c>
      <c r="B41" s="33" t="s">
        <v>123</v>
      </c>
      <c r="C41" s="29"/>
      <c r="D41" s="30"/>
      <c r="E41" s="30"/>
      <c r="F41" s="31">
        <v>5502889</v>
      </c>
      <c r="G41" s="30"/>
      <c r="H41" s="29"/>
      <c r="I41" s="29"/>
      <c r="J41" s="30"/>
      <c r="K41" s="32" t="s">
        <v>124</v>
      </c>
      <c r="L41" s="29"/>
    </row>
    <row r="42" spans="1:12" x14ac:dyDescent="0.25">
      <c r="A42" s="16" t="s">
        <v>125</v>
      </c>
      <c r="B42" s="34" t="s">
        <v>126</v>
      </c>
      <c r="C42" s="18">
        <v>2</v>
      </c>
      <c r="D42" s="19" t="s">
        <v>31</v>
      </c>
      <c r="E42" s="20">
        <v>681797.36</v>
      </c>
      <c r="F42" s="21">
        <v>1363595</v>
      </c>
      <c r="G42" s="22">
        <v>2</v>
      </c>
      <c r="H42" s="21">
        <f>ROUND(G42*E42,0)</f>
        <v>1363595</v>
      </c>
      <c r="I42" s="21">
        <f>H42-F42</f>
        <v>0</v>
      </c>
      <c r="J42" s="23"/>
      <c r="K42" s="24" t="s">
        <v>127</v>
      </c>
      <c r="L42" s="35">
        <v>0</v>
      </c>
    </row>
    <row r="43" spans="1:12" x14ac:dyDescent="0.25">
      <c r="A43" s="16" t="s">
        <v>128</v>
      </c>
      <c r="B43" s="34" t="s">
        <v>129</v>
      </c>
      <c r="C43" s="18">
        <v>2</v>
      </c>
      <c r="D43" s="19" t="s">
        <v>31</v>
      </c>
      <c r="E43" s="20">
        <v>41466.95</v>
      </c>
      <c r="F43" s="21">
        <v>82934</v>
      </c>
      <c r="G43" s="22">
        <v>2</v>
      </c>
      <c r="H43" s="21">
        <f>ROUND(G43*E43,0)</f>
        <v>82934</v>
      </c>
      <c r="I43" s="21">
        <f>H43-F43</f>
        <v>0</v>
      </c>
      <c r="J43" s="23"/>
      <c r="K43" s="24" t="s">
        <v>130</v>
      </c>
      <c r="L43" s="35">
        <v>0</v>
      </c>
    </row>
    <row r="44" spans="1:12" x14ac:dyDescent="0.25">
      <c r="A44" s="16" t="s">
        <v>131</v>
      </c>
      <c r="B44" s="34" t="s">
        <v>132</v>
      </c>
      <c r="C44" s="18">
        <v>3</v>
      </c>
      <c r="D44" s="19" t="s">
        <v>68</v>
      </c>
      <c r="E44" s="20">
        <v>511960.33</v>
      </c>
      <c r="F44" s="21">
        <v>1535881</v>
      </c>
      <c r="G44" s="22">
        <v>3</v>
      </c>
      <c r="H44" s="21">
        <f>ROUND(G44*E44,0)</f>
        <v>1535881</v>
      </c>
      <c r="I44" s="21">
        <f>H44-F44</f>
        <v>0</v>
      </c>
      <c r="J44" s="23"/>
      <c r="K44" s="24" t="s">
        <v>133</v>
      </c>
      <c r="L44" s="35">
        <v>0</v>
      </c>
    </row>
    <row r="45" spans="1:12" x14ac:dyDescent="0.25">
      <c r="A45" s="16" t="s">
        <v>134</v>
      </c>
      <c r="B45" s="34" t="s">
        <v>135</v>
      </c>
      <c r="C45" s="18">
        <v>2</v>
      </c>
      <c r="D45" s="19" t="s">
        <v>31</v>
      </c>
      <c r="E45" s="20">
        <v>74638.88</v>
      </c>
      <c r="F45" s="21">
        <v>149278</v>
      </c>
      <c r="G45" s="22">
        <v>2</v>
      </c>
      <c r="H45" s="21">
        <f>ROUND(G45*E45,0)</f>
        <v>149278</v>
      </c>
      <c r="I45" s="21">
        <f>H45-F45</f>
        <v>0</v>
      </c>
      <c r="J45" s="23"/>
      <c r="K45" s="24" t="s">
        <v>136</v>
      </c>
      <c r="L45" s="35">
        <v>0</v>
      </c>
    </row>
    <row r="46" spans="1:12" x14ac:dyDescent="0.25">
      <c r="A46" s="16" t="s">
        <v>137</v>
      </c>
      <c r="B46" s="34" t="s">
        <v>138</v>
      </c>
      <c r="C46" s="18">
        <v>1</v>
      </c>
      <c r="D46" s="19" t="s">
        <v>68</v>
      </c>
      <c r="E46" s="20">
        <v>2371201.06</v>
      </c>
      <c r="F46" s="21">
        <v>2371201</v>
      </c>
      <c r="G46" s="22">
        <v>1</v>
      </c>
      <c r="H46" s="21">
        <f>ROUND(G46*E46,0)</f>
        <v>2371201</v>
      </c>
      <c r="I46" s="21">
        <f>H46-F46</f>
        <v>0</v>
      </c>
      <c r="J46" s="23"/>
      <c r="K46" s="24" t="s">
        <v>139</v>
      </c>
      <c r="L46" s="35">
        <v>0</v>
      </c>
    </row>
    <row r="47" spans="1:12" x14ac:dyDescent="0.25">
      <c r="A47" s="16" t="s">
        <v>140</v>
      </c>
      <c r="B47" s="17" t="s">
        <v>141</v>
      </c>
      <c r="C47" s="18">
        <v>1678</v>
      </c>
      <c r="D47" s="19" t="s">
        <v>23</v>
      </c>
      <c r="E47" s="20">
        <v>5900</v>
      </c>
      <c r="F47" s="21">
        <v>9900200</v>
      </c>
      <c r="G47" s="22">
        <v>1678</v>
      </c>
      <c r="H47" s="21">
        <f>ROUND(G47*E47,0)</f>
        <v>9900200</v>
      </c>
      <c r="I47" s="21">
        <f>H47-F47</f>
        <v>0</v>
      </c>
      <c r="J47" s="23"/>
      <c r="K47" s="24" t="s">
        <v>142</v>
      </c>
      <c r="L47" s="25">
        <v>1678</v>
      </c>
    </row>
    <row r="48" spans="1:12" x14ac:dyDescent="0.25">
      <c r="A48" s="16" t="s">
        <v>143</v>
      </c>
      <c r="B48" s="17" t="s">
        <v>144</v>
      </c>
      <c r="C48" s="18">
        <v>1678</v>
      </c>
      <c r="D48" s="19" t="s">
        <v>23</v>
      </c>
      <c r="E48" s="20">
        <v>3000</v>
      </c>
      <c r="F48" s="21">
        <v>5034000</v>
      </c>
      <c r="G48" s="22">
        <v>1678</v>
      </c>
      <c r="H48" s="21">
        <f>ROUND(G48*E48,0)</f>
        <v>5034000</v>
      </c>
      <c r="I48" s="21">
        <f>H48-F48</f>
        <v>0</v>
      </c>
      <c r="J48" s="23"/>
      <c r="K48" s="24" t="s">
        <v>145</v>
      </c>
      <c r="L48" s="35">
        <v>0</v>
      </c>
    </row>
    <row r="49" spans="1:12" x14ac:dyDescent="0.25">
      <c r="A49" s="16" t="s">
        <v>146</v>
      </c>
      <c r="B49" s="17" t="s">
        <v>147</v>
      </c>
      <c r="C49" s="18">
        <v>3</v>
      </c>
      <c r="D49" s="19" t="s">
        <v>148</v>
      </c>
      <c r="E49" s="20">
        <v>11100000</v>
      </c>
      <c r="F49" s="21">
        <v>33300000</v>
      </c>
      <c r="G49" s="22">
        <v>3</v>
      </c>
      <c r="H49" s="21">
        <f>ROUND(G49*E49,0)</f>
        <v>33300000</v>
      </c>
      <c r="I49" s="21">
        <f>H49-F49</f>
        <v>0</v>
      </c>
      <c r="J49" s="23"/>
      <c r="K49" s="24" t="s">
        <v>149</v>
      </c>
      <c r="L49" s="35">
        <v>0</v>
      </c>
    </row>
    <row r="50" spans="1:12" s="26" customFormat="1" x14ac:dyDescent="0.25">
      <c r="A50" s="27" t="s">
        <v>150</v>
      </c>
      <c r="B50" s="28" t="s">
        <v>151</v>
      </c>
      <c r="C50" s="29"/>
      <c r="D50" s="30"/>
      <c r="E50" s="30"/>
      <c r="F50" s="31">
        <v>55378468</v>
      </c>
      <c r="G50" s="30"/>
      <c r="H50" s="29"/>
      <c r="I50" s="29"/>
      <c r="J50" s="30"/>
      <c r="K50" s="32" t="s">
        <v>152</v>
      </c>
      <c r="L50" s="29"/>
    </row>
    <row r="51" spans="1:12" x14ac:dyDescent="0.25">
      <c r="A51" s="16" t="s">
        <v>153</v>
      </c>
      <c r="B51" s="36" t="s">
        <v>154</v>
      </c>
      <c r="C51" s="18">
        <v>2</v>
      </c>
      <c r="D51" s="19" t="s">
        <v>155</v>
      </c>
      <c r="E51" s="20">
        <v>7158195.51</v>
      </c>
      <c r="F51" s="21">
        <v>14316391</v>
      </c>
      <c r="G51" s="22">
        <v>2</v>
      </c>
      <c r="H51" s="21">
        <f>ROUND(G51*E51,0)</f>
        <v>14316391</v>
      </c>
      <c r="I51" s="21">
        <f>H51-F51</f>
        <v>0</v>
      </c>
      <c r="J51" s="23"/>
      <c r="K51" s="24" t="s">
        <v>156</v>
      </c>
      <c r="L51" s="35">
        <v>0</v>
      </c>
    </row>
    <row r="52" spans="1:12" x14ac:dyDescent="0.25">
      <c r="A52" s="16" t="s">
        <v>157</v>
      </c>
      <c r="B52" s="36" t="s">
        <v>158</v>
      </c>
      <c r="C52" s="18">
        <v>1</v>
      </c>
      <c r="D52" s="19" t="s">
        <v>155</v>
      </c>
      <c r="E52" s="20">
        <v>7165941.34</v>
      </c>
      <c r="F52" s="21">
        <v>7165941</v>
      </c>
      <c r="G52" s="22">
        <v>1</v>
      </c>
      <c r="H52" s="21">
        <f>ROUND(G52*E52,0)</f>
        <v>7165941</v>
      </c>
      <c r="I52" s="21">
        <f>H52-F52</f>
        <v>0</v>
      </c>
      <c r="J52" s="23"/>
      <c r="K52" s="24" t="s">
        <v>159</v>
      </c>
      <c r="L52" s="35">
        <v>0</v>
      </c>
    </row>
    <row r="53" spans="1:12" x14ac:dyDescent="0.25">
      <c r="A53" s="16" t="s">
        <v>160</v>
      </c>
      <c r="B53" s="36" t="s">
        <v>161</v>
      </c>
      <c r="C53" s="18">
        <v>1</v>
      </c>
      <c r="D53" s="19" t="s">
        <v>155</v>
      </c>
      <c r="E53" s="20">
        <v>6982055.14</v>
      </c>
      <c r="F53" s="21">
        <v>6982055</v>
      </c>
      <c r="G53" s="22">
        <v>1</v>
      </c>
      <c r="H53" s="21">
        <f>ROUND(G53*E53,0)</f>
        <v>6982055</v>
      </c>
      <c r="I53" s="21">
        <f>H53-F53</f>
        <v>0</v>
      </c>
      <c r="J53" s="23"/>
      <c r="K53" s="24" t="s">
        <v>162</v>
      </c>
      <c r="L53" s="25">
        <v>1</v>
      </c>
    </row>
    <row r="54" spans="1:12" x14ac:dyDescent="0.25">
      <c r="A54" s="16" t="s">
        <v>163</v>
      </c>
      <c r="B54" s="36" t="s">
        <v>164</v>
      </c>
      <c r="C54" s="18">
        <v>10</v>
      </c>
      <c r="D54" s="19" t="s">
        <v>31</v>
      </c>
      <c r="E54" s="20">
        <v>1060184.54</v>
      </c>
      <c r="F54" s="21">
        <v>10601845</v>
      </c>
      <c r="G54" s="22">
        <v>10</v>
      </c>
      <c r="H54" s="21">
        <f>ROUND(G54*E54,0)</f>
        <v>10601845</v>
      </c>
      <c r="I54" s="21">
        <f>H54-F54</f>
        <v>0</v>
      </c>
      <c r="J54" s="23"/>
      <c r="K54" s="24" t="s">
        <v>165</v>
      </c>
      <c r="L54" s="25">
        <v>3</v>
      </c>
    </row>
    <row r="55" spans="1:12" x14ac:dyDescent="0.25">
      <c r="A55" s="16" t="s">
        <v>166</v>
      </c>
      <c r="B55" s="36" t="s">
        <v>167</v>
      </c>
      <c r="C55" s="18">
        <v>1</v>
      </c>
      <c r="D55" s="19" t="s">
        <v>155</v>
      </c>
      <c r="E55" s="20">
        <v>10361560.79</v>
      </c>
      <c r="F55" s="21">
        <v>10361561</v>
      </c>
      <c r="G55" s="22">
        <v>1</v>
      </c>
      <c r="H55" s="21">
        <f>ROUND(G55*E55,0)</f>
        <v>10361561</v>
      </c>
      <c r="I55" s="21">
        <f>H55-F55</f>
        <v>0</v>
      </c>
      <c r="J55" s="23"/>
      <c r="K55" s="24" t="s">
        <v>168</v>
      </c>
      <c r="L55" s="35">
        <v>0</v>
      </c>
    </row>
    <row r="56" spans="1:12" x14ac:dyDescent="0.25">
      <c r="A56" s="16" t="s">
        <v>169</v>
      </c>
      <c r="B56" s="36" t="s">
        <v>170</v>
      </c>
      <c r="C56" s="18">
        <v>5</v>
      </c>
      <c r="D56" s="19" t="s">
        <v>31</v>
      </c>
      <c r="E56" s="20">
        <v>475894.17</v>
      </c>
      <c r="F56" s="21">
        <v>2379471</v>
      </c>
      <c r="G56" s="22">
        <v>5</v>
      </c>
      <c r="H56" s="21">
        <f>ROUND(G56*E56,0)</f>
        <v>2379471</v>
      </c>
      <c r="I56" s="21">
        <f>H56-F56</f>
        <v>0</v>
      </c>
      <c r="J56" s="23"/>
      <c r="K56" s="24" t="s">
        <v>171</v>
      </c>
      <c r="L56" s="35">
        <v>0</v>
      </c>
    </row>
    <row r="57" spans="1:12" x14ac:dyDescent="0.25">
      <c r="A57" s="16" t="s">
        <v>172</v>
      </c>
      <c r="B57" s="36" t="s">
        <v>173</v>
      </c>
      <c r="C57" s="18">
        <v>5</v>
      </c>
      <c r="D57" s="19" t="s">
        <v>31</v>
      </c>
      <c r="E57" s="20">
        <v>714240.71</v>
      </c>
      <c r="F57" s="21">
        <v>3571204</v>
      </c>
      <c r="G57" s="22">
        <v>5</v>
      </c>
      <c r="H57" s="21">
        <f>ROUND(G57*E57,0)</f>
        <v>3571204</v>
      </c>
      <c r="I57" s="21">
        <f>H57-F57</f>
        <v>0</v>
      </c>
      <c r="J57" s="23"/>
      <c r="K57" s="24" t="s">
        <v>174</v>
      </c>
      <c r="L57" s="35">
        <v>0</v>
      </c>
    </row>
    <row r="58" spans="1:12" s="26" customFormat="1" x14ac:dyDescent="0.25">
      <c r="A58" s="27" t="s">
        <v>175</v>
      </c>
      <c r="B58" s="28" t="s">
        <v>176</v>
      </c>
      <c r="C58" s="29"/>
      <c r="D58" s="30"/>
      <c r="E58" s="30"/>
      <c r="F58" s="31">
        <v>48144573</v>
      </c>
      <c r="G58" s="30"/>
      <c r="H58" s="29"/>
      <c r="I58" s="29"/>
      <c r="J58" s="30"/>
      <c r="K58" s="32" t="s">
        <v>177</v>
      </c>
      <c r="L58" s="29"/>
    </row>
    <row r="59" spans="1:12" x14ac:dyDescent="0.25">
      <c r="A59" s="16" t="s">
        <v>178</v>
      </c>
      <c r="B59" s="36" t="s">
        <v>179</v>
      </c>
      <c r="C59" s="18">
        <v>1</v>
      </c>
      <c r="D59" s="19" t="s">
        <v>68</v>
      </c>
      <c r="E59" s="20">
        <v>4742985.56</v>
      </c>
      <c r="F59" s="21">
        <v>4742986</v>
      </c>
      <c r="G59" s="22">
        <v>1</v>
      </c>
      <c r="H59" s="21">
        <f>ROUND(G59*E59,0)</f>
        <v>4742986</v>
      </c>
      <c r="I59" s="21">
        <f>H59-F59</f>
        <v>0</v>
      </c>
      <c r="J59" s="23"/>
      <c r="K59" s="24" t="s">
        <v>180</v>
      </c>
      <c r="L59" s="35">
        <v>0</v>
      </c>
    </row>
    <row r="60" spans="1:12" x14ac:dyDescent="0.25">
      <c r="A60" s="16" t="s">
        <v>181</v>
      </c>
      <c r="B60" s="36" t="s">
        <v>182</v>
      </c>
      <c r="C60" s="18">
        <v>1</v>
      </c>
      <c r="D60" s="19" t="s">
        <v>68</v>
      </c>
      <c r="E60" s="20">
        <v>43401587.31</v>
      </c>
      <c r="F60" s="21">
        <v>43401587</v>
      </c>
      <c r="G60" s="22">
        <v>1</v>
      </c>
      <c r="H60" s="21">
        <f>ROUND(G60*E60,0)</f>
        <v>43401587</v>
      </c>
      <c r="I60" s="21">
        <f>H60-F60</f>
        <v>0</v>
      </c>
      <c r="J60" s="23"/>
      <c r="K60" s="24" t="s">
        <v>183</v>
      </c>
      <c r="L60" s="35">
        <v>0</v>
      </c>
    </row>
    <row r="61" spans="1:12" s="26" customFormat="1" x14ac:dyDescent="0.25">
      <c r="A61" s="27" t="s">
        <v>184</v>
      </c>
      <c r="B61" s="28" t="s">
        <v>185</v>
      </c>
      <c r="C61" s="29"/>
      <c r="D61" s="30"/>
      <c r="E61" s="30"/>
      <c r="F61" s="31">
        <v>25060267</v>
      </c>
      <c r="G61" s="30"/>
      <c r="H61" s="29"/>
      <c r="I61" s="29"/>
      <c r="J61" s="30"/>
      <c r="K61" s="32" t="s">
        <v>186</v>
      </c>
      <c r="L61" s="29"/>
    </row>
    <row r="62" spans="1:12" x14ac:dyDescent="0.25">
      <c r="A62" s="16" t="s">
        <v>187</v>
      </c>
      <c r="B62" s="36" t="s">
        <v>188</v>
      </c>
      <c r="C62" s="18">
        <v>1</v>
      </c>
      <c r="D62" s="19" t="s">
        <v>68</v>
      </c>
      <c r="E62" s="20">
        <v>2560267.18</v>
      </c>
      <c r="F62" s="21">
        <v>2560267</v>
      </c>
      <c r="G62" s="22">
        <v>1</v>
      </c>
      <c r="H62" s="21">
        <f>ROUND(G62*E62,0)</f>
        <v>2560267</v>
      </c>
      <c r="I62" s="21">
        <f>H62-F62</f>
        <v>0</v>
      </c>
      <c r="J62" s="23"/>
      <c r="K62" s="24" t="s">
        <v>189</v>
      </c>
      <c r="L62" s="35">
        <v>0</v>
      </c>
    </row>
    <row r="63" spans="1:12" x14ac:dyDescent="0.25">
      <c r="A63" s="16" t="s">
        <v>190</v>
      </c>
      <c r="B63" s="36" t="s">
        <v>191</v>
      </c>
      <c r="C63" s="18">
        <v>1</v>
      </c>
      <c r="D63" s="19" t="s">
        <v>68</v>
      </c>
      <c r="E63" s="20">
        <v>22500000</v>
      </c>
      <c r="F63" s="21">
        <v>22500000</v>
      </c>
      <c r="G63" s="22">
        <v>1</v>
      </c>
      <c r="H63" s="21">
        <f>ROUND(G63*E63,0)</f>
        <v>22500000</v>
      </c>
      <c r="I63" s="21">
        <f>H63-F63</f>
        <v>0</v>
      </c>
      <c r="J63" s="23"/>
      <c r="K63" s="24" t="s">
        <v>192</v>
      </c>
      <c r="L63" s="35">
        <v>0</v>
      </c>
    </row>
    <row r="64" spans="1:12" s="26" customFormat="1" x14ac:dyDescent="0.25">
      <c r="A64" s="27" t="s">
        <v>193</v>
      </c>
      <c r="B64" s="28" t="s">
        <v>194</v>
      </c>
      <c r="C64" s="29"/>
      <c r="D64" s="30"/>
      <c r="E64" s="30"/>
      <c r="F64" s="31">
        <v>16449468</v>
      </c>
      <c r="G64" s="30"/>
      <c r="H64" s="29"/>
      <c r="I64" s="29"/>
      <c r="J64" s="30"/>
      <c r="K64" s="32" t="s">
        <v>195</v>
      </c>
      <c r="L64" s="29"/>
    </row>
    <row r="65" spans="1:12" x14ac:dyDescent="0.25">
      <c r="A65" s="16" t="s">
        <v>196</v>
      </c>
      <c r="B65" s="36" t="s">
        <v>197</v>
      </c>
      <c r="C65" s="18">
        <v>1</v>
      </c>
      <c r="D65" s="19" t="s">
        <v>68</v>
      </c>
      <c r="E65" s="20">
        <v>1549467.72</v>
      </c>
      <c r="F65" s="21">
        <v>1549468</v>
      </c>
      <c r="G65" s="22">
        <v>1</v>
      </c>
      <c r="H65" s="21">
        <f>ROUND(G65*E65,0)</f>
        <v>1549468</v>
      </c>
      <c r="I65" s="21">
        <f>H65-F65</f>
        <v>0</v>
      </c>
      <c r="J65" s="23"/>
      <c r="K65" s="24" t="s">
        <v>198</v>
      </c>
      <c r="L65" s="35">
        <v>0</v>
      </c>
    </row>
    <row r="66" spans="1:12" x14ac:dyDescent="0.25">
      <c r="A66" s="16" t="s">
        <v>199</v>
      </c>
      <c r="B66" s="36" t="s">
        <v>200</v>
      </c>
      <c r="C66" s="18">
        <v>1</v>
      </c>
      <c r="D66" s="19" t="s">
        <v>68</v>
      </c>
      <c r="E66" s="20">
        <v>14900000</v>
      </c>
      <c r="F66" s="21">
        <v>14900000</v>
      </c>
      <c r="G66" s="22">
        <v>1</v>
      </c>
      <c r="H66" s="21">
        <f>ROUND(G66*E66,0)</f>
        <v>14900000</v>
      </c>
      <c r="I66" s="21">
        <f>H66-F66</f>
        <v>0</v>
      </c>
      <c r="J66" s="23"/>
      <c r="K66" s="24" t="s">
        <v>201</v>
      </c>
      <c r="L66" s="35">
        <v>0</v>
      </c>
    </row>
    <row r="67" spans="1:12" x14ac:dyDescent="0.25">
      <c r="A67" s="16" t="s">
        <v>202</v>
      </c>
      <c r="B67" s="17" t="s">
        <v>203</v>
      </c>
      <c r="C67" s="18">
        <v>1</v>
      </c>
      <c r="D67" s="19" t="s">
        <v>155</v>
      </c>
      <c r="E67" s="20">
        <v>17890000</v>
      </c>
      <c r="F67" s="21">
        <v>17890000</v>
      </c>
      <c r="G67" s="22">
        <v>1</v>
      </c>
      <c r="H67" s="21">
        <f>ROUND(G67*E67,0)</f>
        <v>17890000</v>
      </c>
      <c r="I67" s="21">
        <f>H67-F67</f>
        <v>0</v>
      </c>
      <c r="J67" s="23"/>
      <c r="K67" s="24" t="s">
        <v>204</v>
      </c>
      <c r="L67" s="35">
        <v>0</v>
      </c>
    </row>
    <row r="68" spans="1:12" x14ac:dyDescent="0.25">
      <c r="A68" s="16" t="s">
        <v>205</v>
      </c>
      <c r="B68" s="17" t="s">
        <v>206</v>
      </c>
      <c r="C68" s="18">
        <v>3</v>
      </c>
      <c r="D68" s="19" t="s">
        <v>155</v>
      </c>
      <c r="E68" s="20">
        <v>7000000</v>
      </c>
      <c r="F68" s="21">
        <v>21000000</v>
      </c>
      <c r="G68" s="22">
        <v>3</v>
      </c>
      <c r="H68" s="21">
        <f>ROUND(G68*E68,0)</f>
        <v>21000000</v>
      </c>
      <c r="I68" s="21">
        <f>H68-F68</f>
        <v>0</v>
      </c>
      <c r="J68" s="23"/>
      <c r="K68" s="24" t="s">
        <v>207</v>
      </c>
      <c r="L68" s="35">
        <v>0</v>
      </c>
    </row>
    <row r="69" spans="1:12" s="8" customFormat="1" x14ac:dyDescent="0.25">
      <c r="A69" s="9" t="s">
        <v>208</v>
      </c>
      <c r="B69" s="10" t="s">
        <v>209</v>
      </c>
      <c r="C69" s="11"/>
      <c r="D69" s="12"/>
      <c r="E69" s="12"/>
      <c r="F69" s="13">
        <v>307935896</v>
      </c>
      <c r="G69" s="12"/>
      <c r="H69" s="11"/>
      <c r="I69" s="11"/>
      <c r="J69" s="12"/>
      <c r="K69" s="14" t="s">
        <v>208</v>
      </c>
      <c r="L69" s="15"/>
    </row>
    <row r="70" spans="1:12" s="26" customFormat="1" x14ac:dyDescent="0.25">
      <c r="A70" s="27" t="s">
        <v>21</v>
      </c>
      <c r="B70" s="28" t="s">
        <v>210</v>
      </c>
      <c r="C70" s="29"/>
      <c r="D70" s="30"/>
      <c r="E70" s="30"/>
      <c r="F70" s="31">
        <v>114379316</v>
      </c>
      <c r="G70" s="30"/>
      <c r="H70" s="29"/>
      <c r="I70" s="29"/>
      <c r="J70" s="30"/>
      <c r="K70" s="32" t="s">
        <v>211</v>
      </c>
      <c r="L70" s="29"/>
    </row>
    <row r="71" spans="1:12" x14ac:dyDescent="0.25">
      <c r="A71" s="16" t="s">
        <v>212</v>
      </c>
      <c r="B71" s="36" t="s">
        <v>213</v>
      </c>
      <c r="C71" s="18">
        <v>45</v>
      </c>
      <c r="D71" s="19" t="s">
        <v>214</v>
      </c>
      <c r="E71" s="20">
        <v>56660.36</v>
      </c>
      <c r="F71" s="21">
        <v>2549716</v>
      </c>
      <c r="G71" s="22">
        <v>45</v>
      </c>
      <c r="H71" s="21">
        <f>ROUND(G71*E71,0)</f>
        <v>2549716</v>
      </c>
      <c r="I71" s="21">
        <f>H71-F71</f>
        <v>0</v>
      </c>
      <c r="J71" s="23"/>
      <c r="K71" s="24" t="s">
        <v>215</v>
      </c>
      <c r="L71" s="25">
        <v>45</v>
      </c>
    </row>
    <row r="72" spans="1:12" x14ac:dyDescent="0.25">
      <c r="A72" s="16" t="s">
        <v>216</v>
      </c>
      <c r="B72" s="36" t="s">
        <v>217</v>
      </c>
      <c r="C72" s="18">
        <v>45</v>
      </c>
      <c r="D72" s="19" t="s">
        <v>214</v>
      </c>
      <c r="E72" s="20">
        <v>500000</v>
      </c>
      <c r="F72" s="21">
        <v>22500000</v>
      </c>
      <c r="G72" s="22">
        <v>45</v>
      </c>
      <c r="H72" s="21">
        <f>ROUND(G72*E72,0)</f>
        <v>22500000</v>
      </c>
      <c r="I72" s="21">
        <f>H72-F72</f>
        <v>0</v>
      </c>
      <c r="J72" s="23"/>
      <c r="K72" s="24" t="s">
        <v>218</v>
      </c>
      <c r="L72" s="25">
        <v>45</v>
      </c>
    </row>
    <row r="73" spans="1:12" x14ac:dyDescent="0.25">
      <c r="A73" s="16" t="s">
        <v>219</v>
      </c>
      <c r="B73" s="36" t="s">
        <v>220</v>
      </c>
      <c r="C73" s="18">
        <v>99.2</v>
      </c>
      <c r="D73" s="19" t="s">
        <v>214</v>
      </c>
      <c r="E73" s="20">
        <v>900500</v>
      </c>
      <c r="F73" s="21">
        <v>89329600</v>
      </c>
      <c r="G73" s="22">
        <v>99.2</v>
      </c>
      <c r="H73" s="21">
        <f>ROUND(G73*E73,0)</f>
        <v>89329600</v>
      </c>
      <c r="I73" s="21">
        <f>H73-F73</f>
        <v>0</v>
      </c>
      <c r="J73" s="23"/>
      <c r="K73" s="24" t="s">
        <v>221</v>
      </c>
      <c r="L73" s="25">
        <v>50</v>
      </c>
    </row>
    <row r="74" spans="1:12" s="26" customFormat="1" x14ac:dyDescent="0.25">
      <c r="A74" s="27" t="s">
        <v>25</v>
      </c>
      <c r="B74" s="28" t="s">
        <v>222</v>
      </c>
      <c r="C74" s="29"/>
      <c r="D74" s="30"/>
      <c r="E74" s="30"/>
      <c r="F74" s="31">
        <v>45800313</v>
      </c>
      <c r="G74" s="30"/>
      <c r="H74" s="29"/>
      <c r="I74" s="29"/>
      <c r="J74" s="30"/>
      <c r="K74" s="32" t="s">
        <v>223</v>
      </c>
      <c r="L74" s="29"/>
    </row>
    <row r="75" spans="1:12" x14ac:dyDescent="0.25">
      <c r="A75" s="16" t="s">
        <v>224</v>
      </c>
      <c r="B75" s="36" t="s">
        <v>225</v>
      </c>
      <c r="C75" s="18">
        <v>49.2</v>
      </c>
      <c r="D75" s="19" t="s">
        <v>23</v>
      </c>
      <c r="E75" s="20">
        <v>209675.01</v>
      </c>
      <c r="F75" s="21">
        <v>10316011</v>
      </c>
      <c r="G75" s="22">
        <v>49.2</v>
      </c>
      <c r="H75" s="21">
        <f>ROUND(G75*E75,0)</f>
        <v>10316011</v>
      </c>
      <c r="I75" s="21">
        <f>H75-F75</f>
        <v>0</v>
      </c>
      <c r="J75" s="23"/>
      <c r="K75" s="24" t="s">
        <v>226</v>
      </c>
      <c r="L75" s="35">
        <v>0</v>
      </c>
    </row>
    <row r="76" spans="1:12" x14ac:dyDescent="0.25">
      <c r="A76" s="16" t="s">
        <v>227</v>
      </c>
      <c r="B76" s="36" t="s">
        <v>228</v>
      </c>
      <c r="C76" s="18">
        <v>875.18</v>
      </c>
      <c r="D76" s="19" t="s">
        <v>229</v>
      </c>
      <c r="E76" s="20">
        <v>18000</v>
      </c>
      <c r="F76" s="21">
        <v>15753240</v>
      </c>
      <c r="G76" s="22">
        <v>875.18</v>
      </c>
      <c r="H76" s="21">
        <f>ROUND(G76*E76,0)</f>
        <v>15753240</v>
      </c>
      <c r="I76" s="21">
        <f>H76-F76</f>
        <v>0</v>
      </c>
      <c r="J76" s="23"/>
      <c r="K76" s="24" t="s">
        <v>230</v>
      </c>
      <c r="L76" s="25">
        <v>200</v>
      </c>
    </row>
    <row r="77" spans="1:12" x14ac:dyDescent="0.25">
      <c r="A77" s="16" t="s">
        <v>231</v>
      </c>
      <c r="B77" s="36" t="s">
        <v>232</v>
      </c>
      <c r="C77" s="18">
        <v>495.67</v>
      </c>
      <c r="D77" s="19" t="s">
        <v>229</v>
      </c>
      <c r="E77" s="20">
        <v>13176.23</v>
      </c>
      <c r="F77" s="21">
        <v>6531062</v>
      </c>
      <c r="G77" s="22">
        <v>495.67</v>
      </c>
      <c r="H77" s="21">
        <f>ROUND(G77*E77,0)</f>
        <v>6531062</v>
      </c>
      <c r="I77" s="21">
        <f>H77-F77</f>
        <v>0</v>
      </c>
      <c r="J77" s="23"/>
      <c r="K77" s="24" t="s">
        <v>233</v>
      </c>
      <c r="L77" s="35">
        <v>0</v>
      </c>
    </row>
    <row r="78" spans="1:12" x14ac:dyDescent="0.25">
      <c r="A78" s="16" t="s">
        <v>234</v>
      </c>
      <c r="B78" s="36" t="s">
        <v>235</v>
      </c>
      <c r="C78" s="18">
        <v>12</v>
      </c>
      <c r="D78" s="19" t="s">
        <v>214</v>
      </c>
      <c r="E78" s="20">
        <v>1100000</v>
      </c>
      <c r="F78" s="21">
        <v>13200000</v>
      </c>
      <c r="G78" s="22">
        <v>12</v>
      </c>
      <c r="H78" s="21">
        <f>ROUND(G78*E78,0)</f>
        <v>13200000</v>
      </c>
      <c r="I78" s="21">
        <f>H78-F78</f>
        <v>0</v>
      </c>
      <c r="J78" s="23"/>
      <c r="K78" s="24" t="s">
        <v>236</v>
      </c>
      <c r="L78" s="35">
        <v>0</v>
      </c>
    </row>
    <row r="79" spans="1:12" s="26" customFormat="1" x14ac:dyDescent="0.25">
      <c r="A79" s="27" t="s">
        <v>29</v>
      </c>
      <c r="B79" s="28" t="s">
        <v>237</v>
      </c>
      <c r="C79" s="29"/>
      <c r="D79" s="30"/>
      <c r="E79" s="30"/>
      <c r="F79" s="31">
        <v>3358058</v>
      </c>
      <c r="G79" s="30"/>
      <c r="H79" s="29"/>
      <c r="I79" s="29"/>
      <c r="J79" s="30"/>
      <c r="K79" s="32" t="s">
        <v>238</v>
      </c>
      <c r="L79" s="29"/>
    </row>
    <row r="80" spans="1:12" x14ac:dyDescent="0.25">
      <c r="A80" s="16" t="s">
        <v>239</v>
      </c>
      <c r="B80" s="36" t="s">
        <v>225</v>
      </c>
      <c r="C80" s="18">
        <v>3</v>
      </c>
      <c r="D80" s="19" t="s">
        <v>23</v>
      </c>
      <c r="E80" s="20">
        <v>209675.01</v>
      </c>
      <c r="F80" s="21">
        <v>629025</v>
      </c>
      <c r="G80" s="22">
        <v>3</v>
      </c>
      <c r="H80" s="21">
        <f>ROUND(G80*E80,0)</f>
        <v>629025</v>
      </c>
      <c r="I80" s="21">
        <f>H80-F80</f>
        <v>0</v>
      </c>
      <c r="J80" s="23"/>
      <c r="K80" s="24" t="s">
        <v>240</v>
      </c>
      <c r="L80" s="35">
        <v>0</v>
      </c>
    </row>
    <row r="81" spans="1:12" x14ac:dyDescent="0.25">
      <c r="A81" s="16" t="s">
        <v>241</v>
      </c>
      <c r="B81" s="36" t="s">
        <v>242</v>
      </c>
      <c r="C81" s="18">
        <v>70.85</v>
      </c>
      <c r="D81" s="19" t="s">
        <v>229</v>
      </c>
      <c r="E81" s="20">
        <v>19248.5</v>
      </c>
      <c r="F81" s="21">
        <v>1363756</v>
      </c>
      <c r="G81" s="22">
        <v>70.85</v>
      </c>
      <c r="H81" s="21">
        <f>ROUND(G81*E81,0)</f>
        <v>1363756</v>
      </c>
      <c r="I81" s="21">
        <f>H81-F81</f>
        <v>0</v>
      </c>
      <c r="J81" s="23"/>
      <c r="K81" s="24" t="s">
        <v>243</v>
      </c>
      <c r="L81" s="35">
        <v>0</v>
      </c>
    </row>
    <row r="82" spans="1:12" x14ac:dyDescent="0.25">
      <c r="A82" s="16" t="s">
        <v>244</v>
      </c>
      <c r="B82" s="36" t="s">
        <v>245</v>
      </c>
      <c r="C82" s="18">
        <v>21.58</v>
      </c>
      <c r="D82" s="19" t="s">
        <v>229</v>
      </c>
      <c r="E82" s="20">
        <v>13176.23</v>
      </c>
      <c r="F82" s="21">
        <v>284343</v>
      </c>
      <c r="G82" s="22">
        <v>21.58</v>
      </c>
      <c r="H82" s="21">
        <f>ROUND(G82*E82,0)</f>
        <v>284343</v>
      </c>
      <c r="I82" s="21">
        <f>H82-F82</f>
        <v>0</v>
      </c>
      <c r="J82" s="23"/>
      <c r="K82" s="24" t="s">
        <v>246</v>
      </c>
      <c r="L82" s="35">
        <v>0</v>
      </c>
    </row>
    <row r="83" spans="1:12" x14ac:dyDescent="0.25">
      <c r="A83" s="16" t="s">
        <v>247</v>
      </c>
      <c r="B83" s="36" t="s">
        <v>235</v>
      </c>
      <c r="C83" s="18">
        <v>0.45</v>
      </c>
      <c r="D83" s="19" t="s">
        <v>214</v>
      </c>
      <c r="E83" s="20">
        <v>1100000</v>
      </c>
      <c r="F83" s="21">
        <v>495000</v>
      </c>
      <c r="G83" s="22">
        <v>0.45</v>
      </c>
      <c r="H83" s="21">
        <f>ROUND(G83*E83,0)</f>
        <v>495000</v>
      </c>
      <c r="I83" s="21">
        <f>H83-F83</f>
        <v>0</v>
      </c>
      <c r="J83" s="23"/>
      <c r="K83" s="24" t="s">
        <v>248</v>
      </c>
      <c r="L83" s="35">
        <v>0</v>
      </c>
    </row>
    <row r="84" spans="1:12" x14ac:dyDescent="0.25">
      <c r="A84" s="16" t="s">
        <v>249</v>
      </c>
      <c r="B84" s="36" t="s">
        <v>250</v>
      </c>
      <c r="C84" s="18">
        <v>3.87</v>
      </c>
      <c r="D84" s="19" t="s">
        <v>23</v>
      </c>
      <c r="E84" s="20">
        <v>45520.53</v>
      </c>
      <c r="F84" s="21">
        <v>176164</v>
      </c>
      <c r="G84" s="22">
        <v>3.87</v>
      </c>
      <c r="H84" s="21">
        <f>ROUND(G84*E84,0)</f>
        <v>176164</v>
      </c>
      <c r="I84" s="21">
        <f>H84-F84</f>
        <v>0</v>
      </c>
      <c r="J84" s="23"/>
      <c r="K84" s="24" t="s">
        <v>251</v>
      </c>
      <c r="L84" s="35">
        <v>0</v>
      </c>
    </row>
    <row r="85" spans="1:12" x14ac:dyDescent="0.25">
      <c r="A85" s="16" t="s">
        <v>252</v>
      </c>
      <c r="B85" s="36" t="s">
        <v>253</v>
      </c>
      <c r="C85" s="18">
        <v>7.5</v>
      </c>
      <c r="D85" s="19" t="s">
        <v>38</v>
      </c>
      <c r="E85" s="20">
        <v>54635.94</v>
      </c>
      <c r="F85" s="21">
        <v>409770</v>
      </c>
      <c r="G85" s="22">
        <v>7.5</v>
      </c>
      <c r="H85" s="21">
        <f>ROUND(G85*E85,0)</f>
        <v>409770</v>
      </c>
      <c r="I85" s="21">
        <f>H85-F85</f>
        <v>0</v>
      </c>
      <c r="J85" s="23"/>
      <c r="K85" s="24" t="s">
        <v>254</v>
      </c>
      <c r="L85" s="35">
        <v>0</v>
      </c>
    </row>
    <row r="86" spans="1:12" s="26" customFormat="1" x14ac:dyDescent="0.25">
      <c r="A86" s="27" t="s">
        <v>33</v>
      </c>
      <c r="B86" s="28" t="s">
        <v>255</v>
      </c>
      <c r="C86" s="29"/>
      <c r="D86" s="30"/>
      <c r="E86" s="30"/>
      <c r="F86" s="31">
        <v>10255955</v>
      </c>
      <c r="G86" s="30"/>
      <c r="H86" s="29"/>
      <c r="I86" s="29"/>
      <c r="J86" s="30"/>
      <c r="K86" s="32" t="s">
        <v>256</v>
      </c>
      <c r="L86" s="29"/>
    </row>
    <row r="87" spans="1:12" x14ac:dyDescent="0.25">
      <c r="A87" s="16" t="s">
        <v>257</v>
      </c>
      <c r="B87" s="36" t="s">
        <v>258</v>
      </c>
      <c r="C87" s="18">
        <v>11.78</v>
      </c>
      <c r="D87" s="19" t="s">
        <v>23</v>
      </c>
      <c r="E87" s="20">
        <v>246976.42</v>
      </c>
      <c r="F87" s="21">
        <v>2909382</v>
      </c>
      <c r="G87" s="22">
        <v>11.78</v>
      </c>
      <c r="H87" s="21">
        <f>ROUND(G87*E87,0)</f>
        <v>2909382</v>
      </c>
      <c r="I87" s="21">
        <f>H87-F87</f>
        <v>0</v>
      </c>
      <c r="J87" s="23"/>
      <c r="K87" s="24" t="s">
        <v>259</v>
      </c>
      <c r="L87" s="25">
        <v>7.2</v>
      </c>
    </row>
    <row r="88" spans="1:12" x14ac:dyDescent="0.25">
      <c r="A88" s="16" t="s">
        <v>260</v>
      </c>
      <c r="B88" s="36" t="s">
        <v>228</v>
      </c>
      <c r="C88" s="18">
        <v>227.55</v>
      </c>
      <c r="D88" s="19" t="s">
        <v>229</v>
      </c>
      <c r="E88" s="20">
        <v>19248.5</v>
      </c>
      <c r="F88" s="21">
        <v>4379996</v>
      </c>
      <c r="G88" s="22">
        <v>227.55</v>
      </c>
      <c r="H88" s="21">
        <f>ROUND(G88*E88,0)</f>
        <v>4379996</v>
      </c>
      <c r="I88" s="21">
        <f>H88-F88</f>
        <v>0</v>
      </c>
      <c r="J88" s="23"/>
      <c r="K88" s="24" t="s">
        <v>261</v>
      </c>
      <c r="L88" s="25">
        <v>97.55</v>
      </c>
    </row>
    <row r="89" spans="1:12" x14ac:dyDescent="0.25">
      <c r="A89" s="16" t="s">
        <v>262</v>
      </c>
      <c r="B89" s="36" t="s">
        <v>263</v>
      </c>
      <c r="C89" s="18">
        <v>60.66</v>
      </c>
      <c r="D89" s="19" t="s">
        <v>229</v>
      </c>
      <c r="E89" s="20">
        <v>13176.23</v>
      </c>
      <c r="F89" s="21">
        <v>799270</v>
      </c>
      <c r="G89" s="22">
        <v>60.66</v>
      </c>
      <c r="H89" s="21">
        <f>ROUND(G89*E89,0)</f>
        <v>799270</v>
      </c>
      <c r="I89" s="21">
        <f>H89-F89</f>
        <v>0</v>
      </c>
      <c r="J89" s="23"/>
      <c r="K89" s="24" t="s">
        <v>264</v>
      </c>
      <c r="L89" s="35">
        <v>0</v>
      </c>
    </row>
    <row r="90" spans="1:12" x14ac:dyDescent="0.25">
      <c r="A90" s="16" t="s">
        <v>265</v>
      </c>
      <c r="B90" s="36" t="s">
        <v>235</v>
      </c>
      <c r="C90" s="18">
        <v>1.77</v>
      </c>
      <c r="D90" s="19" t="s">
        <v>214</v>
      </c>
      <c r="E90" s="20">
        <v>1224466.96</v>
      </c>
      <c r="F90" s="21">
        <v>2167307</v>
      </c>
      <c r="G90" s="22">
        <v>1.77</v>
      </c>
      <c r="H90" s="21">
        <f>ROUND(G90*E90,0)</f>
        <v>2167307</v>
      </c>
      <c r="I90" s="21">
        <f>H90-F90</f>
        <v>0</v>
      </c>
      <c r="J90" s="23"/>
      <c r="K90" s="24" t="s">
        <v>266</v>
      </c>
      <c r="L90" s="35">
        <v>0</v>
      </c>
    </row>
    <row r="91" spans="1:12" s="26" customFormat="1" x14ac:dyDescent="0.25">
      <c r="A91" s="27" t="s">
        <v>36</v>
      </c>
      <c r="B91" s="28" t="s">
        <v>267</v>
      </c>
      <c r="C91" s="29"/>
      <c r="D91" s="30"/>
      <c r="E91" s="30"/>
      <c r="F91" s="31">
        <v>9664197</v>
      </c>
      <c r="G91" s="30"/>
      <c r="H91" s="29"/>
      <c r="I91" s="29"/>
      <c r="J91" s="30"/>
      <c r="K91" s="32" t="s">
        <v>268</v>
      </c>
      <c r="L91" s="29"/>
    </row>
    <row r="92" spans="1:12" x14ac:dyDescent="0.25">
      <c r="A92" s="16" t="s">
        <v>269</v>
      </c>
      <c r="B92" s="36" t="s">
        <v>270</v>
      </c>
      <c r="C92" s="18">
        <v>176</v>
      </c>
      <c r="D92" s="19" t="s">
        <v>38</v>
      </c>
      <c r="E92" s="20">
        <v>26681.29</v>
      </c>
      <c r="F92" s="21">
        <v>4695907</v>
      </c>
      <c r="G92" s="22">
        <v>176</v>
      </c>
      <c r="H92" s="21">
        <f>ROUND(G92*E92,0)</f>
        <v>4695907</v>
      </c>
      <c r="I92" s="21">
        <f>H92-F92</f>
        <v>0</v>
      </c>
      <c r="J92" s="23"/>
      <c r="K92" s="24" t="s">
        <v>271</v>
      </c>
      <c r="L92" s="35">
        <v>0</v>
      </c>
    </row>
    <row r="93" spans="1:12" x14ac:dyDescent="0.25">
      <c r="A93" s="16" t="s">
        <v>272</v>
      </c>
      <c r="B93" s="36" t="s">
        <v>273</v>
      </c>
      <c r="C93" s="18">
        <v>7.48</v>
      </c>
      <c r="D93" s="19" t="s">
        <v>23</v>
      </c>
      <c r="E93" s="20">
        <v>232493.59</v>
      </c>
      <c r="F93" s="21">
        <v>1739052</v>
      </c>
      <c r="G93" s="22">
        <v>7.48</v>
      </c>
      <c r="H93" s="21">
        <f>ROUND(G93*E93,0)</f>
        <v>1739052</v>
      </c>
      <c r="I93" s="21">
        <f>H93-F93</f>
        <v>0</v>
      </c>
      <c r="J93" s="23"/>
      <c r="K93" s="24" t="s">
        <v>274</v>
      </c>
      <c r="L93" s="35">
        <v>0</v>
      </c>
    </row>
    <row r="94" spans="1:12" x14ac:dyDescent="0.25">
      <c r="A94" s="16" t="s">
        <v>275</v>
      </c>
      <c r="B94" s="36" t="s">
        <v>228</v>
      </c>
      <c r="C94" s="18">
        <v>38.63</v>
      </c>
      <c r="D94" s="19" t="s">
        <v>229</v>
      </c>
      <c r="E94" s="20">
        <v>19248.5</v>
      </c>
      <c r="F94" s="21">
        <v>743570</v>
      </c>
      <c r="G94" s="22">
        <v>38.63</v>
      </c>
      <c r="H94" s="21">
        <f>ROUND(G94*E94,0)</f>
        <v>743570</v>
      </c>
      <c r="I94" s="21">
        <f>H94-F94</f>
        <v>0</v>
      </c>
      <c r="J94" s="23"/>
      <c r="K94" s="24" t="s">
        <v>276</v>
      </c>
      <c r="L94" s="25">
        <v>38.63</v>
      </c>
    </row>
    <row r="95" spans="1:12" x14ac:dyDescent="0.25">
      <c r="A95" s="16" t="s">
        <v>277</v>
      </c>
      <c r="B95" s="36" t="s">
        <v>235</v>
      </c>
      <c r="C95" s="18">
        <v>2.03</v>
      </c>
      <c r="D95" s="19" t="s">
        <v>214</v>
      </c>
      <c r="E95" s="20">
        <v>1224466.96</v>
      </c>
      <c r="F95" s="21">
        <v>2485668</v>
      </c>
      <c r="G95" s="22">
        <v>2.03</v>
      </c>
      <c r="H95" s="21">
        <f>ROUND(G95*E95,0)</f>
        <v>2485668</v>
      </c>
      <c r="I95" s="21">
        <f>H95-F95</f>
        <v>0</v>
      </c>
      <c r="J95" s="23"/>
      <c r="K95" s="24" t="s">
        <v>278</v>
      </c>
      <c r="L95" s="35">
        <v>0</v>
      </c>
    </row>
    <row r="96" spans="1:12" s="26" customFormat="1" x14ac:dyDescent="0.25">
      <c r="A96" s="27" t="s">
        <v>40</v>
      </c>
      <c r="B96" s="28" t="s">
        <v>279</v>
      </c>
      <c r="C96" s="29"/>
      <c r="D96" s="30"/>
      <c r="E96" s="30"/>
      <c r="F96" s="31">
        <v>46003576</v>
      </c>
      <c r="G96" s="30"/>
      <c r="H96" s="29"/>
      <c r="I96" s="29"/>
      <c r="J96" s="30"/>
      <c r="K96" s="32" t="s">
        <v>280</v>
      </c>
      <c r="L96" s="29"/>
    </row>
    <row r="97" spans="1:12" x14ac:dyDescent="0.25">
      <c r="A97" s="16" t="s">
        <v>281</v>
      </c>
      <c r="B97" s="36" t="s">
        <v>282</v>
      </c>
      <c r="C97" s="18">
        <v>12</v>
      </c>
      <c r="D97" s="19" t="s">
        <v>214</v>
      </c>
      <c r="E97" s="20">
        <v>56660.36</v>
      </c>
      <c r="F97" s="21">
        <v>679924</v>
      </c>
      <c r="G97" s="22">
        <v>12</v>
      </c>
      <c r="H97" s="21">
        <f>ROUND(G97*E97,0)</f>
        <v>679924</v>
      </c>
      <c r="I97" s="21">
        <f>H97-F97</f>
        <v>0</v>
      </c>
      <c r="J97" s="23"/>
      <c r="K97" s="24" t="s">
        <v>283</v>
      </c>
      <c r="L97" s="25">
        <v>12</v>
      </c>
    </row>
    <row r="98" spans="1:12" x14ac:dyDescent="0.25">
      <c r="A98" s="16" t="s">
        <v>284</v>
      </c>
      <c r="B98" s="36" t="s">
        <v>270</v>
      </c>
      <c r="C98" s="18">
        <v>492</v>
      </c>
      <c r="D98" s="19" t="s">
        <v>38</v>
      </c>
      <c r="E98" s="20">
        <v>26681.29</v>
      </c>
      <c r="F98" s="21">
        <v>13127195</v>
      </c>
      <c r="G98" s="22">
        <v>492</v>
      </c>
      <c r="H98" s="21">
        <f>ROUND(G98*E98,0)</f>
        <v>13127195</v>
      </c>
      <c r="I98" s="21">
        <f>H98-F98</f>
        <v>0</v>
      </c>
      <c r="J98" s="23"/>
      <c r="K98" s="24" t="s">
        <v>285</v>
      </c>
      <c r="L98" s="25">
        <v>492</v>
      </c>
    </row>
    <row r="99" spans="1:12" x14ac:dyDescent="0.25">
      <c r="A99" s="16" t="s">
        <v>286</v>
      </c>
      <c r="B99" s="36" t="s">
        <v>273</v>
      </c>
      <c r="C99" s="18">
        <v>6.6</v>
      </c>
      <c r="D99" s="19" t="s">
        <v>23</v>
      </c>
      <c r="E99" s="20">
        <v>232493.59</v>
      </c>
      <c r="F99" s="21">
        <v>1534458</v>
      </c>
      <c r="G99" s="22">
        <v>6.6</v>
      </c>
      <c r="H99" s="21">
        <f>ROUND(G99*E99,0)</f>
        <v>1534458</v>
      </c>
      <c r="I99" s="21">
        <f>H99-F99</f>
        <v>0</v>
      </c>
      <c r="J99" s="23"/>
      <c r="K99" s="24" t="s">
        <v>287</v>
      </c>
      <c r="L99" s="35">
        <v>0</v>
      </c>
    </row>
    <row r="100" spans="1:12" x14ac:dyDescent="0.25">
      <c r="A100" s="16" t="s">
        <v>288</v>
      </c>
      <c r="B100" s="36" t="s">
        <v>289</v>
      </c>
      <c r="C100" s="18">
        <v>642.22</v>
      </c>
      <c r="D100" s="19" t="s">
        <v>229</v>
      </c>
      <c r="E100" s="20">
        <v>19248.5</v>
      </c>
      <c r="F100" s="21">
        <v>12361772</v>
      </c>
      <c r="G100" s="22">
        <v>642.22</v>
      </c>
      <c r="H100" s="21">
        <f>ROUND(G100*E100,0)</f>
        <v>12361772</v>
      </c>
      <c r="I100" s="21">
        <f>H100-F100</f>
        <v>0</v>
      </c>
      <c r="J100" s="23"/>
      <c r="K100" s="24" t="s">
        <v>290</v>
      </c>
      <c r="L100" s="25">
        <v>642.22</v>
      </c>
    </row>
    <row r="101" spans="1:12" x14ac:dyDescent="0.25">
      <c r="A101" s="16" t="s">
        <v>291</v>
      </c>
      <c r="B101" s="36" t="s">
        <v>292</v>
      </c>
      <c r="C101" s="18">
        <v>350.42</v>
      </c>
      <c r="D101" s="19" t="s">
        <v>229</v>
      </c>
      <c r="E101" s="20">
        <v>13176.23</v>
      </c>
      <c r="F101" s="21">
        <v>4617214</v>
      </c>
      <c r="G101" s="22">
        <v>350.42</v>
      </c>
      <c r="H101" s="21">
        <f>ROUND(G101*E101,0)</f>
        <v>4617214</v>
      </c>
      <c r="I101" s="21">
        <f>H101-F101</f>
        <v>0</v>
      </c>
      <c r="J101" s="23"/>
      <c r="K101" s="24" t="s">
        <v>293</v>
      </c>
      <c r="L101" s="35">
        <v>0</v>
      </c>
    </row>
    <row r="102" spans="1:12" x14ac:dyDescent="0.25">
      <c r="A102" s="16" t="s">
        <v>294</v>
      </c>
      <c r="B102" s="36" t="s">
        <v>235</v>
      </c>
      <c r="C102" s="18">
        <v>12</v>
      </c>
      <c r="D102" s="19" t="s">
        <v>214</v>
      </c>
      <c r="E102" s="20">
        <v>1100000</v>
      </c>
      <c r="F102" s="21">
        <v>13200000</v>
      </c>
      <c r="G102" s="22">
        <v>12</v>
      </c>
      <c r="H102" s="21">
        <f>ROUND(G102*E102,0)</f>
        <v>13200000</v>
      </c>
      <c r="I102" s="21">
        <f>H102-F102</f>
        <v>0</v>
      </c>
      <c r="J102" s="23"/>
      <c r="K102" s="24" t="s">
        <v>295</v>
      </c>
      <c r="L102" s="35">
        <v>0</v>
      </c>
    </row>
    <row r="103" spans="1:12" x14ac:dyDescent="0.25">
      <c r="A103" s="16" t="s">
        <v>296</v>
      </c>
      <c r="B103" s="36" t="s">
        <v>297</v>
      </c>
      <c r="C103" s="18">
        <v>12</v>
      </c>
      <c r="D103" s="19" t="s">
        <v>214</v>
      </c>
      <c r="E103" s="20">
        <v>40251.08</v>
      </c>
      <c r="F103" s="21">
        <v>483013</v>
      </c>
      <c r="G103" s="22">
        <v>12</v>
      </c>
      <c r="H103" s="21">
        <f>ROUND(G103*E103,0)</f>
        <v>483013</v>
      </c>
      <c r="I103" s="21">
        <f>H103-F103</f>
        <v>0</v>
      </c>
      <c r="J103" s="23"/>
      <c r="K103" s="24" t="s">
        <v>298</v>
      </c>
      <c r="L103" s="35">
        <v>0</v>
      </c>
    </row>
    <row r="104" spans="1:12" s="26" customFormat="1" x14ac:dyDescent="0.25">
      <c r="A104" s="27" t="s">
        <v>140</v>
      </c>
      <c r="B104" s="28" t="s">
        <v>299</v>
      </c>
      <c r="C104" s="29"/>
      <c r="D104" s="30"/>
      <c r="E104" s="30"/>
      <c r="F104" s="31">
        <v>78474481</v>
      </c>
      <c r="G104" s="30"/>
      <c r="H104" s="29"/>
      <c r="I104" s="29"/>
      <c r="J104" s="30"/>
      <c r="K104" s="32" t="s">
        <v>300</v>
      </c>
      <c r="L104" s="29"/>
    </row>
    <row r="105" spans="1:12" x14ac:dyDescent="0.25">
      <c r="A105" s="16" t="s">
        <v>301</v>
      </c>
      <c r="B105" s="36" t="s">
        <v>302</v>
      </c>
      <c r="C105" s="18">
        <v>96</v>
      </c>
      <c r="D105" s="19" t="s">
        <v>23</v>
      </c>
      <c r="E105" s="20">
        <v>371126.23</v>
      </c>
      <c r="F105" s="21">
        <v>35628118</v>
      </c>
      <c r="G105" s="22">
        <v>96</v>
      </c>
      <c r="H105" s="21">
        <f>ROUND(G105*E105,0)</f>
        <v>35628118</v>
      </c>
      <c r="I105" s="21">
        <f>H105-F105</f>
        <v>0</v>
      </c>
      <c r="J105" s="23"/>
      <c r="K105" s="24" t="s">
        <v>303</v>
      </c>
      <c r="L105" s="35">
        <v>0</v>
      </c>
    </row>
    <row r="106" spans="1:12" x14ac:dyDescent="0.25">
      <c r="A106" s="16" t="s">
        <v>304</v>
      </c>
      <c r="B106" s="36" t="s">
        <v>305</v>
      </c>
      <c r="C106" s="18">
        <v>1010.21</v>
      </c>
      <c r="D106" s="19" t="s">
        <v>229</v>
      </c>
      <c r="E106" s="20">
        <v>19248.5</v>
      </c>
      <c r="F106" s="21">
        <v>19445027</v>
      </c>
      <c r="G106" s="22">
        <v>1010.21</v>
      </c>
      <c r="H106" s="21">
        <f>ROUND(G106*E106,0)</f>
        <v>19445027</v>
      </c>
      <c r="I106" s="21">
        <f>H106-F106</f>
        <v>0</v>
      </c>
      <c r="J106" s="23"/>
      <c r="K106" s="24" t="s">
        <v>306</v>
      </c>
      <c r="L106" s="35">
        <v>0</v>
      </c>
    </row>
    <row r="107" spans="1:12" x14ac:dyDescent="0.25">
      <c r="A107" s="16" t="s">
        <v>307</v>
      </c>
      <c r="B107" s="36" t="s">
        <v>308</v>
      </c>
      <c r="C107" s="18">
        <v>322.18</v>
      </c>
      <c r="D107" s="19" t="s">
        <v>229</v>
      </c>
      <c r="E107" s="20">
        <v>13176.23</v>
      </c>
      <c r="F107" s="21">
        <v>4245118</v>
      </c>
      <c r="G107" s="22">
        <v>322.18</v>
      </c>
      <c r="H107" s="21">
        <f>ROUND(G107*E107,0)</f>
        <v>4245118</v>
      </c>
      <c r="I107" s="21">
        <f>H107-F107</f>
        <v>0</v>
      </c>
      <c r="J107" s="23"/>
      <c r="K107" s="24" t="s">
        <v>309</v>
      </c>
      <c r="L107" s="35">
        <v>0</v>
      </c>
    </row>
    <row r="108" spans="1:12" x14ac:dyDescent="0.25">
      <c r="A108" s="16" t="s">
        <v>310</v>
      </c>
      <c r="B108" s="36" t="s">
        <v>235</v>
      </c>
      <c r="C108" s="18">
        <v>16.8</v>
      </c>
      <c r="D108" s="19" t="s">
        <v>214</v>
      </c>
      <c r="E108" s="20">
        <v>1100000</v>
      </c>
      <c r="F108" s="21">
        <v>18480000</v>
      </c>
      <c r="G108" s="22">
        <v>16.8</v>
      </c>
      <c r="H108" s="21">
        <f>ROUND(G108*E108,0)</f>
        <v>18480000</v>
      </c>
      <c r="I108" s="21">
        <f>H108-F108</f>
        <v>0</v>
      </c>
      <c r="J108" s="23"/>
      <c r="K108" s="24" t="s">
        <v>311</v>
      </c>
      <c r="L108" s="35">
        <v>0</v>
      </c>
    </row>
    <row r="109" spans="1:12" x14ac:dyDescent="0.25">
      <c r="A109" s="16" t="s">
        <v>312</v>
      </c>
      <c r="B109" s="36" t="s">
        <v>297</v>
      </c>
      <c r="C109" s="18">
        <v>16.8</v>
      </c>
      <c r="D109" s="19" t="s">
        <v>214</v>
      </c>
      <c r="E109" s="20">
        <v>40251.08</v>
      </c>
      <c r="F109" s="21">
        <v>676218</v>
      </c>
      <c r="G109" s="22">
        <v>16.8</v>
      </c>
      <c r="H109" s="21">
        <f>ROUND(G109*E109,0)</f>
        <v>676218</v>
      </c>
      <c r="I109" s="21">
        <f>H109-F109</f>
        <v>0</v>
      </c>
      <c r="J109" s="23"/>
      <c r="K109" s="24" t="s">
        <v>313</v>
      </c>
      <c r="L109" s="35">
        <v>0</v>
      </c>
    </row>
    <row r="110" spans="1:12" s="8" customFormat="1" x14ac:dyDescent="0.25">
      <c r="A110" s="9" t="s">
        <v>314</v>
      </c>
      <c r="B110" s="10" t="s">
        <v>315</v>
      </c>
      <c r="C110" s="11"/>
      <c r="D110" s="12"/>
      <c r="E110" s="12"/>
      <c r="F110" s="13">
        <v>229436307</v>
      </c>
      <c r="G110" s="12"/>
      <c r="H110" s="11"/>
      <c r="I110" s="11"/>
      <c r="J110" s="12"/>
      <c r="K110" s="14" t="s">
        <v>314</v>
      </c>
      <c r="L110" s="15"/>
    </row>
    <row r="111" spans="1:12" s="26" customFormat="1" x14ac:dyDescent="0.25">
      <c r="A111" s="27" t="s">
        <v>316</v>
      </c>
      <c r="B111" s="28" t="s">
        <v>317</v>
      </c>
      <c r="C111" s="29"/>
      <c r="D111" s="30"/>
      <c r="E111" s="30"/>
      <c r="F111" s="31">
        <v>87667627</v>
      </c>
      <c r="G111" s="30"/>
      <c r="H111" s="29"/>
      <c r="I111" s="29"/>
      <c r="J111" s="30"/>
      <c r="K111" s="32" t="s">
        <v>318</v>
      </c>
      <c r="L111" s="29"/>
    </row>
    <row r="112" spans="1:12" x14ac:dyDescent="0.25">
      <c r="A112" s="16" t="s">
        <v>21</v>
      </c>
      <c r="B112" s="36" t="s">
        <v>319</v>
      </c>
      <c r="C112" s="18">
        <v>38</v>
      </c>
      <c r="D112" s="19" t="s">
        <v>38</v>
      </c>
      <c r="E112" s="20">
        <v>147990.68</v>
      </c>
      <c r="F112" s="21">
        <v>5623646</v>
      </c>
      <c r="G112" s="22">
        <v>38</v>
      </c>
      <c r="H112" s="21">
        <f>ROUND(G112*E112,0)</f>
        <v>5623646</v>
      </c>
      <c r="I112" s="21">
        <f>H112-F112</f>
        <v>0</v>
      </c>
      <c r="J112" s="23"/>
      <c r="K112" s="24" t="s">
        <v>320</v>
      </c>
      <c r="L112" s="25">
        <v>38</v>
      </c>
    </row>
    <row r="113" spans="1:12" s="26" customFormat="1" x14ac:dyDescent="0.25">
      <c r="A113" s="27" t="s">
        <v>25</v>
      </c>
      <c r="B113" s="33" t="s">
        <v>321</v>
      </c>
      <c r="C113" s="29"/>
      <c r="D113" s="30"/>
      <c r="E113" s="30"/>
      <c r="F113" s="31">
        <v>10064533</v>
      </c>
      <c r="G113" s="30"/>
      <c r="H113" s="29"/>
      <c r="I113" s="29"/>
      <c r="J113" s="30"/>
      <c r="K113" s="32" t="s">
        <v>322</v>
      </c>
      <c r="L113" s="29"/>
    </row>
    <row r="114" spans="1:12" x14ac:dyDescent="0.25">
      <c r="A114" s="16" t="s">
        <v>224</v>
      </c>
      <c r="B114" s="34" t="s">
        <v>213</v>
      </c>
      <c r="C114" s="18">
        <v>9.6</v>
      </c>
      <c r="D114" s="19" t="s">
        <v>214</v>
      </c>
      <c r="E114" s="20">
        <v>56660.36</v>
      </c>
      <c r="F114" s="21">
        <v>543940</v>
      </c>
      <c r="G114" s="22">
        <v>9.6</v>
      </c>
      <c r="H114" s="21">
        <f>ROUND(G114*E114,0)</f>
        <v>543940</v>
      </c>
      <c r="I114" s="21">
        <f>H114-F114</f>
        <v>0</v>
      </c>
      <c r="J114" s="23"/>
      <c r="K114" s="24" t="s">
        <v>323</v>
      </c>
      <c r="L114" s="35">
        <v>0</v>
      </c>
    </row>
    <row r="115" spans="1:12" x14ac:dyDescent="0.25">
      <c r="A115" s="16" t="s">
        <v>227</v>
      </c>
      <c r="B115" s="34" t="s">
        <v>324</v>
      </c>
      <c r="C115" s="18">
        <v>0.56</v>
      </c>
      <c r="D115" s="19" t="s">
        <v>214</v>
      </c>
      <c r="E115" s="20">
        <v>345522.98</v>
      </c>
      <c r="F115" s="21">
        <v>193493</v>
      </c>
      <c r="G115" s="22">
        <v>0.56</v>
      </c>
      <c r="H115" s="21">
        <f>ROUND(G115*E115,0)</f>
        <v>193493</v>
      </c>
      <c r="I115" s="21">
        <f>H115-F115</f>
        <v>0</v>
      </c>
      <c r="J115" s="23"/>
      <c r="K115" s="24" t="s">
        <v>325</v>
      </c>
      <c r="L115" s="35">
        <v>0</v>
      </c>
    </row>
    <row r="116" spans="1:12" x14ac:dyDescent="0.25">
      <c r="A116" s="16" t="s">
        <v>231</v>
      </c>
      <c r="B116" s="34" t="s">
        <v>326</v>
      </c>
      <c r="C116" s="18">
        <v>0.24</v>
      </c>
      <c r="D116" s="19" t="s">
        <v>214</v>
      </c>
      <c r="E116" s="20">
        <v>1016530.97</v>
      </c>
      <c r="F116" s="21">
        <v>243967</v>
      </c>
      <c r="G116" s="22">
        <v>0.24</v>
      </c>
      <c r="H116" s="21">
        <f>ROUND(G116*E116,0)</f>
        <v>243967</v>
      </c>
      <c r="I116" s="21">
        <f>H116-F116</f>
        <v>0</v>
      </c>
      <c r="J116" s="23"/>
      <c r="K116" s="24" t="s">
        <v>327</v>
      </c>
      <c r="L116" s="35">
        <v>0</v>
      </c>
    </row>
    <row r="117" spans="1:12" x14ac:dyDescent="0.25">
      <c r="A117" s="16" t="s">
        <v>234</v>
      </c>
      <c r="B117" s="34" t="s">
        <v>328</v>
      </c>
      <c r="C117" s="18">
        <v>9.6</v>
      </c>
      <c r="D117" s="19" t="s">
        <v>214</v>
      </c>
      <c r="E117" s="20">
        <v>130392.01</v>
      </c>
      <c r="F117" s="21">
        <v>1251763</v>
      </c>
      <c r="G117" s="22">
        <v>9.6</v>
      </c>
      <c r="H117" s="21">
        <f>ROUND(G117*E117,0)</f>
        <v>1251763</v>
      </c>
      <c r="I117" s="21">
        <f>H117-F117</f>
        <v>0</v>
      </c>
      <c r="J117" s="23"/>
      <c r="K117" s="24" t="s">
        <v>329</v>
      </c>
      <c r="L117" s="35">
        <v>0</v>
      </c>
    </row>
    <row r="118" spans="1:12" x14ac:dyDescent="0.25">
      <c r="A118" s="16" t="s">
        <v>330</v>
      </c>
      <c r="B118" s="34" t="s">
        <v>331</v>
      </c>
      <c r="C118" s="18">
        <v>136.123</v>
      </c>
      <c r="D118" s="19" t="s">
        <v>229</v>
      </c>
      <c r="E118" s="20">
        <v>13176.23</v>
      </c>
      <c r="F118" s="21">
        <v>1793591</v>
      </c>
      <c r="G118" s="22">
        <v>136.123</v>
      </c>
      <c r="H118" s="21">
        <f>ROUND(G118*E118,0)</f>
        <v>1793591</v>
      </c>
      <c r="I118" s="21">
        <f>H118-F118</f>
        <v>0</v>
      </c>
      <c r="J118" s="23"/>
      <c r="K118" s="24" t="s">
        <v>332</v>
      </c>
      <c r="L118" s="35">
        <v>0</v>
      </c>
    </row>
    <row r="119" spans="1:12" x14ac:dyDescent="0.25">
      <c r="A119" s="16" t="s">
        <v>333</v>
      </c>
      <c r="B119" s="34" t="s">
        <v>334</v>
      </c>
      <c r="C119" s="18">
        <v>1.536</v>
      </c>
      <c r="D119" s="19" t="s">
        <v>214</v>
      </c>
      <c r="E119" s="20">
        <v>1151545.01</v>
      </c>
      <c r="F119" s="21">
        <v>1768773</v>
      </c>
      <c r="G119" s="22">
        <v>1.536</v>
      </c>
      <c r="H119" s="21">
        <f>ROUND(G119*E119,0)</f>
        <v>1768773</v>
      </c>
      <c r="I119" s="21">
        <f>H119-F119</f>
        <v>0</v>
      </c>
      <c r="J119" s="23"/>
      <c r="K119" s="24" t="s">
        <v>335</v>
      </c>
      <c r="L119" s="35">
        <v>0</v>
      </c>
    </row>
    <row r="120" spans="1:12" x14ac:dyDescent="0.25">
      <c r="A120" s="16" t="s">
        <v>336</v>
      </c>
      <c r="B120" s="34" t="s">
        <v>270</v>
      </c>
      <c r="C120" s="18">
        <v>160</v>
      </c>
      <c r="D120" s="19" t="s">
        <v>38</v>
      </c>
      <c r="E120" s="20">
        <v>26681.29</v>
      </c>
      <c r="F120" s="21">
        <v>4269006</v>
      </c>
      <c r="G120" s="22">
        <v>160</v>
      </c>
      <c r="H120" s="21">
        <f>ROUND(G120*E120,0)</f>
        <v>4269006</v>
      </c>
      <c r="I120" s="21">
        <f>H120-F120</f>
        <v>0</v>
      </c>
      <c r="J120" s="23"/>
      <c r="K120" s="24" t="s">
        <v>337</v>
      </c>
      <c r="L120" s="35">
        <v>0</v>
      </c>
    </row>
    <row r="121" spans="1:12" s="26" customFormat="1" x14ac:dyDescent="0.25">
      <c r="A121" s="27" t="s">
        <v>29</v>
      </c>
      <c r="B121" s="33" t="s">
        <v>338</v>
      </c>
      <c r="C121" s="29"/>
      <c r="D121" s="30"/>
      <c r="E121" s="30"/>
      <c r="F121" s="31">
        <v>16524127</v>
      </c>
      <c r="G121" s="30"/>
      <c r="H121" s="29"/>
      <c r="I121" s="29"/>
      <c r="J121" s="30"/>
      <c r="K121" s="32" t="s">
        <v>339</v>
      </c>
      <c r="L121" s="29"/>
    </row>
    <row r="122" spans="1:12" x14ac:dyDescent="0.25">
      <c r="A122" s="16" t="s">
        <v>239</v>
      </c>
      <c r="B122" s="34" t="s">
        <v>340</v>
      </c>
      <c r="C122" s="18">
        <v>30.62</v>
      </c>
      <c r="D122" s="19" t="s">
        <v>214</v>
      </c>
      <c r="E122" s="20">
        <v>56660.36</v>
      </c>
      <c r="F122" s="21">
        <v>1734940</v>
      </c>
      <c r="G122" s="22">
        <v>30.62</v>
      </c>
      <c r="H122" s="21">
        <f>ROUND(G122*E122,0)</f>
        <v>1734940</v>
      </c>
      <c r="I122" s="21">
        <f>H122-F122</f>
        <v>0</v>
      </c>
      <c r="J122" s="23"/>
      <c r="K122" s="24" t="s">
        <v>341</v>
      </c>
      <c r="L122" s="35">
        <v>0</v>
      </c>
    </row>
    <row r="123" spans="1:12" x14ac:dyDescent="0.25">
      <c r="A123" s="16" t="s">
        <v>241</v>
      </c>
      <c r="B123" s="34" t="s">
        <v>342</v>
      </c>
      <c r="C123" s="18">
        <v>0</v>
      </c>
      <c r="D123" s="19" t="s">
        <v>38</v>
      </c>
      <c r="E123" s="20">
        <v>26681.29</v>
      </c>
      <c r="F123" s="21">
        <v>0</v>
      </c>
      <c r="G123" s="22">
        <v>0</v>
      </c>
      <c r="H123" s="21">
        <f>ROUND(G123*E123,0)</f>
        <v>0</v>
      </c>
      <c r="I123" s="21">
        <f>H123-F123</f>
        <v>0</v>
      </c>
      <c r="J123" s="23"/>
      <c r="K123" s="24" t="s">
        <v>343</v>
      </c>
      <c r="L123" s="35">
        <v>0</v>
      </c>
    </row>
    <row r="124" spans="1:12" x14ac:dyDescent="0.25">
      <c r="A124" s="16" t="s">
        <v>244</v>
      </c>
      <c r="B124" s="34" t="s">
        <v>344</v>
      </c>
      <c r="C124" s="18">
        <v>2.46</v>
      </c>
      <c r="D124" s="19" t="s">
        <v>214</v>
      </c>
      <c r="E124" s="20">
        <v>345522.98</v>
      </c>
      <c r="F124" s="21">
        <v>849987</v>
      </c>
      <c r="G124" s="22">
        <v>2.46</v>
      </c>
      <c r="H124" s="21">
        <f>ROUND(G124*E124,0)</f>
        <v>849987</v>
      </c>
      <c r="I124" s="21">
        <f>H124-F124</f>
        <v>0</v>
      </c>
      <c r="J124" s="23"/>
      <c r="K124" s="24" t="s">
        <v>345</v>
      </c>
      <c r="L124" s="35">
        <v>0</v>
      </c>
    </row>
    <row r="125" spans="1:12" x14ac:dyDescent="0.25">
      <c r="A125" s="16" t="s">
        <v>247</v>
      </c>
      <c r="B125" s="34" t="s">
        <v>346</v>
      </c>
      <c r="C125" s="18">
        <v>19.36</v>
      </c>
      <c r="D125" s="19" t="s">
        <v>214</v>
      </c>
      <c r="E125" s="20">
        <v>720000</v>
      </c>
      <c r="F125" s="21">
        <v>13939200</v>
      </c>
      <c r="G125" s="22">
        <v>19.36</v>
      </c>
      <c r="H125" s="21">
        <f>ROUND(G125*E125,0)</f>
        <v>13939200</v>
      </c>
      <c r="I125" s="21">
        <f>H125-F125</f>
        <v>0</v>
      </c>
      <c r="J125" s="23"/>
      <c r="K125" s="24" t="s">
        <v>347</v>
      </c>
      <c r="L125" s="35">
        <v>0</v>
      </c>
    </row>
    <row r="126" spans="1:12" x14ac:dyDescent="0.25">
      <c r="A126" s="16" t="s">
        <v>33</v>
      </c>
      <c r="B126" s="36" t="s">
        <v>348</v>
      </c>
      <c r="C126" s="18">
        <v>13.56</v>
      </c>
      <c r="D126" s="19" t="s">
        <v>229</v>
      </c>
      <c r="E126" s="20">
        <v>13176.23</v>
      </c>
      <c r="F126" s="21">
        <v>178670</v>
      </c>
      <c r="G126" s="22">
        <v>13.56</v>
      </c>
      <c r="H126" s="21">
        <f>ROUND(G126*E126,0)</f>
        <v>178670</v>
      </c>
      <c r="I126" s="21">
        <f>H126-F126</f>
        <v>0</v>
      </c>
      <c r="J126" s="23"/>
      <c r="K126" s="24" t="s">
        <v>349</v>
      </c>
      <c r="L126" s="35">
        <v>0</v>
      </c>
    </row>
    <row r="127" spans="1:12" s="26" customFormat="1" x14ac:dyDescent="0.25">
      <c r="A127" s="27" t="s">
        <v>36</v>
      </c>
      <c r="B127" s="33" t="s">
        <v>350</v>
      </c>
      <c r="C127" s="29"/>
      <c r="D127" s="30"/>
      <c r="E127" s="30"/>
      <c r="F127" s="31">
        <v>13717767</v>
      </c>
      <c r="G127" s="30"/>
      <c r="H127" s="29"/>
      <c r="I127" s="29"/>
      <c r="J127" s="30"/>
      <c r="K127" s="32" t="s">
        <v>351</v>
      </c>
      <c r="L127" s="29"/>
    </row>
    <row r="128" spans="1:12" x14ac:dyDescent="0.25">
      <c r="A128" s="16" t="s">
        <v>269</v>
      </c>
      <c r="B128" s="34" t="s">
        <v>258</v>
      </c>
      <c r="C128" s="18">
        <v>26.4</v>
      </c>
      <c r="D128" s="19" t="s">
        <v>23</v>
      </c>
      <c r="E128" s="20">
        <v>246976.42</v>
      </c>
      <c r="F128" s="21">
        <v>6520177</v>
      </c>
      <c r="G128" s="22">
        <v>26.4</v>
      </c>
      <c r="H128" s="21">
        <f>ROUND(G128*E128,0)</f>
        <v>6520177</v>
      </c>
      <c r="I128" s="21">
        <f>H128-F128</f>
        <v>0</v>
      </c>
      <c r="J128" s="23"/>
      <c r="K128" s="24" t="s">
        <v>352</v>
      </c>
      <c r="L128" s="35">
        <v>0</v>
      </c>
    </row>
    <row r="129" spans="1:12" x14ac:dyDescent="0.25">
      <c r="A129" s="16" t="s">
        <v>272</v>
      </c>
      <c r="B129" s="34" t="s">
        <v>353</v>
      </c>
      <c r="C129" s="18">
        <v>135.63</v>
      </c>
      <c r="D129" s="19" t="s">
        <v>229</v>
      </c>
      <c r="E129" s="20">
        <v>13176.23</v>
      </c>
      <c r="F129" s="21">
        <v>1787092</v>
      </c>
      <c r="G129" s="22">
        <v>135.63</v>
      </c>
      <c r="H129" s="21">
        <f>ROUND(G129*E129,0)</f>
        <v>1787092</v>
      </c>
      <c r="I129" s="21">
        <f>H129-F129</f>
        <v>0</v>
      </c>
      <c r="J129" s="23"/>
      <c r="K129" s="24" t="s">
        <v>354</v>
      </c>
      <c r="L129" s="35">
        <v>0</v>
      </c>
    </row>
    <row r="130" spans="1:12" x14ac:dyDescent="0.25">
      <c r="A130" s="16" t="s">
        <v>275</v>
      </c>
      <c r="B130" s="34" t="s">
        <v>355</v>
      </c>
      <c r="C130" s="18">
        <v>122.22</v>
      </c>
      <c r="D130" s="19" t="s">
        <v>229</v>
      </c>
      <c r="E130" s="20">
        <v>13176.23</v>
      </c>
      <c r="F130" s="21">
        <v>1610399</v>
      </c>
      <c r="G130" s="22">
        <v>122.22</v>
      </c>
      <c r="H130" s="21">
        <f>ROUND(G130*E130,0)</f>
        <v>1610399</v>
      </c>
      <c r="I130" s="21">
        <f>H130-F130</f>
        <v>0</v>
      </c>
      <c r="J130" s="23"/>
      <c r="K130" s="24" t="s">
        <v>356</v>
      </c>
      <c r="L130" s="35">
        <v>0</v>
      </c>
    </row>
    <row r="131" spans="1:12" x14ac:dyDescent="0.25">
      <c r="A131" s="16" t="s">
        <v>277</v>
      </c>
      <c r="B131" s="34" t="s">
        <v>334</v>
      </c>
      <c r="C131" s="18">
        <v>3.3</v>
      </c>
      <c r="D131" s="19" t="s">
        <v>214</v>
      </c>
      <c r="E131" s="20">
        <v>1151545.01</v>
      </c>
      <c r="F131" s="21">
        <v>3800099</v>
      </c>
      <c r="G131" s="22">
        <v>3.3</v>
      </c>
      <c r="H131" s="21">
        <f>ROUND(G131*E131,0)</f>
        <v>3800099</v>
      </c>
      <c r="I131" s="21">
        <f>H131-F131</f>
        <v>0</v>
      </c>
      <c r="J131" s="23"/>
      <c r="K131" s="24" t="s">
        <v>357</v>
      </c>
      <c r="L131" s="35">
        <v>0</v>
      </c>
    </row>
    <row r="132" spans="1:12" s="26" customFormat="1" x14ac:dyDescent="0.25">
      <c r="A132" s="27" t="s">
        <v>40</v>
      </c>
      <c r="B132" s="33" t="s">
        <v>358</v>
      </c>
      <c r="C132" s="29"/>
      <c r="D132" s="30"/>
      <c r="E132" s="30"/>
      <c r="F132" s="31">
        <v>9268204</v>
      </c>
      <c r="G132" s="30"/>
      <c r="H132" s="29"/>
      <c r="I132" s="29"/>
      <c r="J132" s="30"/>
      <c r="K132" s="32" t="s">
        <v>359</v>
      </c>
      <c r="L132" s="29"/>
    </row>
    <row r="133" spans="1:12" x14ac:dyDescent="0.25">
      <c r="A133" s="16" t="s">
        <v>281</v>
      </c>
      <c r="B133" s="34" t="s">
        <v>360</v>
      </c>
      <c r="C133" s="18">
        <v>10.05</v>
      </c>
      <c r="D133" s="19" t="s">
        <v>214</v>
      </c>
      <c r="E133" s="20">
        <v>124258.76</v>
      </c>
      <c r="F133" s="21">
        <v>1248800</v>
      </c>
      <c r="G133" s="22">
        <v>10.05</v>
      </c>
      <c r="H133" s="21">
        <f>ROUND(G133*E133,0)</f>
        <v>1248800</v>
      </c>
      <c r="I133" s="21">
        <f>H133-F133</f>
        <v>0</v>
      </c>
      <c r="J133" s="23"/>
      <c r="K133" s="24" t="s">
        <v>361</v>
      </c>
      <c r="L133" s="35">
        <v>0</v>
      </c>
    </row>
    <row r="134" spans="1:12" x14ac:dyDescent="0.25">
      <c r="A134" s="16" t="s">
        <v>284</v>
      </c>
      <c r="B134" s="34" t="s">
        <v>362</v>
      </c>
      <c r="C134" s="18">
        <v>10.05</v>
      </c>
      <c r="D134" s="19" t="s">
        <v>214</v>
      </c>
      <c r="E134" s="20">
        <v>53756.99</v>
      </c>
      <c r="F134" s="21">
        <v>540258</v>
      </c>
      <c r="G134" s="22">
        <v>10.05</v>
      </c>
      <c r="H134" s="21">
        <f>ROUND(G134*E134,0)</f>
        <v>540258</v>
      </c>
      <c r="I134" s="21">
        <f>H134-F134</f>
        <v>0</v>
      </c>
      <c r="J134" s="23"/>
      <c r="K134" s="24" t="s">
        <v>363</v>
      </c>
      <c r="L134" s="35">
        <v>0</v>
      </c>
    </row>
    <row r="135" spans="1:12" x14ac:dyDescent="0.25">
      <c r="A135" s="16" t="s">
        <v>286</v>
      </c>
      <c r="B135" s="34" t="s">
        <v>364</v>
      </c>
      <c r="C135" s="18">
        <v>2.79</v>
      </c>
      <c r="D135" s="19" t="s">
        <v>214</v>
      </c>
      <c r="E135" s="20">
        <v>345522.98</v>
      </c>
      <c r="F135" s="21">
        <v>964009</v>
      </c>
      <c r="G135" s="22">
        <v>2.79</v>
      </c>
      <c r="H135" s="21">
        <f>ROUND(G135*E135,0)</f>
        <v>964009</v>
      </c>
      <c r="I135" s="21">
        <f>H135-F135</f>
        <v>0</v>
      </c>
      <c r="J135" s="23"/>
      <c r="K135" s="24" t="s">
        <v>365</v>
      </c>
      <c r="L135" s="35">
        <v>0</v>
      </c>
    </row>
    <row r="136" spans="1:12" x14ac:dyDescent="0.25">
      <c r="A136" s="16" t="s">
        <v>288</v>
      </c>
      <c r="B136" s="34" t="s">
        <v>366</v>
      </c>
      <c r="C136" s="18">
        <v>3.91</v>
      </c>
      <c r="D136" s="19" t="s">
        <v>214</v>
      </c>
      <c r="E136" s="20">
        <v>1016530.97</v>
      </c>
      <c r="F136" s="21">
        <v>3974636</v>
      </c>
      <c r="G136" s="22">
        <v>3.91</v>
      </c>
      <c r="H136" s="21">
        <f>ROUND(G136*E136,0)</f>
        <v>3974636</v>
      </c>
      <c r="I136" s="21">
        <f>H136-F136</f>
        <v>0</v>
      </c>
      <c r="J136" s="23"/>
      <c r="K136" s="24" t="s">
        <v>367</v>
      </c>
      <c r="L136" s="35">
        <v>0</v>
      </c>
    </row>
    <row r="137" spans="1:12" x14ac:dyDescent="0.25">
      <c r="A137" s="16" t="s">
        <v>291</v>
      </c>
      <c r="B137" s="34" t="s">
        <v>250</v>
      </c>
      <c r="C137" s="18">
        <v>55.81</v>
      </c>
      <c r="D137" s="19" t="s">
        <v>23</v>
      </c>
      <c r="E137" s="20">
        <v>45520.53</v>
      </c>
      <c r="F137" s="21">
        <v>2540501</v>
      </c>
      <c r="G137" s="22">
        <v>55.81</v>
      </c>
      <c r="H137" s="21">
        <f>ROUND(G137*E137,0)</f>
        <v>2540501</v>
      </c>
      <c r="I137" s="21">
        <f>H137-F137</f>
        <v>0</v>
      </c>
      <c r="J137" s="23"/>
      <c r="K137" s="24" t="s">
        <v>368</v>
      </c>
      <c r="L137" s="35">
        <v>0</v>
      </c>
    </row>
    <row r="138" spans="1:12" s="26" customFormat="1" x14ac:dyDescent="0.25">
      <c r="A138" s="27" t="s">
        <v>140</v>
      </c>
      <c r="B138" s="33" t="s">
        <v>369</v>
      </c>
      <c r="C138" s="29"/>
      <c r="D138" s="30"/>
      <c r="E138" s="30"/>
      <c r="F138" s="31">
        <v>2501131</v>
      </c>
      <c r="G138" s="30"/>
      <c r="H138" s="29"/>
      <c r="I138" s="29"/>
      <c r="J138" s="30"/>
      <c r="K138" s="32" t="s">
        <v>370</v>
      </c>
      <c r="L138" s="29"/>
    </row>
    <row r="139" spans="1:12" x14ac:dyDescent="0.25">
      <c r="A139" s="16" t="s">
        <v>301</v>
      </c>
      <c r="B139" s="34" t="s">
        <v>371</v>
      </c>
      <c r="C139" s="18">
        <v>6.4</v>
      </c>
      <c r="D139" s="19" t="s">
        <v>23</v>
      </c>
      <c r="E139" s="20">
        <v>208190.98</v>
      </c>
      <c r="F139" s="21">
        <v>1332422</v>
      </c>
      <c r="G139" s="22">
        <v>6.4</v>
      </c>
      <c r="H139" s="21">
        <f>ROUND(G139*E139,0)</f>
        <v>1332422</v>
      </c>
      <c r="I139" s="21">
        <f>H139-F139</f>
        <v>0</v>
      </c>
      <c r="J139" s="23"/>
      <c r="K139" s="24" t="s">
        <v>372</v>
      </c>
      <c r="L139" s="35">
        <v>0</v>
      </c>
    </row>
    <row r="140" spans="1:12" x14ac:dyDescent="0.25">
      <c r="A140" s="16" t="s">
        <v>304</v>
      </c>
      <c r="B140" s="34" t="s">
        <v>373</v>
      </c>
      <c r="C140" s="18">
        <v>41.43</v>
      </c>
      <c r="D140" s="19" t="s">
        <v>229</v>
      </c>
      <c r="E140" s="20">
        <v>13176.23</v>
      </c>
      <c r="F140" s="21">
        <v>545891</v>
      </c>
      <c r="G140" s="22">
        <v>41.43</v>
      </c>
      <c r="H140" s="21">
        <f>ROUND(G140*E140,0)</f>
        <v>545891</v>
      </c>
      <c r="I140" s="21">
        <f>H140-F140</f>
        <v>0</v>
      </c>
      <c r="J140" s="23"/>
      <c r="K140" s="24" t="s">
        <v>374</v>
      </c>
      <c r="L140" s="35">
        <v>0</v>
      </c>
    </row>
    <row r="141" spans="1:12" x14ac:dyDescent="0.25">
      <c r="A141" s="16" t="s">
        <v>307</v>
      </c>
      <c r="B141" s="34" t="s">
        <v>375</v>
      </c>
      <c r="C141" s="18">
        <v>12.31</v>
      </c>
      <c r="D141" s="19" t="s">
        <v>229</v>
      </c>
      <c r="E141" s="20">
        <v>13176.23</v>
      </c>
      <c r="F141" s="21">
        <v>162200</v>
      </c>
      <c r="G141" s="22">
        <v>12.31</v>
      </c>
      <c r="H141" s="21">
        <f>ROUND(G141*E141,0)</f>
        <v>162200</v>
      </c>
      <c r="I141" s="21">
        <f>H141-F141</f>
        <v>0</v>
      </c>
      <c r="J141" s="23"/>
      <c r="K141" s="24" t="s">
        <v>376</v>
      </c>
      <c r="L141" s="35">
        <v>0</v>
      </c>
    </row>
    <row r="142" spans="1:12" x14ac:dyDescent="0.25">
      <c r="A142" s="16" t="s">
        <v>310</v>
      </c>
      <c r="B142" s="34" t="s">
        <v>377</v>
      </c>
      <c r="C142" s="18">
        <v>0.4</v>
      </c>
      <c r="D142" s="19" t="s">
        <v>214</v>
      </c>
      <c r="E142" s="20">
        <v>1151545.01</v>
      </c>
      <c r="F142" s="21">
        <v>460618</v>
      </c>
      <c r="G142" s="22">
        <v>0.4</v>
      </c>
      <c r="H142" s="21">
        <f>ROUND(G142*E142,0)</f>
        <v>460618</v>
      </c>
      <c r="I142" s="21">
        <f>H142-F142</f>
        <v>0</v>
      </c>
      <c r="J142" s="23"/>
      <c r="K142" s="24" t="s">
        <v>378</v>
      </c>
      <c r="L142" s="35">
        <v>0</v>
      </c>
    </row>
    <row r="143" spans="1:12" s="26" customFormat="1" x14ac:dyDescent="0.25">
      <c r="A143" s="27" t="s">
        <v>143</v>
      </c>
      <c r="B143" s="33" t="s">
        <v>379</v>
      </c>
      <c r="C143" s="29"/>
      <c r="D143" s="30"/>
      <c r="E143" s="30"/>
      <c r="F143" s="31">
        <v>10761217</v>
      </c>
      <c r="G143" s="30"/>
      <c r="H143" s="29"/>
      <c r="I143" s="29"/>
      <c r="J143" s="30"/>
      <c r="K143" s="32" t="s">
        <v>380</v>
      </c>
      <c r="L143" s="29"/>
    </row>
    <row r="144" spans="1:12" x14ac:dyDescent="0.25">
      <c r="A144" s="16" t="s">
        <v>381</v>
      </c>
      <c r="B144" s="34" t="s">
        <v>371</v>
      </c>
      <c r="C144" s="18">
        <v>28.64</v>
      </c>
      <c r="D144" s="19" t="s">
        <v>23</v>
      </c>
      <c r="E144" s="20">
        <v>208190.98</v>
      </c>
      <c r="F144" s="21">
        <v>5962590</v>
      </c>
      <c r="G144" s="22">
        <v>28.64</v>
      </c>
      <c r="H144" s="21">
        <f>ROUND(G144*E144,0)</f>
        <v>5962590</v>
      </c>
      <c r="I144" s="21">
        <f>H144-F144</f>
        <v>0</v>
      </c>
      <c r="J144" s="23"/>
      <c r="K144" s="24" t="s">
        <v>382</v>
      </c>
      <c r="L144" s="35">
        <v>0</v>
      </c>
    </row>
    <row r="145" spans="1:12" x14ac:dyDescent="0.25">
      <c r="A145" s="16" t="s">
        <v>383</v>
      </c>
      <c r="B145" s="34" t="s">
        <v>373</v>
      </c>
      <c r="C145" s="18">
        <v>151.12</v>
      </c>
      <c r="D145" s="19" t="s">
        <v>229</v>
      </c>
      <c r="E145" s="20">
        <v>13176.23</v>
      </c>
      <c r="F145" s="21">
        <v>1991192</v>
      </c>
      <c r="G145" s="22">
        <v>151.12</v>
      </c>
      <c r="H145" s="21">
        <f>ROUND(G145*E145,0)</f>
        <v>1991192</v>
      </c>
      <c r="I145" s="21">
        <f>H145-F145</f>
        <v>0</v>
      </c>
      <c r="J145" s="23"/>
      <c r="K145" s="24" t="s">
        <v>384</v>
      </c>
      <c r="L145" s="35">
        <v>0</v>
      </c>
    </row>
    <row r="146" spans="1:12" x14ac:dyDescent="0.25">
      <c r="A146" s="16" t="s">
        <v>385</v>
      </c>
      <c r="B146" s="34" t="s">
        <v>375</v>
      </c>
      <c r="C146" s="18">
        <v>56.63</v>
      </c>
      <c r="D146" s="19" t="s">
        <v>229</v>
      </c>
      <c r="E146" s="20">
        <v>13176.23</v>
      </c>
      <c r="F146" s="21">
        <v>746170</v>
      </c>
      <c r="G146" s="22">
        <v>56.63</v>
      </c>
      <c r="H146" s="21">
        <f>ROUND(G146*E146,0)</f>
        <v>746170</v>
      </c>
      <c r="I146" s="21">
        <f>H146-F146</f>
        <v>0</v>
      </c>
      <c r="J146" s="23"/>
      <c r="K146" s="24" t="s">
        <v>386</v>
      </c>
      <c r="L146" s="35">
        <v>0</v>
      </c>
    </row>
    <row r="147" spans="1:12" x14ac:dyDescent="0.25">
      <c r="A147" s="16" t="s">
        <v>387</v>
      </c>
      <c r="B147" s="34" t="s">
        <v>334</v>
      </c>
      <c r="C147" s="18">
        <v>1.79</v>
      </c>
      <c r="D147" s="19" t="s">
        <v>214</v>
      </c>
      <c r="E147" s="20">
        <v>1151545.01</v>
      </c>
      <c r="F147" s="21">
        <v>2061265</v>
      </c>
      <c r="G147" s="22">
        <v>1.79</v>
      </c>
      <c r="H147" s="21">
        <f>ROUND(G147*E147,0)</f>
        <v>2061265</v>
      </c>
      <c r="I147" s="21">
        <f>H147-F147</f>
        <v>0</v>
      </c>
      <c r="J147" s="23"/>
      <c r="K147" s="24" t="s">
        <v>388</v>
      </c>
      <c r="L147" s="35">
        <v>0</v>
      </c>
    </row>
    <row r="148" spans="1:12" s="26" customFormat="1" x14ac:dyDescent="0.25">
      <c r="A148" s="27" t="s">
        <v>146</v>
      </c>
      <c r="B148" s="33" t="s">
        <v>389</v>
      </c>
      <c r="C148" s="29"/>
      <c r="D148" s="30"/>
      <c r="E148" s="30"/>
      <c r="F148" s="31">
        <v>8654401</v>
      </c>
      <c r="G148" s="30"/>
      <c r="H148" s="29"/>
      <c r="I148" s="29"/>
      <c r="J148" s="30"/>
      <c r="K148" s="32" t="s">
        <v>390</v>
      </c>
      <c r="L148" s="29"/>
    </row>
    <row r="149" spans="1:12" x14ac:dyDescent="0.25">
      <c r="A149" s="16" t="s">
        <v>391</v>
      </c>
      <c r="B149" s="34" t="s">
        <v>392</v>
      </c>
      <c r="C149" s="18">
        <v>15.3</v>
      </c>
      <c r="D149" s="19" t="s">
        <v>23</v>
      </c>
      <c r="E149" s="20">
        <v>214925.5</v>
      </c>
      <c r="F149" s="21">
        <v>3288360</v>
      </c>
      <c r="G149" s="22">
        <v>15.3</v>
      </c>
      <c r="H149" s="21">
        <f>ROUND(G149*E149,0)</f>
        <v>3288360</v>
      </c>
      <c r="I149" s="21">
        <f>H149-F149</f>
        <v>0</v>
      </c>
      <c r="J149" s="23"/>
      <c r="K149" s="24" t="s">
        <v>393</v>
      </c>
      <c r="L149" s="35">
        <v>0</v>
      </c>
    </row>
    <row r="150" spans="1:12" x14ac:dyDescent="0.25">
      <c r="A150" s="16" t="s">
        <v>394</v>
      </c>
      <c r="B150" s="34" t="s">
        <v>353</v>
      </c>
      <c r="C150" s="18">
        <v>104.81</v>
      </c>
      <c r="D150" s="19" t="s">
        <v>229</v>
      </c>
      <c r="E150" s="20">
        <v>13176.23</v>
      </c>
      <c r="F150" s="21">
        <v>1381001</v>
      </c>
      <c r="G150" s="22">
        <v>104.81</v>
      </c>
      <c r="H150" s="21">
        <f>ROUND(G150*E150,0)</f>
        <v>1381001</v>
      </c>
      <c r="I150" s="21">
        <f>H150-F150</f>
        <v>0</v>
      </c>
      <c r="J150" s="23"/>
      <c r="K150" s="24" t="s">
        <v>395</v>
      </c>
      <c r="L150" s="35">
        <v>0</v>
      </c>
    </row>
    <row r="151" spans="1:12" x14ac:dyDescent="0.25">
      <c r="A151" s="16" t="s">
        <v>396</v>
      </c>
      <c r="B151" s="34" t="s">
        <v>355</v>
      </c>
      <c r="C151" s="18">
        <v>94.44</v>
      </c>
      <c r="D151" s="19" t="s">
        <v>229</v>
      </c>
      <c r="E151" s="20">
        <v>13176.23</v>
      </c>
      <c r="F151" s="21">
        <v>1244363</v>
      </c>
      <c r="G151" s="22">
        <v>94.44</v>
      </c>
      <c r="H151" s="21">
        <f>ROUND(G151*E151,0)</f>
        <v>1244363</v>
      </c>
      <c r="I151" s="21">
        <f>H151-F151</f>
        <v>0</v>
      </c>
      <c r="J151" s="23"/>
      <c r="K151" s="24" t="s">
        <v>397</v>
      </c>
      <c r="L151" s="35">
        <v>0</v>
      </c>
    </row>
    <row r="152" spans="1:12" x14ac:dyDescent="0.25">
      <c r="A152" s="16" t="s">
        <v>398</v>
      </c>
      <c r="B152" s="34" t="s">
        <v>334</v>
      </c>
      <c r="C152" s="18">
        <v>2.38</v>
      </c>
      <c r="D152" s="19" t="s">
        <v>214</v>
      </c>
      <c r="E152" s="20">
        <v>1151545.01</v>
      </c>
      <c r="F152" s="21">
        <v>2740677</v>
      </c>
      <c r="G152" s="22">
        <v>2.38</v>
      </c>
      <c r="H152" s="21">
        <f>ROUND(G152*E152,0)</f>
        <v>2740677</v>
      </c>
      <c r="I152" s="21">
        <f>H152-F152</f>
        <v>0</v>
      </c>
      <c r="J152" s="23"/>
      <c r="K152" s="24" t="s">
        <v>399</v>
      </c>
      <c r="L152" s="35">
        <v>0</v>
      </c>
    </row>
    <row r="153" spans="1:12" s="26" customFormat="1" x14ac:dyDescent="0.25">
      <c r="A153" s="27" t="s">
        <v>150</v>
      </c>
      <c r="B153" s="33" t="s">
        <v>400</v>
      </c>
      <c r="C153" s="29"/>
      <c r="D153" s="30"/>
      <c r="E153" s="30"/>
      <c r="F153" s="31">
        <v>3512631</v>
      </c>
      <c r="G153" s="30"/>
      <c r="H153" s="29"/>
      <c r="I153" s="29"/>
      <c r="J153" s="30"/>
      <c r="K153" s="32" t="s">
        <v>401</v>
      </c>
      <c r="L153" s="29"/>
    </row>
    <row r="154" spans="1:12" x14ac:dyDescent="0.25">
      <c r="A154" s="16" t="s">
        <v>153</v>
      </c>
      <c r="B154" s="34" t="s">
        <v>392</v>
      </c>
      <c r="C154" s="18">
        <v>9</v>
      </c>
      <c r="D154" s="19" t="s">
        <v>23</v>
      </c>
      <c r="E154" s="20">
        <v>214925.5</v>
      </c>
      <c r="F154" s="21">
        <v>1934330</v>
      </c>
      <c r="G154" s="22">
        <v>9</v>
      </c>
      <c r="H154" s="21">
        <f>ROUND(G154*E154,0)</f>
        <v>1934330</v>
      </c>
      <c r="I154" s="21">
        <f>H154-F154</f>
        <v>0</v>
      </c>
      <c r="J154" s="23"/>
      <c r="K154" s="24" t="s">
        <v>402</v>
      </c>
      <c r="L154" s="35">
        <v>0</v>
      </c>
    </row>
    <row r="155" spans="1:12" x14ac:dyDescent="0.25">
      <c r="A155" s="16" t="s">
        <v>157</v>
      </c>
      <c r="B155" s="34" t="s">
        <v>353</v>
      </c>
      <c r="C155" s="18">
        <v>30.83</v>
      </c>
      <c r="D155" s="19" t="s">
        <v>229</v>
      </c>
      <c r="E155" s="20">
        <v>13176.23</v>
      </c>
      <c r="F155" s="21">
        <v>406223</v>
      </c>
      <c r="G155" s="22">
        <v>30.83</v>
      </c>
      <c r="H155" s="21">
        <f>ROUND(G155*E155,0)</f>
        <v>406223</v>
      </c>
      <c r="I155" s="21">
        <f>H155-F155</f>
        <v>0</v>
      </c>
      <c r="J155" s="23"/>
      <c r="K155" s="24" t="s">
        <v>403</v>
      </c>
      <c r="L155" s="35">
        <v>0</v>
      </c>
    </row>
    <row r="156" spans="1:12" x14ac:dyDescent="0.25">
      <c r="A156" s="16" t="s">
        <v>160</v>
      </c>
      <c r="B156" s="34" t="s">
        <v>355</v>
      </c>
      <c r="C156" s="18">
        <v>27.777</v>
      </c>
      <c r="D156" s="19" t="s">
        <v>229</v>
      </c>
      <c r="E156" s="20">
        <v>13176.23</v>
      </c>
      <c r="F156" s="21">
        <v>365996</v>
      </c>
      <c r="G156" s="22">
        <v>27.777</v>
      </c>
      <c r="H156" s="21">
        <f>ROUND(G156*E156,0)</f>
        <v>365996</v>
      </c>
      <c r="I156" s="21">
        <f>H156-F156</f>
        <v>0</v>
      </c>
      <c r="J156" s="23"/>
      <c r="K156" s="24" t="s">
        <v>404</v>
      </c>
      <c r="L156" s="35">
        <v>0</v>
      </c>
    </row>
    <row r="157" spans="1:12" x14ac:dyDescent="0.25">
      <c r="A157" s="16" t="s">
        <v>163</v>
      </c>
      <c r="B157" s="34" t="s">
        <v>334</v>
      </c>
      <c r="C157" s="18">
        <v>0.7</v>
      </c>
      <c r="D157" s="19" t="s">
        <v>214</v>
      </c>
      <c r="E157" s="20">
        <v>1151545.01</v>
      </c>
      <c r="F157" s="21">
        <v>806082</v>
      </c>
      <c r="G157" s="22">
        <v>0.7</v>
      </c>
      <c r="H157" s="21">
        <f>ROUND(G157*E157,0)</f>
        <v>806082</v>
      </c>
      <c r="I157" s="21">
        <f>H157-F157</f>
        <v>0</v>
      </c>
      <c r="J157" s="23"/>
      <c r="K157" s="24" t="s">
        <v>405</v>
      </c>
      <c r="L157" s="35">
        <v>0</v>
      </c>
    </row>
    <row r="158" spans="1:12" s="26" customFormat="1" x14ac:dyDescent="0.25">
      <c r="A158" s="27" t="s">
        <v>175</v>
      </c>
      <c r="B158" s="33" t="s">
        <v>406</v>
      </c>
      <c r="C158" s="29"/>
      <c r="D158" s="30"/>
      <c r="E158" s="30"/>
      <c r="F158" s="31">
        <v>703564</v>
      </c>
      <c r="G158" s="30"/>
      <c r="H158" s="29"/>
      <c r="I158" s="29"/>
      <c r="J158" s="30"/>
      <c r="K158" s="32" t="s">
        <v>407</v>
      </c>
      <c r="L158" s="29"/>
    </row>
    <row r="159" spans="1:12" x14ac:dyDescent="0.25">
      <c r="A159" s="16" t="s">
        <v>178</v>
      </c>
      <c r="B159" s="34" t="s">
        <v>392</v>
      </c>
      <c r="C159" s="18">
        <v>1.8</v>
      </c>
      <c r="D159" s="19" t="s">
        <v>23</v>
      </c>
      <c r="E159" s="20">
        <v>214925.5</v>
      </c>
      <c r="F159" s="21">
        <v>386866</v>
      </c>
      <c r="G159" s="22">
        <v>1.8</v>
      </c>
      <c r="H159" s="21">
        <f>ROUND(G159*E159,0)</f>
        <v>386866</v>
      </c>
      <c r="I159" s="21">
        <f>H159-F159</f>
        <v>0</v>
      </c>
      <c r="J159" s="23"/>
      <c r="K159" s="24" t="s">
        <v>408</v>
      </c>
      <c r="L159" s="35">
        <v>0</v>
      </c>
    </row>
    <row r="160" spans="1:12" x14ac:dyDescent="0.25">
      <c r="A160" s="16" t="s">
        <v>181</v>
      </c>
      <c r="B160" s="34" t="s">
        <v>409</v>
      </c>
      <c r="C160" s="18">
        <v>9.86</v>
      </c>
      <c r="D160" s="19" t="s">
        <v>229</v>
      </c>
      <c r="E160" s="20">
        <v>13176.23</v>
      </c>
      <c r="F160" s="21">
        <v>129917</v>
      </c>
      <c r="G160" s="22">
        <v>9.86</v>
      </c>
      <c r="H160" s="21">
        <f>ROUND(G160*E160,0)</f>
        <v>129917</v>
      </c>
      <c r="I160" s="21">
        <f>H160-F160</f>
        <v>0</v>
      </c>
      <c r="J160" s="23"/>
      <c r="K160" s="24" t="s">
        <v>410</v>
      </c>
      <c r="L160" s="35">
        <v>0</v>
      </c>
    </row>
    <row r="161" spans="1:12" x14ac:dyDescent="0.25">
      <c r="A161" s="16" t="s">
        <v>411</v>
      </c>
      <c r="B161" s="34" t="s">
        <v>355</v>
      </c>
      <c r="C161" s="18">
        <v>6.31</v>
      </c>
      <c r="D161" s="19" t="s">
        <v>229</v>
      </c>
      <c r="E161" s="20">
        <v>13176.23</v>
      </c>
      <c r="F161" s="21">
        <v>83142</v>
      </c>
      <c r="G161" s="22">
        <v>6.31</v>
      </c>
      <c r="H161" s="21">
        <f>ROUND(G161*E161,0)</f>
        <v>83142</v>
      </c>
      <c r="I161" s="21">
        <f>H161-F161</f>
        <v>0</v>
      </c>
      <c r="J161" s="23"/>
      <c r="K161" s="24" t="s">
        <v>412</v>
      </c>
      <c r="L161" s="35">
        <v>0</v>
      </c>
    </row>
    <row r="162" spans="1:12" x14ac:dyDescent="0.25">
      <c r="A162" s="16" t="s">
        <v>413</v>
      </c>
      <c r="B162" s="34" t="s">
        <v>334</v>
      </c>
      <c r="C162" s="18">
        <v>0.09</v>
      </c>
      <c r="D162" s="19" t="s">
        <v>214</v>
      </c>
      <c r="E162" s="20">
        <v>1151545.01</v>
      </c>
      <c r="F162" s="21">
        <v>103639</v>
      </c>
      <c r="G162" s="22">
        <v>0.09</v>
      </c>
      <c r="H162" s="21">
        <f>ROUND(G162*E162,0)</f>
        <v>103639</v>
      </c>
      <c r="I162" s="21">
        <f>H162-F162</f>
        <v>0</v>
      </c>
      <c r="J162" s="23"/>
      <c r="K162" s="24" t="s">
        <v>414</v>
      </c>
      <c r="L162" s="35">
        <v>0</v>
      </c>
    </row>
    <row r="163" spans="1:12" s="26" customFormat="1" x14ac:dyDescent="0.25">
      <c r="A163" s="27" t="s">
        <v>184</v>
      </c>
      <c r="B163" s="33" t="s">
        <v>415</v>
      </c>
      <c r="C163" s="29"/>
      <c r="D163" s="30"/>
      <c r="E163" s="30"/>
      <c r="F163" s="31">
        <v>6157736</v>
      </c>
      <c r="G163" s="30"/>
      <c r="H163" s="29"/>
      <c r="I163" s="29"/>
      <c r="J163" s="30"/>
      <c r="K163" s="32" t="s">
        <v>416</v>
      </c>
      <c r="L163" s="29"/>
    </row>
    <row r="164" spans="1:12" s="26" customFormat="1" x14ac:dyDescent="0.25">
      <c r="A164" s="27" t="s">
        <v>417</v>
      </c>
      <c r="B164" s="37" t="s">
        <v>418</v>
      </c>
      <c r="C164" s="29"/>
      <c r="D164" s="30"/>
      <c r="E164" s="30"/>
      <c r="F164" s="31">
        <v>4736768</v>
      </c>
      <c r="G164" s="30"/>
      <c r="H164" s="29"/>
      <c r="I164" s="29"/>
      <c r="J164" s="30"/>
      <c r="K164" s="32" t="s">
        <v>419</v>
      </c>
      <c r="L164" s="29"/>
    </row>
    <row r="165" spans="1:12" x14ac:dyDescent="0.25">
      <c r="A165" s="16" t="s">
        <v>420</v>
      </c>
      <c r="B165" s="38" t="s">
        <v>392</v>
      </c>
      <c r="C165" s="18">
        <v>12.35</v>
      </c>
      <c r="D165" s="19" t="s">
        <v>23</v>
      </c>
      <c r="E165" s="20">
        <v>214925.5</v>
      </c>
      <c r="F165" s="21">
        <v>2654330</v>
      </c>
      <c r="G165" s="22">
        <v>12.35</v>
      </c>
      <c r="H165" s="21">
        <f>ROUND(G165*E165,0)</f>
        <v>2654330</v>
      </c>
      <c r="I165" s="21">
        <f>H165-F165</f>
        <v>0</v>
      </c>
      <c r="J165" s="23"/>
      <c r="K165" s="24" t="s">
        <v>421</v>
      </c>
      <c r="L165" s="35">
        <v>0</v>
      </c>
    </row>
    <row r="166" spans="1:12" x14ac:dyDescent="0.25">
      <c r="A166" s="16" t="s">
        <v>422</v>
      </c>
      <c r="B166" s="38" t="s">
        <v>423</v>
      </c>
      <c r="C166" s="18">
        <v>57.82</v>
      </c>
      <c r="D166" s="19" t="s">
        <v>229</v>
      </c>
      <c r="E166" s="20">
        <v>13176.23</v>
      </c>
      <c r="F166" s="21">
        <v>761850</v>
      </c>
      <c r="G166" s="22">
        <v>57.82</v>
      </c>
      <c r="H166" s="21">
        <f>ROUND(G166*E166,0)</f>
        <v>761850</v>
      </c>
      <c r="I166" s="21">
        <f>H166-F166</f>
        <v>0</v>
      </c>
      <c r="J166" s="23"/>
      <c r="K166" s="24" t="s">
        <v>424</v>
      </c>
      <c r="L166" s="35">
        <v>0</v>
      </c>
    </row>
    <row r="167" spans="1:12" x14ac:dyDescent="0.25">
      <c r="A167" s="16" t="s">
        <v>425</v>
      </c>
      <c r="B167" s="38" t="s">
        <v>426</v>
      </c>
      <c r="C167" s="18">
        <v>41.67</v>
      </c>
      <c r="D167" s="19" t="s">
        <v>229</v>
      </c>
      <c r="E167" s="20">
        <v>13176.23</v>
      </c>
      <c r="F167" s="21">
        <v>549053</v>
      </c>
      <c r="G167" s="22">
        <v>41.67</v>
      </c>
      <c r="H167" s="21">
        <f>ROUND(G167*E167,0)</f>
        <v>549053</v>
      </c>
      <c r="I167" s="21">
        <f>H167-F167</f>
        <v>0</v>
      </c>
      <c r="J167" s="23"/>
      <c r="K167" s="24" t="s">
        <v>427</v>
      </c>
      <c r="L167" s="35">
        <v>0</v>
      </c>
    </row>
    <row r="168" spans="1:12" x14ac:dyDescent="0.25">
      <c r="A168" s="16" t="s">
        <v>428</v>
      </c>
      <c r="B168" s="38" t="s">
        <v>429</v>
      </c>
      <c r="C168" s="18">
        <v>0.67</v>
      </c>
      <c r="D168" s="19" t="s">
        <v>214</v>
      </c>
      <c r="E168" s="20">
        <v>1151545.01</v>
      </c>
      <c r="F168" s="21">
        <v>771535</v>
      </c>
      <c r="G168" s="22">
        <v>0.67</v>
      </c>
      <c r="H168" s="21">
        <f>ROUND(G168*E168,0)</f>
        <v>771535</v>
      </c>
      <c r="I168" s="21">
        <f>H168-F168</f>
        <v>0</v>
      </c>
      <c r="J168" s="23"/>
      <c r="K168" s="24" t="s">
        <v>430</v>
      </c>
      <c r="L168" s="35">
        <v>0</v>
      </c>
    </row>
    <row r="169" spans="1:12" s="26" customFormat="1" x14ac:dyDescent="0.25">
      <c r="A169" s="27" t="s">
        <v>431</v>
      </c>
      <c r="B169" s="37" t="s">
        <v>432</v>
      </c>
      <c r="C169" s="29"/>
      <c r="D169" s="30"/>
      <c r="E169" s="30"/>
      <c r="F169" s="31">
        <v>1420968</v>
      </c>
      <c r="G169" s="30"/>
      <c r="H169" s="29"/>
      <c r="I169" s="29"/>
      <c r="J169" s="30"/>
      <c r="K169" s="32" t="s">
        <v>433</v>
      </c>
      <c r="L169" s="29"/>
    </row>
    <row r="170" spans="1:12" x14ac:dyDescent="0.25">
      <c r="A170" s="16" t="s">
        <v>434</v>
      </c>
      <c r="B170" s="38" t="s">
        <v>371</v>
      </c>
      <c r="C170" s="18">
        <v>4.2</v>
      </c>
      <c r="D170" s="19" t="s">
        <v>23</v>
      </c>
      <c r="E170" s="20">
        <v>208190.98</v>
      </c>
      <c r="F170" s="21">
        <v>874402</v>
      </c>
      <c r="G170" s="22">
        <v>4.2</v>
      </c>
      <c r="H170" s="21">
        <f>ROUND(G170*E170,0)</f>
        <v>874402</v>
      </c>
      <c r="I170" s="21">
        <f>H170-F170</f>
        <v>0</v>
      </c>
      <c r="J170" s="23"/>
      <c r="K170" s="24" t="s">
        <v>435</v>
      </c>
      <c r="L170" s="35">
        <v>0</v>
      </c>
    </row>
    <row r="171" spans="1:12" x14ac:dyDescent="0.25">
      <c r="A171" s="16" t="s">
        <v>436</v>
      </c>
      <c r="B171" s="38" t="s">
        <v>409</v>
      </c>
      <c r="C171" s="18">
        <v>16.28</v>
      </c>
      <c r="D171" s="19" t="s">
        <v>229</v>
      </c>
      <c r="E171" s="20">
        <v>13176.23</v>
      </c>
      <c r="F171" s="21">
        <v>214509</v>
      </c>
      <c r="G171" s="22">
        <v>16.28</v>
      </c>
      <c r="H171" s="21">
        <f>ROUND(G171*E171,0)</f>
        <v>214509</v>
      </c>
      <c r="I171" s="21">
        <f>H171-F171</f>
        <v>0</v>
      </c>
      <c r="J171" s="23"/>
      <c r="K171" s="24" t="s">
        <v>437</v>
      </c>
      <c r="L171" s="35">
        <v>0</v>
      </c>
    </row>
    <row r="172" spans="1:12" x14ac:dyDescent="0.25">
      <c r="A172" s="16" t="s">
        <v>438</v>
      </c>
      <c r="B172" s="38" t="s">
        <v>426</v>
      </c>
      <c r="C172" s="18">
        <v>9.47</v>
      </c>
      <c r="D172" s="19" t="s">
        <v>229</v>
      </c>
      <c r="E172" s="20">
        <v>13176.23</v>
      </c>
      <c r="F172" s="21">
        <v>124779</v>
      </c>
      <c r="G172" s="22">
        <v>9.47</v>
      </c>
      <c r="H172" s="21">
        <f>ROUND(G172*E172,0)</f>
        <v>124779</v>
      </c>
      <c r="I172" s="21">
        <f>H172-F172</f>
        <v>0</v>
      </c>
      <c r="J172" s="23"/>
      <c r="K172" s="24" t="s">
        <v>439</v>
      </c>
      <c r="L172" s="35">
        <v>0</v>
      </c>
    </row>
    <row r="173" spans="1:12" x14ac:dyDescent="0.25">
      <c r="A173" s="16" t="s">
        <v>440</v>
      </c>
      <c r="B173" s="38" t="s">
        <v>429</v>
      </c>
      <c r="C173" s="18">
        <v>0.18</v>
      </c>
      <c r="D173" s="19" t="s">
        <v>214</v>
      </c>
      <c r="E173" s="20">
        <v>1151545.01</v>
      </c>
      <c r="F173" s="21">
        <v>207278</v>
      </c>
      <c r="G173" s="22">
        <v>0.18</v>
      </c>
      <c r="H173" s="21">
        <f>ROUND(G173*E173,0)</f>
        <v>207278</v>
      </c>
      <c r="I173" s="21">
        <f>H173-F173</f>
        <v>0</v>
      </c>
      <c r="J173" s="23"/>
      <c r="K173" s="24" t="s">
        <v>441</v>
      </c>
      <c r="L173" s="35">
        <v>0</v>
      </c>
    </row>
    <row r="174" spans="1:12" s="26" customFormat="1" x14ac:dyDescent="0.25">
      <c r="A174" s="27" t="s">
        <v>442</v>
      </c>
      <c r="B174" s="28" t="s">
        <v>443</v>
      </c>
      <c r="C174" s="29"/>
      <c r="D174" s="30"/>
      <c r="E174" s="30"/>
      <c r="F174" s="31">
        <v>127415915</v>
      </c>
      <c r="G174" s="30"/>
      <c r="H174" s="29"/>
      <c r="I174" s="29"/>
      <c r="J174" s="30"/>
      <c r="K174" s="32" t="s">
        <v>444</v>
      </c>
      <c r="L174" s="29"/>
    </row>
    <row r="175" spans="1:12" x14ac:dyDescent="0.25">
      <c r="A175" s="16" t="s">
        <v>21</v>
      </c>
      <c r="B175" s="36" t="s">
        <v>445</v>
      </c>
      <c r="C175" s="18">
        <v>3.2</v>
      </c>
      <c r="D175" s="19" t="s">
        <v>23</v>
      </c>
      <c r="E175" s="20">
        <v>122466.89</v>
      </c>
      <c r="F175" s="21">
        <v>391894</v>
      </c>
      <c r="G175" s="22">
        <v>3.2</v>
      </c>
      <c r="H175" s="21">
        <f>ROUND(G175*E175,0)</f>
        <v>391894</v>
      </c>
      <c r="I175" s="21">
        <f>H175-F175</f>
        <v>0</v>
      </c>
      <c r="J175" s="23"/>
      <c r="K175" s="24" t="s">
        <v>446</v>
      </c>
      <c r="L175" s="35">
        <v>0</v>
      </c>
    </row>
    <row r="176" spans="1:12" x14ac:dyDescent="0.25">
      <c r="A176" s="16" t="s">
        <v>25</v>
      </c>
      <c r="B176" s="36" t="s">
        <v>447</v>
      </c>
      <c r="C176" s="18">
        <v>6.4</v>
      </c>
      <c r="D176" s="19" t="s">
        <v>23</v>
      </c>
      <c r="E176" s="20">
        <v>54647.67</v>
      </c>
      <c r="F176" s="21">
        <v>349745</v>
      </c>
      <c r="G176" s="22">
        <v>6.4</v>
      </c>
      <c r="H176" s="21">
        <f>ROUND(G176*E176,0)</f>
        <v>349745</v>
      </c>
      <c r="I176" s="21">
        <f>H176-F176</f>
        <v>0</v>
      </c>
      <c r="J176" s="23"/>
      <c r="K176" s="24" t="s">
        <v>448</v>
      </c>
      <c r="L176" s="35">
        <v>0</v>
      </c>
    </row>
    <row r="177" spans="1:12" x14ac:dyDescent="0.25">
      <c r="A177" s="16" t="s">
        <v>29</v>
      </c>
      <c r="B177" s="36" t="s">
        <v>250</v>
      </c>
      <c r="C177" s="18">
        <v>6.4</v>
      </c>
      <c r="D177" s="19" t="s">
        <v>23</v>
      </c>
      <c r="E177" s="20">
        <v>45520.53</v>
      </c>
      <c r="F177" s="21">
        <v>291331</v>
      </c>
      <c r="G177" s="22">
        <v>6.4</v>
      </c>
      <c r="H177" s="21">
        <f>ROUND(G177*E177,0)</f>
        <v>291331</v>
      </c>
      <c r="I177" s="21">
        <f>H177-F177</f>
        <v>0</v>
      </c>
      <c r="J177" s="23"/>
      <c r="K177" s="24" t="s">
        <v>449</v>
      </c>
      <c r="L177" s="35">
        <v>0</v>
      </c>
    </row>
    <row r="178" spans="1:12" x14ac:dyDescent="0.25">
      <c r="A178" s="16" t="s">
        <v>33</v>
      </c>
      <c r="B178" s="36" t="s">
        <v>450</v>
      </c>
      <c r="C178" s="18">
        <v>135.96</v>
      </c>
      <c r="D178" s="19" t="s">
        <v>23</v>
      </c>
      <c r="E178" s="20">
        <v>45520.53</v>
      </c>
      <c r="F178" s="21">
        <v>6188971</v>
      </c>
      <c r="G178" s="22">
        <v>135.96</v>
      </c>
      <c r="H178" s="21">
        <f>ROUND(G178*E178,0)</f>
        <v>6188971</v>
      </c>
      <c r="I178" s="21">
        <f>H178-F178</f>
        <v>0</v>
      </c>
      <c r="J178" s="23"/>
      <c r="K178" s="24" t="s">
        <v>451</v>
      </c>
      <c r="L178" s="35">
        <v>0</v>
      </c>
    </row>
    <row r="179" spans="1:12" x14ac:dyDescent="0.25">
      <c r="A179" s="16" t="s">
        <v>36</v>
      </c>
      <c r="B179" s="36" t="s">
        <v>452</v>
      </c>
      <c r="C179" s="18">
        <v>13.11</v>
      </c>
      <c r="D179" s="19" t="s">
        <v>23</v>
      </c>
      <c r="E179" s="20">
        <v>56201.8</v>
      </c>
      <c r="F179" s="21">
        <v>736806</v>
      </c>
      <c r="G179" s="22">
        <v>13.11</v>
      </c>
      <c r="H179" s="21">
        <f>ROUND(G179*E179,0)</f>
        <v>736806</v>
      </c>
      <c r="I179" s="21">
        <f>H179-F179</f>
        <v>0</v>
      </c>
      <c r="J179" s="23"/>
      <c r="K179" s="24" t="s">
        <v>453</v>
      </c>
      <c r="L179" s="35">
        <v>0</v>
      </c>
    </row>
    <row r="180" spans="1:12" s="26" customFormat="1" x14ac:dyDescent="0.25">
      <c r="A180" s="27" t="s">
        <v>40</v>
      </c>
      <c r="B180" s="33" t="s">
        <v>454</v>
      </c>
      <c r="C180" s="29"/>
      <c r="D180" s="30"/>
      <c r="E180" s="30"/>
      <c r="F180" s="31">
        <v>8615677</v>
      </c>
      <c r="G180" s="30"/>
      <c r="H180" s="29"/>
      <c r="I180" s="29"/>
      <c r="J180" s="30"/>
      <c r="K180" s="32" t="s">
        <v>455</v>
      </c>
      <c r="L180" s="29"/>
    </row>
    <row r="181" spans="1:12" x14ac:dyDescent="0.25">
      <c r="A181" s="16" t="s">
        <v>281</v>
      </c>
      <c r="B181" s="34" t="s">
        <v>456</v>
      </c>
      <c r="C181" s="18">
        <v>1.86</v>
      </c>
      <c r="D181" s="19" t="s">
        <v>214</v>
      </c>
      <c r="E181" s="20">
        <v>56660.36</v>
      </c>
      <c r="F181" s="21">
        <v>105388</v>
      </c>
      <c r="G181" s="22">
        <v>1.86</v>
      </c>
      <c r="H181" s="21">
        <f>ROUND(G181*E181,0)</f>
        <v>105388</v>
      </c>
      <c r="I181" s="21">
        <f>H181-F181</f>
        <v>0</v>
      </c>
      <c r="J181" s="23"/>
      <c r="K181" s="24" t="s">
        <v>457</v>
      </c>
      <c r="L181" s="35">
        <v>0</v>
      </c>
    </row>
    <row r="182" spans="1:12" x14ac:dyDescent="0.25">
      <c r="A182" s="16" t="s">
        <v>284</v>
      </c>
      <c r="B182" s="34" t="s">
        <v>458</v>
      </c>
      <c r="C182" s="18">
        <v>32.89</v>
      </c>
      <c r="D182" s="19" t="s">
        <v>23</v>
      </c>
      <c r="E182" s="20">
        <v>122466.89</v>
      </c>
      <c r="F182" s="21">
        <v>4027936</v>
      </c>
      <c r="G182" s="22">
        <v>32.89</v>
      </c>
      <c r="H182" s="21">
        <f>ROUND(G182*E182,0)</f>
        <v>4027936</v>
      </c>
      <c r="I182" s="21">
        <f>H182-F182</f>
        <v>0</v>
      </c>
      <c r="J182" s="23"/>
      <c r="K182" s="24" t="s">
        <v>459</v>
      </c>
      <c r="L182" s="35">
        <v>0</v>
      </c>
    </row>
    <row r="183" spans="1:12" x14ac:dyDescent="0.25">
      <c r="A183" s="16" t="s">
        <v>286</v>
      </c>
      <c r="B183" s="34" t="s">
        <v>460</v>
      </c>
      <c r="C183" s="18">
        <v>2.88</v>
      </c>
      <c r="D183" s="19" t="s">
        <v>214</v>
      </c>
      <c r="E183" s="20">
        <v>124258.76</v>
      </c>
      <c r="F183" s="21">
        <v>357865</v>
      </c>
      <c r="G183" s="22">
        <v>2.88</v>
      </c>
      <c r="H183" s="21">
        <f>ROUND(G183*E183,0)</f>
        <v>357865</v>
      </c>
      <c r="I183" s="21">
        <f>H183-F183</f>
        <v>0</v>
      </c>
      <c r="J183" s="23"/>
      <c r="K183" s="24" t="s">
        <v>461</v>
      </c>
      <c r="L183" s="35">
        <v>0</v>
      </c>
    </row>
    <row r="184" spans="1:12" x14ac:dyDescent="0.25">
      <c r="A184" s="16" t="s">
        <v>288</v>
      </c>
      <c r="B184" s="34" t="s">
        <v>462</v>
      </c>
      <c r="C184" s="18">
        <v>0.7</v>
      </c>
      <c r="D184" s="19" t="s">
        <v>214</v>
      </c>
      <c r="E184" s="20">
        <v>345522.98</v>
      </c>
      <c r="F184" s="21">
        <v>241866</v>
      </c>
      <c r="G184" s="22">
        <v>0.7</v>
      </c>
      <c r="H184" s="21">
        <f>ROUND(G184*E184,0)</f>
        <v>241866</v>
      </c>
      <c r="I184" s="21">
        <f>H184-F184</f>
        <v>0</v>
      </c>
      <c r="J184" s="23"/>
      <c r="K184" s="24" t="s">
        <v>463</v>
      </c>
      <c r="L184" s="35">
        <v>0</v>
      </c>
    </row>
    <row r="185" spans="1:12" x14ac:dyDescent="0.25">
      <c r="A185" s="16" t="s">
        <v>291</v>
      </c>
      <c r="B185" s="34" t="s">
        <v>366</v>
      </c>
      <c r="C185" s="18">
        <v>1.63</v>
      </c>
      <c r="D185" s="19" t="s">
        <v>214</v>
      </c>
      <c r="E185" s="20">
        <v>1016530.97</v>
      </c>
      <c r="F185" s="21">
        <v>1656946</v>
      </c>
      <c r="G185" s="22">
        <v>1.63</v>
      </c>
      <c r="H185" s="21">
        <f>ROUND(G185*E185,0)</f>
        <v>1656946</v>
      </c>
      <c r="I185" s="21">
        <f>H185-F185</f>
        <v>0</v>
      </c>
      <c r="J185" s="23"/>
      <c r="K185" s="24" t="s">
        <v>464</v>
      </c>
      <c r="L185" s="35">
        <v>0</v>
      </c>
    </row>
    <row r="186" spans="1:12" x14ac:dyDescent="0.25">
      <c r="A186" s="16" t="s">
        <v>294</v>
      </c>
      <c r="B186" s="34" t="s">
        <v>465</v>
      </c>
      <c r="C186" s="18">
        <v>11.64</v>
      </c>
      <c r="D186" s="19" t="s">
        <v>23</v>
      </c>
      <c r="E186" s="20">
        <v>54647.67</v>
      </c>
      <c r="F186" s="21">
        <v>636099</v>
      </c>
      <c r="G186" s="22">
        <v>11.64</v>
      </c>
      <c r="H186" s="21">
        <f>ROUND(G186*E186,0)</f>
        <v>636099</v>
      </c>
      <c r="I186" s="21">
        <f>H186-F186</f>
        <v>0</v>
      </c>
      <c r="J186" s="23"/>
      <c r="K186" s="24" t="s">
        <v>466</v>
      </c>
      <c r="L186" s="35">
        <v>0</v>
      </c>
    </row>
    <row r="187" spans="1:12" x14ac:dyDescent="0.25">
      <c r="A187" s="16" t="s">
        <v>296</v>
      </c>
      <c r="B187" s="34" t="s">
        <v>250</v>
      </c>
      <c r="C187" s="18">
        <v>34.92</v>
      </c>
      <c r="D187" s="19" t="s">
        <v>23</v>
      </c>
      <c r="E187" s="20">
        <v>45520.53</v>
      </c>
      <c r="F187" s="21">
        <v>1589577</v>
      </c>
      <c r="G187" s="22">
        <v>34.92</v>
      </c>
      <c r="H187" s="21">
        <f>ROUND(G187*E187,0)</f>
        <v>1589577</v>
      </c>
      <c r="I187" s="21">
        <f>H187-F187</f>
        <v>0</v>
      </c>
      <c r="J187" s="23"/>
      <c r="K187" s="24" t="s">
        <v>467</v>
      </c>
      <c r="L187" s="35">
        <v>0</v>
      </c>
    </row>
    <row r="188" spans="1:12" s="26" customFormat="1" x14ac:dyDescent="0.25">
      <c r="A188" s="27" t="s">
        <v>140</v>
      </c>
      <c r="B188" s="33" t="s">
        <v>468</v>
      </c>
      <c r="C188" s="29"/>
      <c r="D188" s="30"/>
      <c r="E188" s="30"/>
      <c r="F188" s="31">
        <v>52494634</v>
      </c>
      <c r="G188" s="30"/>
      <c r="H188" s="29"/>
      <c r="I188" s="29"/>
      <c r="J188" s="30"/>
      <c r="K188" s="32" t="s">
        <v>469</v>
      </c>
      <c r="L188" s="29"/>
    </row>
    <row r="189" spans="1:12" x14ac:dyDescent="0.25">
      <c r="A189" s="16" t="s">
        <v>301</v>
      </c>
      <c r="B189" s="34" t="s">
        <v>470</v>
      </c>
      <c r="C189" s="18">
        <v>90.61</v>
      </c>
      <c r="D189" s="19" t="s">
        <v>23</v>
      </c>
      <c r="E189" s="20">
        <v>342098.29</v>
      </c>
      <c r="F189" s="21">
        <v>30997526</v>
      </c>
      <c r="G189" s="22">
        <v>90.61</v>
      </c>
      <c r="H189" s="21">
        <f>ROUND(G189*E189,0)</f>
        <v>30997526</v>
      </c>
      <c r="I189" s="21">
        <f>H189-F189</f>
        <v>0</v>
      </c>
      <c r="J189" s="23"/>
      <c r="K189" s="24" t="s">
        <v>471</v>
      </c>
      <c r="L189" s="35">
        <v>0</v>
      </c>
    </row>
    <row r="190" spans="1:12" x14ac:dyDescent="0.25">
      <c r="A190" s="16" t="s">
        <v>304</v>
      </c>
      <c r="B190" s="34" t="s">
        <v>472</v>
      </c>
      <c r="C190" s="18">
        <v>283</v>
      </c>
      <c r="D190" s="19" t="s">
        <v>38</v>
      </c>
      <c r="E190" s="20">
        <v>19268.19</v>
      </c>
      <c r="F190" s="21">
        <v>5452898</v>
      </c>
      <c r="G190" s="22">
        <v>283</v>
      </c>
      <c r="H190" s="21">
        <f>ROUND(G190*E190,0)</f>
        <v>5452898</v>
      </c>
      <c r="I190" s="21">
        <f>H190-F190</f>
        <v>0</v>
      </c>
      <c r="J190" s="23"/>
      <c r="K190" s="24" t="s">
        <v>473</v>
      </c>
      <c r="L190" s="35">
        <v>0</v>
      </c>
    </row>
    <row r="191" spans="1:12" x14ac:dyDescent="0.25">
      <c r="A191" s="16" t="s">
        <v>307</v>
      </c>
      <c r="B191" s="34" t="s">
        <v>474</v>
      </c>
      <c r="C191" s="18">
        <v>132.867</v>
      </c>
      <c r="D191" s="19" t="s">
        <v>23</v>
      </c>
      <c r="E191" s="20">
        <v>110928.31</v>
      </c>
      <c r="F191" s="21">
        <v>14738712</v>
      </c>
      <c r="G191" s="22">
        <v>132.867</v>
      </c>
      <c r="H191" s="21">
        <f>ROUND(G191*E191,0)</f>
        <v>14738712</v>
      </c>
      <c r="I191" s="21">
        <f>H191-F191</f>
        <v>0</v>
      </c>
      <c r="J191" s="23"/>
      <c r="K191" s="24" t="s">
        <v>475</v>
      </c>
      <c r="L191" s="25">
        <v>82.867</v>
      </c>
    </row>
    <row r="192" spans="1:12" x14ac:dyDescent="0.25">
      <c r="A192" s="16" t="s">
        <v>310</v>
      </c>
      <c r="B192" s="34" t="s">
        <v>476</v>
      </c>
      <c r="C192" s="18">
        <v>14.25</v>
      </c>
      <c r="D192" s="19" t="s">
        <v>38</v>
      </c>
      <c r="E192" s="20">
        <v>91613.93</v>
      </c>
      <c r="F192" s="21">
        <v>1305498</v>
      </c>
      <c r="G192" s="22">
        <v>14.25</v>
      </c>
      <c r="H192" s="21">
        <f>ROUND(G192*E192,0)</f>
        <v>1305498</v>
      </c>
      <c r="I192" s="21">
        <f>H192-F192</f>
        <v>0</v>
      </c>
      <c r="J192" s="23"/>
      <c r="K192" s="24" t="s">
        <v>477</v>
      </c>
      <c r="L192" s="35">
        <v>0</v>
      </c>
    </row>
    <row r="193" spans="1:12" x14ac:dyDescent="0.25">
      <c r="A193" s="16" t="s">
        <v>143</v>
      </c>
      <c r="B193" s="36" t="s">
        <v>478</v>
      </c>
      <c r="C193" s="18">
        <v>98.3</v>
      </c>
      <c r="D193" s="19" t="s">
        <v>23</v>
      </c>
      <c r="E193" s="20">
        <v>241006.97</v>
      </c>
      <c r="F193" s="21">
        <v>23690985</v>
      </c>
      <c r="G193" s="22">
        <v>98.3</v>
      </c>
      <c r="H193" s="21">
        <f>ROUND(G193*E193,0)</f>
        <v>23690985</v>
      </c>
      <c r="I193" s="21">
        <f>H193-F193</f>
        <v>0</v>
      </c>
      <c r="J193" s="23"/>
      <c r="K193" s="24" t="s">
        <v>479</v>
      </c>
      <c r="L193" s="35">
        <v>0</v>
      </c>
    </row>
    <row r="194" spans="1:12" x14ac:dyDescent="0.25">
      <c r="A194" s="16" t="s">
        <v>146</v>
      </c>
      <c r="B194" s="36" t="s">
        <v>480</v>
      </c>
      <c r="C194" s="18">
        <v>19.36</v>
      </c>
      <c r="D194" s="19" t="s">
        <v>23</v>
      </c>
      <c r="E194" s="20">
        <v>246252.65</v>
      </c>
      <c r="F194" s="21">
        <v>4767451</v>
      </c>
      <c r="G194" s="22">
        <v>19.36</v>
      </c>
      <c r="H194" s="21">
        <f>ROUND(G194*E194,0)</f>
        <v>4767451</v>
      </c>
      <c r="I194" s="21">
        <f>H194-F194</f>
        <v>0</v>
      </c>
      <c r="J194" s="23"/>
      <c r="K194" s="24" t="s">
        <v>481</v>
      </c>
      <c r="L194" s="35">
        <v>0</v>
      </c>
    </row>
    <row r="195" spans="1:12" x14ac:dyDescent="0.25">
      <c r="A195" s="16" t="s">
        <v>150</v>
      </c>
      <c r="B195" s="36" t="s">
        <v>482</v>
      </c>
      <c r="C195" s="18">
        <v>155.47</v>
      </c>
      <c r="D195" s="19" t="s">
        <v>23</v>
      </c>
      <c r="E195" s="20">
        <v>95000</v>
      </c>
      <c r="F195" s="21">
        <v>14769650</v>
      </c>
      <c r="G195" s="22">
        <v>155.47</v>
      </c>
      <c r="H195" s="21">
        <f>ROUND(G195*E195,0)</f>
        <v>14769650</v>
      </c>
      <c r="I195" s="21">
        <f>H195-F195</f>
        <v>0</v>
      </c>
      <c r="J195" s="23"/>
      <c r="K195" s="24" t="s">
        <v>483</v>
      </c>
      <c r="L195" s="35">
        <v>0</v>
      </c>
    </row>
    <row r="196" spans="1:12" x14ac:dyDescent="0.25">
      <c r="A196" s="16" t="s">
        <v>175</v>
      </c>
      <c r="B196" s="36" t="s">
        <v>484</v>
      </c>
      <c r="C196" s="18">
        <v>98.3</v>
      </c>
      <c r="D196" s="19" t="s">
        <v>23</v>
      </c>
      <c r="E196" s="20">
        <v>35591.98</v>
      </c>
      <c r="F196" s="21">
        <v>3498692</v>
      </c>
      <c r="G196" s="22">
        <v>98.3</v>
      </c>
      <c r="H196" s="21">
        <f>ROUND(G196*E196,0)</f>
        <v>3498692</v>
      </c>
      <c r="I196" s="21">
        <f>H196-F196</f>
        <v>0</v>
      </c>
      <c r="J196" s="23"/>
      <c r="K196" s="24" t="s">
        <v>485</v>
      </c>
      <c r="L196" s="35">
        <v>0</v>
      </c>
    </row>
    <row r="197" spans="1:12" x14ac:dyDescent="0.25">
      <c r="A197" s="16" t="s">
        <v>184</v>
      </c>
      <c r="B197" s="36" t="s">
        <v>486</v>
      </c>
      <c r="C197" s="18">
        <v>37.42</v>
      </c>
      <c r="D197" s="19" t="s">
        <v>38</v>
      </c>
      <c r="E197" s="20">
        <v>214927.86</v>
      </c>
      <c r="F197" s="21">
        <v>8042601</v>
      </c>
      <c r="G197" s="22">
        <v>37.42</v>
      </c>
      <c r="H197" s="21">
        <f>ROUND(G197*E197,0)</f>
        <v>8042601</v>
      </c>
      <c r="I197" s="21">
        <f>H197-F197</f>
        <v>0</v>
      </c>
      <c r="J197" s="23"/>
      <c r="K197" s="24" t="s">
        <v>487</v>
      </c>
      <c r="L197" s="35">
        <v>0</v>
      </c>
    </row>
    <row r="198" spans="1:12" x14ac:dyDescent="0.25">
      <c r="A198" s="16" t="s">
        <v>193</v>
      </c>
      <c r="B198" s="36" t="s">
        <v>488</v>
      </c>
      <c r="C198" s="18">
        <v>11.23</v>
      </c>
      <c r="D198" s="19" t="s">
        <v>23</v>
      </c>
      <c r="E198" s="20">
        <v>99462.99</v>
      </c>
      <c r="F198" s="21">
        <v>1116969</v>
      </c>
      <c r="G198" s="22">
        <v>11.23</v>
      </c>
      <c r="H198" s="21">
        <f>ROUND(G198*E198,0)</f>
        <v>1116969</v>
      </c>
      <c r="I198" s="21">
        <f>H198-F198</f>
        <v>0</v>
      </c>
      <c r="J198" s="23"/>
      <c r="K198" s="24" t="s">
        <v>489</v>
      </c>
      <c r="L198" s="35">
        <v>0</v>
      </c>
    </row>
    <row r="199" spans="1:12" x14ac:dyDescent="0.25">
      <c r="A199" s="16" t="s">
        <v>202</v>
      </c>
      <c r="B199" s="36" t="s">
        <v>490</v>
      </c>
      <c r="C199" s="18">
        <v>1</v>
      </c>
      <c r="D199" s="19" t="s">
        <v>155</v>
      </c>
      <c r="E199" s="20">
        <v>386714.63</v>
      </c>
      <c r="F199" s="21">
        <v>386715</v>
      </c>
      <c r="G199" s="22">
        <v>1</v>
      </c>
      <c r="H199" s="21">
        <f>ROUND(G199*E199,0)</f>
        <v>386715</v>
      </c>
      <c r="I199" s="21">
        <f>H199-F199</f>
        <v>0</v>
      </c>
      <c r="J199" s="23"/>
      <c r="K199" s="24" t="s">
        <v>491</v>
      </c>
      <c r="L199" s="35">
        <v>0</v>
      </c>
    </row>
    <row r="200" spans="1:12" x14ac:dyDescent="0.25">
      <c r="A200" s="16" t="s">
        <v>205</v>
      </c>
      <c r="B200" s="36" t="s">
        <v>492</v>
      </c>
      <c r="C200" s="18">
        <v>21</v>
      </c>
      <c r="D200" s="19" t="s">
        <v>31</v>
      </c>
      <c r="E200" s="20">
        <v>98752.1</v>
      </c>
      <c r="F200" s="21">
        <v>2073794</v>
      </c>
      <c r="G200" s="22">
        <v>21</v>
      </c>
      <c r="H200" s="21">
        <f>ROUND(G200*E200,0)</f>
        <v>2073794</v>
      </c>
      <c r="I200" s="21">
        <f>H200-F200</f>
        <v>0</v>
      </c>
      <c r="J200" s="23"/>
      <c r="K200" s="24" t="s">
        <v>493</v>
      </c>
      <c r="L200" s="35">
        <v>0</v>
      </c>
    </row>
    <row r="201" spans="1:12" s="26" customFormat="1" x14ac:dyDescent="0.25">
      <c r="A201" s="27" t="s">
        <v>494</v>
      </c>
      <c r="B201" s="28" t="s">
        <v>495</v>
      </c>
      <c r="C201" s="29"/>
      <c r="D201" s="30"/>
      <c r="E201" s="30"/>
      <c r="F201" s="31">
        <v>14352765</v>
      </c>
      <c r="G201" s="30"/>
      <c r="H201" s="29"/>
      <c r="I201" s="29"/>
      <c r="J201" s="30"/>
      <c r="K201" s="32" t="s">
        <v>496</v>
      </c>
      <c r="L201" s="29"/>
    </row>
    <row r="202" spans="1:12" x14ac:dyDescent="0.25">
      <c r="A202" s="16" t="s">
        <v>21</v>
      </c>
      <c r="B202" s="36" t="s">
        <v>497</v>
      </c>
      <c r="C202" s="18">
        <v>12</v>
      </c>
      <c r="D202" s="19" t="s">
        <v>148</v>
      </c>
      <c r="E202" s="20">
        <v>424608.39</v>
      </c>
      <c r="F202" s="21">
        <v>5095301</v>
      </c>
      <c r="G202" s="22">
        <v>12</v>
      </c>
      <c r="H202" s="21">
        <f>ROUND(G202*E202,0)</f>
        <v>5095301</v>
      </c>
      <c r="I202" s="21">
        <f>H202-F202</f>
        <v>0</v>
      </c>
      <c r="J202" s="23"/>
      <c r="K202" s="24" t="s">
        <v>498</v>
      </c>
      <c r="L202" s="35">
        <v>0</v>
      </c>
    </row>
    <row r="203" spans="1:12" x14ac:dyDescent="0.25">
      <c r="A203" s="16" t="s">
        <v>25</v>
      </c>
      <c r="B203" s="36" t="s">
        <v>499</v>
      </c>
      <c r="C203" s="18">
        <v>8</v>
      </c>
      <c r="D203" s="19" t="s">
        <v>148</v>
      </c>
      <c r="E203" s="20">
        <v>534274.39</v>
      </c>
      <c r="F203" s="21">
        <v>4274195</v>
      </c>
      <c r="G203" s="22">
        <v>8</v>
      </c>
      <c r="H203" s="21">
        <f>ROUND(G203*E203,0)</f>
        <v>4274195</v>
      </c>
      <c r="I203" s="21">
        <f>H203-F203</f>
        <v>0</v>
      </c>
      <c r="J203" s="23"/>
      <c r="K203" s="24" t="s">
        <v>500</v>
      </c>
      <c r="L203" s="35">
        <v>0</v>
      </c>
    </row>
    <row r="204" spans="1:12" x14ac:dyDescent="0.25">
      <c r="A204" s="16" t="s">
        <v>29</v>
      </c>
      <c r="B204" s="36" t="s">
        <v>501</v>
      </c>
      <c r="C204" s="18">
        <v>1</v>
      </c>
      <c r="D204" s="19" t="s">
        <v>31</v>
      </c>
      <c r="E204" s="20">
        <v>66848.01</v>
      </c>
      <c r="F204" s="21">
        <v>66848</v>
      </c>
      <c r="G204" s="22">
        <v>1</v>
      </c>
      <c r="H204" s="21">
        <f>ROUND(G204*E204,0)</f>
        <v>66848</v>
      </c>
      <c r="I204" s="21">
        <f>H204-F204</f>
        <v>0</v>
      </c>
      <c r="J204" s="23"/>
      <c r="K204" s="24" t="s">
        <v>502</v>
      </c>
      <c r="L204" s="35">
        <v>0</v>
      </c>
    </row>
    <row r="205" spans="1:12" x14ac:dyDescent="0.25">
      <c r="A205" s="16" t="s">
        <v>33</v>
      </c>
      <c r="B205" s="36" t="s">
        <v>503</v>
      </c>
      <c r="C205" s="18">
        <v>8</v>
      </c>
      <c r="D205" s="19" t="s">
        <v>31</v>
      </c>
      <c r="E205" s="20">
        <v>55282.67</v>
      </c>
      <c r="F205" s="21">
        <v>442261</v>
      </c>
      <c r="G205" s="22">
        <v>8</v>
      </c>
      <c r="H205" s="21">
        <f>ROUND(G205*E205,0)</f>
        <v>442261</v>
      </c>
      <c r="I205" s="21">
        <f>H205-F205</f>
        <v>0</v>
      </c>
      <c r="J205" s="23"/>
      <c r="K205" s="24" t="s">
        <v>504</v>
      </c>
      <c r="L205" s="35">
        <v>0</v>
      </c>
    </row>
    <row r="206" spans="1:12" x14ac:dyDescent="0.25">
      <c r="A206" s="16" t="s">
        <v>36</v>
      </c>
      <c r="B206" s="36" t="s">
        <v>505</v>
      </c>
      <c r="C206" s="18">
        <v>12</v>
      </c>
      <c r="D206" s="19" t="s">
        <v>31</v>
      </c>
      <c r="E206" s="20">
        <v>160506.41</v>
      </c>
      <c r="F206" s="21">
        <v>1926077</v>
      </c>
      <c r="G206" s="22">
        <v>12</v>
      </c>
      <c r="H206" s="21">
        <f>ROUND(G206*E206,0)</f>
        <v>1926077</v>
      </c>
      <c r="I206" s="21">
        <f>H206-F206</f>
        <v>0</v>
      </c>
      <c r="J206" s="23"/>
      <c r="K206" s="24" t="s">
        <v>506</v>
      </c>
      <c r="L206" s="35">
        <v>0</v>
      </c>
    </row>
    <row r="207" spans="1:12" x14ac:dyDescent="0.25">
      <c r="A207" s="16" t="s">
        <v>40</v>
      </c>
      <c r="B207" s="36" t="s">
        <v>507</v>
      </c>
      <c r="C207" s="18">
        <v>1</v>
      </c>
      <c r="D207" s="19" t="s">
        <v>155</v>
      </c>
      <c r="E207" s="20">
        <v>2548083.11</v>
      </c>
      <c r="F207" s="21">
        <v>2548083</v>
      </c>
      <c r="G207" s="22">
        <v>1</v>
      </c>
      <c r="H207" s="21">
        <f>ROUND(G207*E207,0)</f>
        <v>2548083</v>
      </c>
      <c r="I207" s="21">
        <f>H207-F207</f>
        <v>0</v>
      </c>
      <c r="J207" s="23"/>
      <c r="K207" s="24" t="s">
        <v>508</v>
      </c>
      <c r="L207" s="35">
        <v>0</v>
      </c>
    </row>
    <row r="208" spans="1:12" s="8" customFormat="1" x14ac:dyDescent="0.25">
      <c r="A208" s="9" t="s">
        <v>509</v>
      </c>
      <c r="B208" s="10" t="s">
        <v>510</v>
      </c>
      <c r="C208" s="11"/>
      <c r="D208" s="12"/>
      <c r="E208" s="12"/>
      <c r="F208" s="13">
        <v>221281232</v>
      </c>
      <c r="G208" s="12"/>
      <c r="H208" s="11"/>
      <c r="I208" s="11"/>
      <c r="J208" s="12"/>
      <c r="K208" s="14" t="s">
        <v>509</v>
      </c>
      <c r="L208" s="15"/>
    </row>
    <row r="209" spans="1:12" s="26" customFormat="1" x14ac:dyDescent="0.25">
      <c r="A209" s="27" t="s">
        <v>511</v>
      </c>
      <c r="B209" s="28" t="s">
        <v>512</v>
      </c>
      <c r="C209" s="29"/>
      <c r="D209" s="30"/>
      <c r="E209" s="30"/>
      <c r="F209" s="31">
        <v>221281232</v>
      </c>
      <c r="G209" s="30"/>
      <c r="H209" s="29"/>
      <c r="I209" s="29"/>
      <c r="J209" s="30"/>
      <c r="K209" s="32" t="s">
        <v>513</v>
      </c>
      <c r="L209" s="29"/>
    </row>
    <row r="210" spans="1:12" x14ac:dyDescent="0.25">
      <c r="A210" s="16" t="s">
        <v>21</v>
      </c>
      <c r="B210" s="36" t="s">
        <v>319</v>
      </c>
      <c r="C210" s="18">
        <v>48.9</v>
      </c>
      <c r="D210" s="19" t="s">
        <v>38</v>
      </c>
      <c r="E210" s="20">
        <v>147990.68</v>
      </c>
      <c r="F210" s="21">
        <v>7236744</v>
      </c>
      <c r="G210" s="22">
        <v>48.9</v>
      </c>
      <c r="H210" s="21">
        <f>ROUND(G210*E210,0)</f>
        <v>7236744</v>
      </c>
      <c r="I210" s="21">
        <f>H210-F210</f>
        <v>0</v>
      </c>
      <c r="J210" s="23"/>
      <c r="K210" s="24" t="s">
        <v>514</v>
      </c>
      <c r="L210" s="25">
        <v>48.9</v>
      </c>
    </row>
    <row r="211" spans="1:12" s="26" customFormat="1" x14ac:dyDescent="0.25">
      <c r="A211" s="27" t="s">
        <v>25</v>
      </c>
      <c r="B211" s="33" t="s">
        <v>515</v>
      </c>
      <c r="C211" s="29"/>
      <c r="D211" s="30"/>
      <c r="E211" s="30"/>
      <c r="F211" s="31">
        <v>115413164</v>
      </c>
      <c r="G211" s="30"/>
      <c r="H211" s="29"/>
      <c r="I211" s="29"/>
      <c r="J211" s="30"/>
      <c r="K211" s="32" t="s">
        <v>516</v>
      </c>
      <c r="L211" s="29"/>
    </row>
    <row r="212" spans="1:12" x14ac:dyDescent="0.25">
      <c r="A212" s="16" t="s">
        <v>224</v>
      </c>
      <c r="B212" s="34" t="s">
        <v>517</v>
      </c>
      <c r="C212" s="18">
        <v>109.31</v>
      </c>
      <c r="D212" s="19" t="s">
        <v>214</v>
      </c>
      <c r="E212" s="20">
        <v>120211.9</v>
      </c>
      <c r="F212" s="21">
        <v>13140363</v>
      </c>
      <c r="G212" s="22">
        <v>109.31</v>
      </c>
      <c r="H212" s="21">
        <f>ROUND(G212*E212,0)</f>
        <v>13140363</v>
      </c>
      <c r="I212" s="21">
        <f>H212-F212</f>
        <v>0</v>
      </c>
      <c r="J212" s="23"/>
      <c r="K212" s="24" t="s">
        <v>518</v>
      </c>
      <c r="L212" s="25">
        <v>109.31</v>
      </c>
    </row>
    <row r="213" spans="1:12" x14ac:dyDescent="0.25">
      <c r="A213" s="16" t="s">
        <v>227</v>
      </c>
      <c r="B213" s="34" t="s">
        <v>342</v>
      </c>
      <c r="C213" s="18">
        <v>1596</v>
      </c>
      <c r="D213" s="19" t="s">
        <v>38</v>
      </c>
      <c r="E213" s="20">
        <v>25600</v>
      </c>
      <c r="F213" s="21">
        <v>40857600</v>
      </c>
      <c r="G213" s="22">
        <v>1596</v>
      </c>
      <c r="H213" s="21">
        <f>ROUND(G213*E213,0)</f>
        <v>40857600</v>
      </c>
      <c r="I213" s="21">
        <f>H213-F213</f>
        <v>0</v>
      </c>
      <c r="J213" s="23"/>
      <c r="K213" s="24" t="s">
        <v>519</v>
      </c>
      <c r="L213" s="25">
        <v>1596</v>
      </c>
    </row>
    <row r="214" spans="1:12" x14ac:dyDescent="0.25">
      <c r="A214" s="16" t="s">
        <v>231</v>
      </c>
      <c r="B214" s="34" t="s">
        <v>520</v>
      </c>
      <c r="C214" s="18">
        <v>14.58</v>
      </c>
      <c r="D214" s="19" t="s">
        <v>214</v>
      </c>
      <c r="E214" s="20">
        <v>543564.56</v>
      </c>
      <c r="F214" s="21">
        <v>7925171</v>
      </c>
      <c r="G214" s="22">
        <v>14.58</v>
      </c>
      <c r="H214" s="21">
        <f>ROUND(G214*E214,0)</f>
        <v>7925171</v>
      </c>
      <c r="I214" s="21">
        <f>H214-F214</f>
        <v>0</v>
      </c>
      <c r="J214" s="23"/>
      <c r="K214" s="24" t="s">
        <v>521</v>
      </c>
      <c r="L214" s="25">
        <v>11.58</v>
      </c>
    </row>
    <row r="215" spans="1:12" x14ac:dyDescent="0.25">
      <c r="A215" s="16" t="s">
        <v>234</v>
      </c>
      <c r="B215" s="34" t="s">
        <v>346</v>
      </c>
      <c r="C215" s="18">
        <v>60.29</v>
      </c>
      <c r="D215" s="19" t="s">
        <v>214</v>
      </c>
      <c r="E215" s="20">
        <v>760000</v>
      </c>
      <c r="F215" s="21">
        <v>45820400</v>
      </c>
      <c r="G215" s="22">
        <v>60.29</v>
      </c>
      <c r="H215" s="21">
        <f>ROUND(G215*E215,0)</f>
        <v>45820400</v>
      </c>
      <c r="I215" s="21">
        <f>H215-F215</f>
        <v>0</v>
      </c>
      <c r="J215" s="23"/>
      <c r="K215" s="24" t="s">
        <v>522</v>
      </c>
      <c r="L215" s="25">
        <v>60.29</v>
      </c>
    </row>
    <row r="216" spans="1:12" x14ac:dyDescent="0.25">
      <c r="A216" s="16" t="s">
        <v>330</v>
      </c>
      <c r="B216" s="34" t="s">
        <v>523</v>
      </c>
      <c r="C216" s="18">
        <v>36.437</v>
      </c>
      <c r="D216" s="19" t="s">
        <v>214</v>
      </c>
      <c r="E216" s="20">
        <v>66784.39</v>
      </c>
      <c r="F216" s="21">
        <v>2433401</v>
      </c>
      <c r="G216" s="22">
        <v>36.437</v>
      </c>
      <c r="H216" s="21">
        <f>ROUND(G216*E216,0)</f>
        <v>2433401</v>
      </c>
      <c r="I216" s="21">
        <f>H216-F216</f>
        <v>0</v>
      </c>
      <c r="J216" s="23"/>
      <c r="K216" s="24" t="s">
        <v>524</v>
      </c>
      <c r="L216" s="25">
        <v>36.437</v>
      </c>
    </row>
    <row r="217" spans="1:12" x14ac:dyDescent="0.25">
      <c r="A217" s="16" t="s">
        <v>333</v>
      </c>
      <c r="B217" s="34" t="s">
        <v>525</v>
      </c>
      <c r="C217" s="18">
        <v>36.437</v>
      </c>
      <c r="D217" s="19" t="s">
        <v>214</v>
      </c>
      <c r="E217" s="20">
        <v>53756.99</v>
      </c>
      <c r="F217" s="21">
        <v>1958725</v>
      </c>
      <c r="G217" s="22">
        <v>36.437</v>
      </c>
      <c r="H217" s="21">
        <f>ROUND(G217*E217,0)</f>
        <v>1958725</v>
      </c>
      <c r="I217" s="21">
        <f>H217-F217</f>
        <v>0</v>
      </c>
      <c r="J217" s="23"/>
      <c r="K217" s="24" t="s">
        <v>526</v>
      </c>
      <c r="L217" s="25">
        <v>36.437</v>
      </c>
    </row>
    <row r="218" spans="1:12" x14ac:dyDescent="0.25">
      <c r="A218" s="16" t="s">
        <v>336</v>
      </c>
      <c r="B218" s="34" t="s">
        <v>447</v>
      </c>
      <c r="C218" s="18">
        <v>32.72</v>
      </c>
      <c r="D218" s="19" t="s">
        <v>23</v>
      </c>
      <c r="E218" s="20">
        <v>54647.67</v>
      </c>
      <c r="F218" s="21">
        <v>1788072</v>
      </c>
      <c r="G218" s="22">
        <v>32.72</v>
      </c>
      <c r="H218" s="21">
        <f>ROUND(G218*E218,0)</f>
        <v>1788072</v>
      </c>
      <c r="I218" s="21">
        <f>H218-F218</f>
        <v>0</v>
      </c>
      <c r="J218" s="23"/>
      <c r="K218" s="24" t="s">
        <v>527</v>
      </c>
      <c r="L218" s="35">
        <v>0</v>
      </c>
    </row>
    <row r="219" spans="1:12" x14ac:dyDescent="0.25">
      <c r="A219" s="16" t="s">
        <v>528</v>
      </c>
      <c r="B219" s="34" t="s">
        <v>250</v>
      </c>
      <c r="C219" s="18">
        <v>32.72</v>
      </c>
      <c r="D219" s="19" t="s">
        <v>23</v>
      </c>
      <c r="E219" s="20">
        <v>45520.53</v>
      </c>
      <c r="F219" s="21">
        <v>1489432</v>
      </c>
      <c r="G219" s="22">
        <v>32.72</v>
      </c>
      <c r="H219" s="21">
        <f>ROUND(G219*E219,0)</f>
        <v>1489432</v>
      </c>
      <c r="I219" s="21">
        <f>H219-F219</f>
        <v>0</v>
      </c>
      <c r="J219" s="23"/>
      <c r="K219" s="24" t="s">
        <v>529</v>
      </c>
      <c r="L219" s="35">
        <v>0</v>
      </c>
    </row>
    <row r="220" spans="1:12" s="26" customFormat="1" x14ac:dyDescent="0.25">
      <c r="A220" s="27" t="s">
        <v>29</v>
      </c>
      <c r="B220" s="33" t="s">
        <v>530</v>
      </c>
      <c r="C220" s="29"/>
      <c r="D220" s="30"/>
      <c r="E220" s="30"/>
      <c r="F220" s="31">
        <v>12758550</v>
      </c>
      <c r="G220" s="30"/>
      <c r="H220" s="29"/>
      <c r="I220" s="29"/>
      <c r="J220" s="30"/>
      <c r="K220" s="32" t="s">
        <v>531</v>
      </c>
      <c r="L220" s="29"/>
    </row>
    <row r="221" spans="1:12" x14ac:dyDescent="0.25">
      <c r="A221" s="16" t="s">
        <v>239</v>
      </c>
      <c r="B221" s="34" t="s">
        <v>532</v>
      </c>
      <c r="C221" s="18">
        <v>2.96</v>
      </c>
      <c r="D221" s="19" t="s">
        <v>214</v>
      </c>
      <c r="E221" s="20">
        <v>56660.36</v>
      </c>
      <c r="F221" s="21">
        <v>167715</v>
      </c>
      <c r="G221" s="22">
        <v>2.96</v>
      </c>
      <c r="H221" s="21">
        <f>ROUND(G221*E221,0)</f>
        <v>167715</v>
      </c>
      <c r="I221" s="21">
        <f>H221-F221</f>
        <v>0</v>
      </c>
      <c r="J221" s="23"/>
      <c r="K221" s="24" t="s">
        <v>533</v>
      </c>
      <c r="L221" s="35">
        <v>0</v>
      </c>
    </row>
    <row r="222" spans="1:12" x14ac:dyDescent="0.25">
      <c r="A222" s="16" t="s">
        <v>241</v>
      </c>
      <c r="B222" s="34" t="s">
        <v>342</v>
      </c>
      <c r="C222" s="18">
        <v>264</v>
      </c>
      <c r="D222" s="19" t="s">
        <v>38</v>
      </c>
      <c r="E222" s="20">
        <v>26681.29</v>
      </c>
      <c r="F222" s="21">
        <v>7043861</v>
      </c>
      <c r="G222" s="22">
        <v>264</v>
      </c>
      <c r="H222" s="21">
        <f>ROUND(G222*E222,0)</f>
        <v>7043861</v>
      </c>
      <c r="I222" s="21">
        <f>H222-F222</f>
        <v>0</v>
      </c>
      <c r="J222" s="23"/>
      <c r="K222" s="24" t="s">
        <v>534</v>
      </c>
      <c r="L222" s="25">
        <v>264</v>
      </c>
    </row>
    <row r="223" spans="1:12" x14ac:dyDescent="0.25">
      <c r="A223" s="16" t="s">
        <v>244</v>
      </c>
      <c r="B223" s="34" t="s">
        <v>346</v>
      </c>
      <c r="C223" s="18">
        <v>6.66</v>
      </c>
      <c r="D223" s="19" t="s">
        <v>214</v>
      </c>
      <c r="E223" s="20">
        <v>815021.06</v>
      </c>
      <c r="F223" s="21">
        <v>5428040</v>
      </c>
      <c r="G223" s="22">
        <v>6.66</v>
      </c>
      <c r="H223" s="21">
        <f>ROUND(G223*E223,0)</f>
        <v>5428040</v>
      </c>
      <c r="I223" s="21">
        <f>H223-F223</f>
        <v>0</v>
      </c>
      <c r="J223" s="23"/>
      <c r="K223" s="24" t="s">
        <v>535</v>
      </c>
      <c r="L223" s="25">
        <v>6.66</v>
      </c>
    </row>
    <row r="224" spans="1:12" x14ac:dyDescent="0.25">
      <c r="A224" s="16" t="s">
        <v>247</v>
      </c>
      <c r="B224" s="34" t="s">
        <v>523</v>
      </c>
      <c r="C224" s="18">
        <v>0.987</v>
      </c>
      <c r="D224" s="19" t="s">
        <v>214</v>
      </c>
      <c r="E224" s="20">
        <v>66784.39</v>
      </c>
      <c r="F224" s="21">
        <v>65894</v>
      </c>
      <c r="G224" s="22">
        <v>0.987</v>
      </c>
      <c r="H224" s="21">
        <f>ROUND(G224*E224,0)</f>
        <v>65894</v>
      </c>
      <c r="I224" s="21">
        <f>H224-F224</f>
        <v>0</v>
      </c>
      <c r="J224" s="23"/>
      <c r="K224" s="24" t="s">
        <v>536</v>
      </c>
      <c r="L224" s="35">
        <v>0</v>
      </c>
    </row>
    <row r="225" spans="1:12" x14ac:dyDescent="0.25">
      <c r="A225" s="16" t="s">
        <v>249</v>
      </c>
      <c r="B225" s="34" t="s">
        <v>525</v>
      </c>
      <c r="C225" s="18">
        <v>0.987</v>
      </c>
      <c r="D225" s="19" t="s">
        <v>214</v>
      </c>
      <c r="E225" s="20">
        <v>53756.99</v>
      </c>
      <c r="F225" s="21">
        <v>53040</v>
      </c>
      <c r="G225" s="22">
        <v>0.987</v>
      </c>
      <c r="H225" s="21">
        <f>ROUND(G225*E225,0)</f>
        <v>53040</v>
      </c>
      <c r="I225" s="21">
        <f>H225-F225</f>
        <v>0</v>
      </c>
      <c r="J225" s="23"/>
      <c r="K225" s="24" t="s">
        <v>537</v>
      </c>
      <c r="L225" s="35">
        <v>0</v>
      </c>
    </row>
    <row r="226" spans="1:12" x14ac:dyDescent="0.25">
      <c r="A226" s="16" t="s">
        <v>33</v>
      </c>
      <c r="B226" s="36" t="s">
        <v>348</v>
      </c>
      <c r="C226" s="18">
        <v>25.89</v>
      </c>
      <c r="D226" s="19" t="s">
        <v>229</v>
      </c>
      <c r="E226" s="20">
        <v>13176.23</v>
      </c>
      <c r="F226" s="21">
        <v>341132</v>
      </c>
      <c r="G226" s="22">
        <v>25.89</v>
      </c>
      <c r="H226" s="21">
        <f>ROUND(G226*E226,0)</f>
        <v>341132</v>
      </c>
      <c r="I226" s="21">
        <f>H226-F226</f>
        <v>0</v>
      </c>
      <c r="J226" s="23"/>
      <c r="K226" s="24" t="s">
        <v>538</v>
      </c>
      <c r="L226" s="25">
        <v>25.89</v>
      </c>
    </row>
    <row r="227" spans="1:12" s="26" customFormat="1" x14ac:dyDescent="0.25">
      <c r="A227" s="27" t="s">
        <v>36</v>
      </c>
      <c r="B227" s="33" t="s">
        <v>539</v>
      </c>
      <c r="C227" s="29"/>
      <c r="D227" s="30"/>
      <c r="E227" s="30"/>
      <c r="F227" s="31">
        <v>24733460</v>
      </c>
      <c r="G227" s="30"/>
      <c r="H227" s="29"/>
      <c r="I227" s="29"/>
      <c r="J227" s="30"/>
      <c r="K227" s="32" t="s">
        <v>540</v>
      </c>
      <c r="L227" s="29"/>
    </row>
    <row r="228" spans="1:12" x14ac:dyDescent="0.25">
      <c r="A228" s="16" t="s">
        <v>269</v>
      </c>
      <c r="B228" s="34" t="s">
        <v>258</v>
      </c>
      <c r="C228" s="18">
        <v>39.75</v>
      </c>
      <c r="D228" s="19" t="s">
        <v>23</v>
      </c>
      <c r="E228" s="20">
        <v>246976.42</v>
      </c>
      <c r="F228" s="21">
        <v>9817313</v>
      </c>
      <c r="G228" s="22">
        <v>39.75</v>
      </c>
      <c r="H228" s="21">
        <f>ROUND(G228*E228,0)</f>
        <v>9817313</v>
      </c>
      <c r="I228" s="21">
        <f>H228-F228</f>
        <v>0</v>
      </c>
      <c r="J228" s="23"/>
      <c r="K228" s="24" t="s">
        <v>541</v>
      </c>
      <c r="L228" s="25">
        <v>39.75</v>
      </c>
    </row>
    <row r="229" spans="1:12" x14ac:dyDescent="0.25">
      <c r="A229" s="16" t="s">
        <v>272</v>
      </c>
      <c r="B229" s="34" t="s">
        <v>542</v>
      </c>
      <c r="C229" s="18">
        <v>449.27</v>
      </c>
      <c r="D229" s="19" t="s">
        <v>229</v>
      </c>
      <c r="E229" s="20">
        <v>13176.23</v>
      </c>
      <c r="F229" s="21">
        <v>5919685</v>
      </c>
      <c r="G229" s="22">
        <v>449.27</v>
      </c>
      <c r="H229" s="21">
        <f>ROUND(G229*E229,0)</f>
        <v>5919685</v>
      </c>
      <c r="I229" s="21">
        <f>H229-F229</f>
        <v>0</v>
      </c>
      <c r="J229" s="23"/>
      <c r="K229" s="24" t="s">
        <v>543</v>
      </c>
      <c r="L229" s="25">
        <v>449.27</v>
      </c>
    </row>
    <row r="230" spans="1:12" x14ac:dyDescent="0.25">
      <c r="A230" s="16" t="s">
        <v>275</v>
      </c>
      <c r="B230" s="34" t="s">
        <v>544</v>
      </c>
      <c r="C230" s="18">
        <v>230.45</v>
      </c>
      <c r="D230" s="19" t="s">
        <v>229</v>
      </c>
      <c r="E230" s="20">
        <v>13176.23</v>
      </c>
      <c r="F230" s="21">
        <v>3036462</v>
      </c>
      <c r="G230" s="22">
        <v>230.45</v>
      </c>
      <c r="H230" s="21">
        <f>ROUND(G230*E230,0)</f>
        <v>3036462</v>
      </c>
      <c r="I230" s="21">
        <f>H230-F230</f>
        <v>0</v>
      </c>
      <c r="J230" s="23"/>
      <c r="K230" s="24" t="s">
        <v>545</v>
      </c>
      <c r="L230" s="25">
        <v>230.45</v>
      </c>
    </row>
    <row r="231" spans="1:12" x14ac:dyDescent="0.25">
      <c r="A231" s="16" t="s">
        <v>546</v>
      </c>
      <c r="B231" s="34" t="s">
        <v>334</v>
      </c>
      <c r="C231" s="18">
        <v>5.96</v>
      </c>
      <c r="D231" s="19" t="s">
        <v>214</v>
      </c>
      <c r="E231" s="20">
        <v>1000000</v>
      </c>
      <c r="F231" s="21">
        <v>5960000</v>
      </c>
      <c r="G231" s="22">
        <v>5.96</v>
      </c>
      <c r="H231" s="21">
        <f>ROUND(G231*E231,0)</f>
        <v>5960000</v>
      </c>
      <c r="I231" s="21">
        <f>H231-F231</f>
        <v>0</v>
      </c>
      <c r="J231" s="23"/>
      <c r="K231" s="24" t="s">
        <v>547</v>
      </c>
      <c r="L231" s="25">
        <v>5.96</v>
      </c>
    </row>
    <row r="232" spans="1:12" s="26" customFormat="1" x14ac:dyDescent="0.25">
      <c r="A232" s="27" t="s">
        <v>40</v>
      </c>
      <c r="B232" s="33" t="s">
        <v>548</v>
      </c>
      <c r="C232" s="29"/>
      <c r="D232" s="30"/>
      <c r="E232" s="30"/>
      <c r="F232" s="31">
        <v>3073939</v>
      </c>
      <c r="G232" s="30"/>
      <c r="H232" s="29"/>
      <c r="I232" s="29"/>
      <c r="J232" s="30"/>
      <c r="K232" s="32" t="s">
        <v>549</v>
      </c>
      <c r="L232" s="29"/>
    </row>
    <row r="233" spans="1:12" x14ac:dyDescent="0.25">
      <c r="A233" s="16" t="s">
        <v>281</v>
      </c>
      <c r="B233" s="34" t="s">
        <v>258</v>
      </c>
      <c r="C233" s="18">
        <v>6.58</v>
      </c>
      <c r="D233" s="19" t="s">
        <v>23</v>
      </c>
      <c r="E233" s="20">
        <v>246976.42</v>
      </c>
      <c r="F233" s="21">
        <v>1625105</v>
      </c>
      <c r="G233" s="22">
        <v>6.58</v>
      </c>
      <c r="H233" s="21">
        <f>ROUND(G233*E233,0)</f>
        <v>1625105</v>
      </c>
      <c r="I233" s="21">
        <f>H233-F233</f>
        <v>0</v>
      </c>
      <c r="J233" s="23"/>
      <c r="K233" s="24" t="s">
        <v>550</v>
      </c>
      <c r="L233" s="25">
        <v>6.58</v>
      </c>
    </row>
    <row r="234" spans="1:12" x14ac:dyDescent="0.25">
      <c r="A234" s="16" t="s">
        <v>284</v>
      </c>
      <c r="B234" s="34" t="s">
        <v>542</v>
      </c>
      <c r="C234" s="18">
        <v>40.57</v>
      </c>
      <c r="D234" s="19" t="s">
        <v>229</v>
      </c>
      <c r="E234" s="20">
        <v>13176.23</v>
      </c>
      <c r="F234" s="21">
        <v>534560</v>
      </c>
      <c r="G234" s="22">
        <v>40.57</v>
      </c>
      <c r="H234" s="21">
        <f>ROUND(G234*E234,0)</f>
        <v>534560</v>
      </c>
      <c r="I234" s="21">
        <f>H234-F234</f>
        <v>0</v>
      </c>
      <c r="J234" s="23"/>
      <c r="K234" s="24" t="s">
        <v>551</v>
      </c>
      <c r="L234" s="25">
        <v>40.57</v>
      </c>
    </row>
    <row r="235" spans="1:12" x14ac:dyDescent="0.25">
      <c r="A235" s="16" t="s">
        <v>286</v>
      </c>
      <c r="B235" s="34" t="s">
        <v>544</v>
      </c>
      <c r="C235" s="18">
        <v>32.2</v>
      </c>
      <c r="D235" s="19" t="s">
        <v>229</v>
      </c>
      <c r="E235" s="20">
        <v>13176.23</v>
      </c>
      <c r="F235" s="21">
        <v>424274</v>
      </c>
      <c r="G235" s="22">
        <v>32.2</v>
      </c>
      <c r="H235" s="21">
        <f>ROUND(G235*E235,0)</f>
        <v>424274</v>
      </c>
      <c r="I235" s="21">
        <f>H235-F235</f>
        <v>0</v>
      </c>
      <c r="J235" s="23"/>
      <c r="K235" s="24" t="s">
        <v>552</v>
      </c>
      <c r="L235" s="35">
        <v>0</v>
      </c>
    </row>
    <row r="236" spans="1:12" x14ac:dyDescent="0.25">
      <c r="A236" s="16" t="s">
        <v>291</v>
      </c>
      <c r="B236" s="34" t="s">
        <v>334</v>
      </c>
      <c r="C236" s="18">
        <v>0.49</v>
      </c>
      <c r="D236" s="19" t="s">
        <v>214</v>
      </c>
      <c r="E236" s="20">
        <v>1000000</v>
      </c>
      <c r="F236" s="21">
        <v>490000</v>
      </c>
      <c r="G236" s="22">
        <v>0.49</v>
      </c>
      <c r="H236" s="21">
        <f>ROUND(G236*E236,0)</f>
        <v>490000</v>
      </c>
      <c r="I236" s="21">
        <f>H236-F236</f>
        <v>0</v>
      </c>
      <c r="J236" s="23"/>
      <c r="K236" s="24" t="s">
        <v>553</v>
      </c>
      <c r="L236" s="35">
        <v>0</v>
      </c>
    </row>
    <row r="237" spans="1:12" s="26" customFormat="1" x14ac:dyDescent="0.25">
      <c r="A237" s="27" t="s">
        <v>140</v>
      </c>
      <c r="B237" s="33" t="s">
        <v>554</v>
      </c>
      <c r="C237" s="29"/>
      <c r="D237" s="30"/>
      <c r="E237" s="30"/>
      <c r="F237" s="31">
        <v>48786027</v>
      </c>
      <c r="G237" s="30"/>
      <c r="H237" s="29"/>
      <c r="I237" s="29"/>
      <c r="J237" s="30"/>
      <c r="K237" s="32" t="s">
        <v>555</v>
      </c>
      <c r="L237" s="29"/>
    </row>
    <row r="238" spans="1:12" x14ac:dyDescent="0.25">
      <c r="A238" s="16" t="s">
        <v>301</v>
      </c>
      <c r="B238" s="34" t="s">
        <v>523</v>
      </c>
      <c r="C238" s="18">
        <v>40.56</v>
      </c>
      <c r="D238" s="19" t="s">
        <v>214</v>
      </c>
      <c r="E238" s="20">
        <v>66784.39</v>
      </c>
      <c r="F238" s="21">
        <v>2708775</v>
      </c>
      <c r="G238" s="22">
        <v>40.56</v>
      </c>
      <c r="H238" s="21">
        <f>ROUND(G238*E238,0)</f>
        <v>2708775</v>
      </c>
      <c r="I238" s="21">
        <f>H238-F238</f>
        <v>0</v>
      </c>
      <c r="J238" s="23"/>
      <c r="K238" s="24" t="s">
        <v>556</v>
      </c>
      <c r="L238" s="35">
        <v>0</v>
      </c>
    </row>
    <row r="239" spans="1:12" x14ac:dyDescent="0.25">
      <c r="A239" s="16" t="s">
        <v>304</v>
      </c>
      <c r="B239" s="34" t="s">
        <v>525</v>
      </c>
      <c r="C239" s="18">
        <v>40.56</v>
      </c>
      <c r="D239" s="19" t="s">
        <v>214</v>
      </c>
      <c r="E239" s="20">
        <v>53756.99</v>
      </c>
      <c r="F239" s="21">
        <v>2180384</v>
      </c>
      <c r="G239" s="22">
        <v>40.56</v>
      </c>
      <c r="H239" s="21">
        <f>ROUND(G239*E239,0)</f>
        <v>2180384</v>
      </c>
      <c r="I239" s="21">
        <f>H239-F239</f>
        <v>0</v>
      </c>
      <c r="J239" s="23"/>
      <c r="K239" s="24" t="s">
        <v>557</v>
      </c>
      <c r="L239" s="35">
        <v>0</v>
      </c>
    </row>
    <row r="240" spans="1:12" x14ac:dyDescent="0.25">
      <c r="A240" s="16" t="s">
        <v>307</v>
      </c>
      <c r="B240" s="34" t="s">
        <v>558</v>
      </c>
      <c r="C240" s="18">
        <v>10.14</v>
      </c>
      <c r="D240" s="19" t="s">
        <v>214</v>
      </c>
      <c r="E240" s="20">
        <v>345522.98</v>
      </c>
      <c r="F240" s="21">
        <v>3503603</v>
      </c>
      <c r="G240" s="22">
        <v>10.14</v>
      </c>
      <c r="H240" s="21">
        <f>ROUND(G240*E240,0)</f>
        <v>3503603</v>
      </c>
      <c r="I240" s="21">
        <f>H240-F240</f>
        <v>0</v>
      </c>
      <c r="J240" s="23"/>
      <c r="K240" s="24" t="s">
        <v>559</v>
      </c>
      <c r="L240" s="35">
        <v>0</v>
      </c>
    </row>
    <row r="241" spans="1:12" x14ac:dyDescent="0.25">
      <c r="A241" s="16" t="s">
        <v>310</v>
      </c>
      <c r="B241" s="34" t="s">
        <v>560</v>
      </c>
      <c r="C241" s="18">
        <v>5.07</v>
      </c>
      <c r="D241" s="19" t="s">
        <v>214</v>
      </c>
      <c r="E241" s="20">
        <v>1016530.97</v>
      </c>
      <c r="F241" s="21">
        <v>5153812</v>
      </c>
      <c r="G241" s="22">
        <v>5.07</v>
      </c>
      <c r="H241" s="21">
        <f>ROUND(G241*E241,0)</f>
        <v>5153812</v>
      </c>
      <c r="I241" s="21">
        <f>H241-F241</f>
        <v>0</v>
      </c>
      <c r="J241" s="23"/>
      <c r="K241" s="24" t="s">
        <v>561</v>
      </c>
      <c r="L241" s="35">
        <v>0</v>
      </c>
    </row>
    <row r="242" spans="1:12" x14ac:dyDescent="0.25">
      <c r="A242" s="16" t="s">
        <v>312</v>
      </c>
      <c r="B242" s="34" t="s">
        <v>258</v>
      </c>
      <c r="C242" s="18">
        <v>6.14</v>
      </c>
      <c r="D242" s="19" t="s">
        <v>23</v>
      </c>
      <c r="E242" s="20">
        <v>246976.42</v>
      </c>
      <c r="F242" s="21">
        <v>1516435</v>
      </c>
      <c r="G242" s="22">
        <v>6.14</v>
      </c>
      <c r="H242" s="21">
        <f>ROUND(G242*E242,0)</f>
        <v>1516435</v>
      </c>
      <c r="I242" s="21">
        <f>H242-F242</f>
        <v>0</v>
      </c>
      <c r="J242" s="23"/>
      <c r="K242" s="24" t="s">
        <v>562</v>
      </c>
      <c r="L242" s="35">
        <v>0</v>
      </c>
    </row>
    <row r="243" spans="1:12" x14ac:dyDescent="0.25">
      <c r="A243" s="16" t="s">
        <v>563</v>
      </c>
      <c r="B243" s="34" t="s">
        <v>564</v>
      </c>
      <c r="C243" s="18">
        <v>1651.54</v>
      </c>
      <c r="D243" s="19" t="s">
        <v>229</v>
      </c>
      <c r="E243" s="20">
        <v>11700</v>
      </c>
      <c r="F243" s="21">
        <v>19323018</v>
      </c>
      <c r="G243" s="22">
        <v>1651.54</v>
      </c>
      <c r="H243" s="21">
        <f>ROUND(G243*E243,0)</f>
        <v>19323018</v>
      </c>
      <c r="I243" s="21">
        <f>H243-F243</f>
        <v>0</v>
      </c>
      <c r="J243" s="23"/>
      <c r="K243" s="24" t="s">
        <v>565</v>
      </c>
      <c r="L243" s="35">
        <v>0</v>
      </c>
    </row>
    <row r="244" spans="1:12" x14ac:dyDescent="0.25">
      <c r="A244" s="16" t="s">
        <v>566</v>
      </c>
      <c r="B244" s="34" t="s">
        <v>377</v>
      </c>
      <c r="C244" s="18">
        <v>14.4</v>
      </c>
      <c r="D244" s="19" t="s">
        <v>214</v>
      </c>
      <c r="E244" s="20">
        <v>1000000</v>
      </c>
      <c r="F244" s="21">
        <v>14400000</v>
      </c>
      <c r="G244" s="22">
        <v>14.4</v>
      </c>
      <c r="H244" s="21">
        <f>ROUND(G244*E244,0)</f>
        <v>14400000</v>
      </c>
      <c r="I244" s="21">
        <f>H244-F244</f>
        <v>0</v>
      </c>
      <c r="J244" s="23"/>
      <c r="K244" s="24" t="s">
        <v>567</v>
      </c>
      <c r="L244" s="35">
        <v>0</v>
      </c>
    </row>
    <row r="245" spans="1:12" s="26" customFormat="1" x14ac:dyDescent="0.25">
      <c r="A245" s="27" t="s">
        <v>143</v>
      </c>
      <c r="B245" s="33" t="s">
        <v>454</v>
      </c>
      <c r="C245" s="29"/>
      <c r="D245" s="30"/>
      <c r="E245" s="30"/>
      <c r="F245" s="31">
        <v>2451350</v>
      </c>
      <c r="G245" s="30"/>
      <c r="H245" s="29"/>
      <c r="I245" s="29"/>
      <c r="J245" s="30"/>
      <c r="K245" s="32" t="s">
        <v>568</v>
      </c>
      <c r="L245" s="29"/>
    </row>
    <row r="246" spans="1:12" x14ac:dyDescent="0.25">
      <c r="A246" s="16" t="s">
        <v>381</v>
      </c>
      <c r="B246" s="34" t="s">
        <v>456</v>
      </c>
      <c r="C246" s="18">
        <v>0.42</v>
      </c>
      <c r="D246" s="19" t="s">
        <v>214</v>
      </c>
      <c r="E246" s="20">
        <v>56660.36</v>
      </c>
      <c r="F246" s="21">
        <v>23797</v>
      </c>
      <c r="G246" s="22">
        <v>0.42</v>
      </c>
      <c r="H246" s="21">
        <f>ROUND(G246*E246,0)</f>
        <v>23797</v>
      </c>
      <c r="I246" s="21">
        <f>H246-F246</f>
        <v>0</v>
      </c>
      <c r="J246" s="23"/>
      <c r="K246" s="24" t="s">
        <v>569</v>
      </c>
      <c r="L246" s="35">
        <v>0</v>
      </c>
    </row>
    <row r="247" spans="1:12" x14ac:dyDescent="0.25">
      <c r="A247" s="16" t="s">
        <v>383</v>
      </c>
      <c r="B247" s="34" t="s">
        <v>458</v>
      </c>
      <c r="C247" s="18">
        <v>10.62</v>
      </c>
      <c r="D247" s="19" t="s">
        <v>23</v>
      </c>
      <c r="E247" s="20">
        <v>122466.89</v>
      </c>
      <c r="F247" s="21">
        <v>1300599</v>
      </c>
      <c r="G247" s="22">
        <v>10.62</v>
      </c>
      <c r="H247" s="21">
        <f>ROUND(G247*E247,0)</f>
        <v>1300599</v>
      </c>
      <c r="I247" s="21">
        <f>H247-F247</f>
        <v>0</v>
      </c>
      <c r="J247" s="23"/>
      <c r="K247" s="24" t="s">
        <v>570</v>
      </c>
      <c r="L247" s="35">
        <v>0</v>
      </c>
    </row>
    <row r="248" spans="1:12" x14ac:dyDescent="0.25">
      <c r="A248" s="16" t="s">
        <v>385</v>
      </c>
      <c r="B248" s="34" t="s">
        <v>460</v>
      </c>
      <c r="C248" s="18">
        <v>1.27</v>
      </c>
      <c r="D248" s="19" t="s">
        <v>214</v>
      </c>
      <c r="E248" s="20">
        <v>124258.76</v>
      </c>
      <c r="F248" s="21">
        <v>157809</v>
      </c>
      <c r="G248" s="22">
        <v>1.27</v>
      </c>
      <c r="H248" s="21">
        <f>ROUND(G248*E248,0)</f>
        <v>157809</v>
      </c>
      <c r="I248" s="21">
        <f>H248-F248</f>
        <v>0</v>
      </c>
      <c r="J248" s="23"/>
      <c r="K248" s="24" t="s">
        <v>571</v>
      </c>
      <c r="L248" s="35">
        <v>0</v>
      </c>
    </row>
    <row r="249" spans="1:12" x14ac:dyDescent="0.25">
      <c r="A249" s="16" t="s">
        <v>387</v>
      </c>
      <c r="B249" s="34" t="s">
        <v>462</v>
      </c>
      <c r="C249" s="18">
        <v>0.13</v>
      </c>
      <c r="D249" s="19" t="s">
        <v>214</v>
      </c>
      <c r="E249" s="20">
        <v>345522.98</v>
      </c>
      <c r="F249" s="21">
        <v>44918</v>
      </c>
      <c r="G249" s="22">
        <v>0.13</v>
      </c>
      <c r="H249" s="21">
        <f>ROUND(G249*E249,0)</f>
        <v>44918</v>
      </c>
      <c r="I249" s="21">
        <f>H249-F249</f>
        <v>0</v>
      </c>
      <c r="J249" s="23"/>
      <c r="K249" s="24" t="s">
        <v>572</v>
      </c>
      <c r="L249" s="35">
        <v>0</v>
      </c>
    </row>
    <row r="250" spans="1:12" x14ac:dyDescent="0.25">
      <c r="A250" s="16" t="s">
        <v>573</v>
      </c>
      <c r="B250" s="34" t="s">
        <v>366</v>
      </c>
      <c r="C250" s="18">
        <v>0.3</v>
      </c>
      <c r="D250" s="19" t="s">
        <v>214</v>
      </c>
      <c r="E250" s="20">
        <v>1016530.97</v>
      </c>
      <c r="F250" s="21">
        <v>304959</v>
      </c>
      <c r="G250" s="22">
        <v>0.3</v>
      </c>
      <c r="H250" s="21">
        <f>ROUND(G250*E250,0)</f>
        <v>304959</v>
      </c>
      <c r="I250" s="21">
        <f>H250-F250</f>
        <v>0</v>
      </c>
      <c r="J250" s="23"/>
      <c r="K250" s="24" t="s">
        <v>574</v>
      </c>
      <c r="L250" s="35">
        <v>0</v>
      </c>
    </row>
    <row r="251" spans="1:12" x14ac:dyDescent="0.25">
      <c r="A251" s="16" t="s">
        <v>575</v>
      </c>
      <c r="B251" s="34" t="s">
        <v>465</v>
      </c>
      <c r="C251" s="18">
        <v>4.26</v>
      </c>
      <c r="D251" s="19" t="s">
        <v>23</v>
      </c>
      <c r="E251" s="20">
        <v>54647.67</v>
      </c>
      <c r="F251" s="21">
        <v>232799</v>
      </c>
      <c r="G251" s="22">
        <v>4.26</v>
      </c>
      <c r="H251" s="21">
        <f>ROUND(G251*E251,0)</f>
        <v>232799</v>
      </c>
      <c r="I251" s="21">
        <f>H251-F251</f>
        <v>0</v>
      </c>
      <c r="J251" s="23"/>
      <c r="K251" s="24" t="s">
        <v>576</v>
      </c>
      <c r="L251" s="35">
        <v>0</v>
      </c>
    </row>
    <row r="252" spans="1:12" x14ac:dyDescent="0.25">
      <c r="A252" s="16" t="s">
        <v>577</v>
      </c>
      <c r="B252" s="34" t="s">
        <v>250</v>
      </c>
      <c r="C252" s="18">
        <v>8.49</v>
      </c>
      <c r="D252" s="19" t="s">
        <v>23</v>
      </c>
      <c r="E252" s="20">
        <v>45520.53</v>
      </c>
      <c r="F252" s="21">
        <v>386469</v>
      </c>
      <c r="G252" s="22">
        <v>8.49</v>
      </c>
      <c r="H252" s="21">
        <f>ROUND(G252*E252,0)</f>
        <v>386469</v>
      </c>
      <c r="I252" s="21">
        <f>H252-F252</f>
        <v>0</v>
      </c>
      <c r="J252" s="23"/>
      <c r="K252" s="24" t="s">
        <v>578</v>
      </c>
      <c r="L252" s="35">
        <v>0</v>
      </c>
    </row>
    <row r="253" spans="1:12" s="26" customFormat="1" x14ac:dyDescent="0.25">
      <c r="A253" s="27" t="s">
        <v>146</v>
      </c>
      <c r="B253" s="33" t="s">
        <v>579</v>
      </c>
      <c r="C253" s="29"/>
      <c r="D253" s="30"/>
      <c r="E253" s="30"/>
      <c r="F253" s="31">
        <v>912804</v>
      </c>
      <c r="G253" s="30"/>
      <c r="H253" s="29"/>
      <c r="I253" s="29"/>
      <c r="J253" s="30"/>
      <c r="K253" s="32" t="s">
        <v>580</v>
      </c>
      <c r="L253" s="29"/>
    </row>
    <row r="254" spans="1:12" x14ac:dyDescent="0.25">
      <c r="A254" s="16" t="s">
        <v>391</v>
      </c>
      <c r="B254" s="34" t="s">
        <v>581</v>
      </c>
      <c r="C254" s="18">
        <v>4.1</v>
      </c>
      <c r="D254" s="19" t="s">
        <v>23</v>
      </c>
      <c r="E254" s="20">
        <v>122466.89</v>
      </c>
      <c r="F254" s="21">
        <v>502114</v>
      </c>
      <c r="G254" s="22">
        <v>4.1</v>
      </c>
      <c r="H254" s="21">
        <f>ROUND(G254*E254,0)</f>
        <v>502114</v>
      </c>
      <c r="I254" s="21">
        <f>H254-F254</f>
        <v>0</v>
      </c>
      <c r="J254" s="23"/>
      <c r="K254" s="24" t="s">
        <v>582</v>
      </c>
      <c r="L254" s="35">
        <v>0</v>
      </c>
    </row>
    <row r="255" spans="1:12" x14ac:dyDescent="0.25">
      <c r="A255" s="16" t="s">
        <v>394</v>
      </c>
      <c r="B255" s="34" t="s">
        <v>447</v>
      </c>
      <c r="C255" s="18">
        <v>4.1</v>
      </c>
      <c r="D255" s="19" t="s">
        <v>23</v>
      </c>
      <c r="E255" s="20">
        <v>54647.67</v>
      </c>
      <c r="F255" s="21">
        <v>224056</v>
      </c>
      <c r="G255" s="22">
        <v>4.1</v>
      </c>
      <c r="H255" s="21">
        <f>ROUND(G255*E255,0)</f>
        <v>224056</v>
      </c>
      <c r="I255" s="21">
        <f>H255-F255</f>
        <v>0</v>
      </c>
      <c r="J255" s="23"/>
      <c r="K255" s="24" t="s">
        <v>583</v>
      </c>
      <c r="L255" s="35">
        <v>0</v>
      </c>
    </row>
    <row r="256" spans="1:12" x14ac:dyDescent="0.25">
      <c r="A256" s="16" t="s">
        <v>396</v>
      </c>
      <c r="B256" s="34" t="s">
        <v>250</v>
      </c>
      <c r="C256" s="18">
        <v>4.1</v>
      </c>
      <c r="D256" s="19" t="s">
        <v>23</v>
      </c>
      <c r="E256" s="20">
        <v>45520.53</v>
      </c>
      <c r="F256" s="21">
        <v>186634</v>
      </c>
      <c r="G256" s="22">
        <v>4.1</v>
      </c>
      <c r="H256" s="21">
        <f>ROUND(G256*E256,0)</f>
        <v>186634</v>
      </c>
      <c r="I256" s="21">
        <f>H256-F256</f>
        <v>0</v>
      </c>
      <c r="J256" s="23"/>
      <c r="K256" s="24" t="s">
        <v>584</v>
      </c>
      <c r="L256" s="35">
        <v>0</v>
      </c>
    </row>
    <row r="257" spans="1:12" x14ac:dyDescent="0.25">
      <c r="A257" s="16" t="s">
        <v>150</v>
      </c>
      <c r="B257" s="36" t="s">
        <v>585</v>
      </c>
      <c r="C257" s="18">
        <v>102</v>
      </c>
      <c r="D257" s="19" t="s">
        <v>23</v>
      </c>
      <c r="E257" s="20">
        <v>54647.67</v>
      </c>
      <c r="F257" s="21">
        <v>5574062</v>
      </c>
      <c r="G257" s="22">
        <v>102</v>
      </c>
      <c r="H257" s="21">
        <f>ROUND(G257*E257,0)</f>
        <v>5574062</v>
      </c>
      <c r="I257" s="21">
        <f>H257-F257</f>
        <v>0</v>
      </c>
      <c r="J257" s="23"/>
      <c r="K257" s="24" t="s">
        <v>586</v>
      </c>
      <c r="L257" s="35">
        <v>0</v>
      </c>
    </row>
    <row r="258" spans="1:12" s="8" customFormat="1" x14ac:dyDescent="0.25">
      <c r="A258" s="9" t="s">
        <v>587</v>
      </c>
      <c r="B258" s="10" t="s">
        <v>588</v>
      </c>
      <c r="C258" s="11"/>
      <c r="D258" s="12"/>
      <c r="E258" s="12"/>
      <c r="F258" s="13">
        <v>156432356</v>
      </c>
      <c r="G258" s="12"/>
      <c r="H258" s="11"/>
      <c r="I258" s="11"/>
      <c r="J258" s="12"/>
      <c r="K258" s="14" t="s">
        <v>587</v>
      </c>
      <c r="L258" s="15"/>
    </row>
    <row r="259" spans="1:12" s="26" customFormat="1" x14ac:dyDescent="0.25">
      <c r="A259" s="27" t="s">
        <v>589</v>
      </c>
      <c r="B259" s="28" t="s">
        <v>512</v>
      </c>
      <c r="C259" s="29"/>
      <c r="D259" s="30"/>
      <c r="E259" s="30"/>
      <c r="F259" s="31">
        <v>115041813</v>
      </c>
      <c r="G259" s="30"/>
      <c r="H259" s="29"/>
      <c r="I259" s="29"/>
      <c r="J259" s="30"/>
      <c r="K259" s="32" t="s">
        <v>590</v>
      </c>
      <c r="L259" s="29"/>
    </row>
    <row r="260" spans="1:12" x14ac:dyDescent="0.25">
      <c r="A260" s="16" t="s">
        <v>21</v>
      </c>
      <c r="B260" s="36" t="s">
        <v>319</v>
      </c>
      <c r="C260" s="18">
        <v>40</v>
      </c>
      <c r="D260" s="19" t="s">
        <v>38</v>
      </c>
      <c r="E260" s="20">
        <v>147990.68</v>
      </c>
      <c r="F260" s="21">
        <v>5919627</v>
      </c>
      <c r="G260" s="22">
        <v>40</v>
      </c>
      <c r="H260" s="21">
        <f>ROUND(G260*E260,0)</f>
        <v>5919627</v>
      </c>
      <c r="I260" s="21">
        <f>H260-F260</f>
        <v>0</v>
      </c>
      <c r="J260" s="23"/>
      <c r="K260" s="24" t="s">
        <v>591</v>
      </c>
      <c r="L260" s="25">
        <v>40</v>
      </c>
    </row>
    <row r="261" spans="1:12" s="26" customFormat="1" x14ac:dyDescent="0.25">
      <c r="A261" s="27" t="s">
        <v>25</v>
      </c>
      <c r="B261" s="33" t="s">
        <v>338</v>
      </c>
      <c r="C261" s="29"/>
      <c r="D261" s="30"/>
      <c r="E261" s="30"/>
      <c r="F261" s="31">
        <v>58329076</v>
      </c>
      <c r="G261" s="30"/>
      <c r="H261" s="29"/>
      <c r="I261" s="29"/>
      <c r="J261" s="30"/>
      <c r="K261" s="32" t="s">
        <v>592</v>
      </c>
      <c r="L261" s="29"/>
    </row>
    <row r="262" spans="1:12" x14ac:dyDescent="0.25">
      <c r="A262" s="16" t="s">
        <v>224</v>
      </c>
      <c r="B262" s="34" t="s">
        <v>593</v>
      </c>
      <c r="C262" s="18">
        <v>57.09</v>
      </c>
      <c r="D262" s="19" t="s">
        <v>214</v>
      </c>
      <c r="E262" s="20">
        <v>56660.36</v>
      </c>
      <c r="F262" s="21">
        <v>3234740</v>
      </c>
      <c r="G262" s="22">
        <v>57.09</v>
      </c>
      <c r="H262" s="21">
        <f>ROUND(G262*E262,0)</f>
        <v>3234740</v>
      </c>
      <c r="I262" s="21">
        <f>H262-F262</f>
        <v>0</v>
      </c>
      <c r="J262" s="23"/>
      <c r="K262" s="24" t="s">
        <v>594</v>
      </c>
      <c r="L262" s="25">
        <v>57.09</v>
      </c>
    </row>
    <row r="263" spans="1:12" x14ac:dyDescent="0.25">
      <c r="A263" s="16" t="s">
        <v>227</v>
      </c>
      <c r="B263" s="34" t="s">
        <v>342</v>
      </c>
      <c r="C263" s="18">
        <v>1248</v>
      </c>
      <c r="D263" s="19" t="s">
        <v>38</v>
      </c>
      <c r="E263" s="20">
        <v>25700</v>
      </c>
      <c r="F263" s="21">
        <v>32073600</v>
      </c>
      <c r="G263" s="22">
        <v>1248</v>
      </c>
      <c r="H263" s="21">
        <f>ROUND(G263*E263,0)</f>
        <v>32073600</v>
      </c>
      <c r="I263" s="21">
        <f>H263-F263</f>
        <v>0</v>
      </c>
      <c r="J263" s="23"/>
      <c r="K263" s="24" t="s">
        <v>595</v>
      </c>
      <c r="L263" s="25">
        <v>1248</v>
      </c>
    </row>
    <row r="264" spans="1:12" x14ac:dyDescent="0.25">
      <c r="A264" s="16" t="s">
        <v>231</v>
      </c>
      <c r="B264" s="34" t="s">
        <v>520</v>
      </c>
      <c r="C264" s="18">
        <v>11.42</v>
      </c>
      <c r="D264" s="19" t="s">
        <v>214</v>
      </c>
      <c r="E264" s="20">
        <v>543564.56</v>
      </c>
      <c r="F264" s="21">
        <v>6207507</v>
      </c>
      <c r="G264" s="22">
        <v>11.42</v>
      </c>
      <c r="H264" s="21">
        <f>ROUND(G264*E264,0)</f>
        <v>6207507</v>
      </c>
      <c r="I264" s="21">
        <f>H264-F264</f>
        <v>0</v>
      </c>
      <c r="J264" s="23"/>
      <c r="K264" s="24" t="s">
        <v>596</v>
      </c>
      <c r="L264" s="25">
        <v>7.42</v>
      </c>
    </row>
    <row r="265" spans="1:12" x14ac:dyDescent="0.25">
      <c r="A265" s="16" t="s">
        <v>234</v>
      </c>
      <c r="B265" s="34" t="s">
        <v>346</v>
      </c>
      <c r="C265" s="18">
        <v>16.38</v>
      </c>
      <c r="D265" s="19" t="s">
        <v>214</v>
      </c>
      <c r="E265" s="20">
        <v>780000</v>
      </c>
      <c r="F265" s="21">
        <v>12776400</v>
      </c>
      <c r="G265" s="22">
        <v>16.38</v>
      </c>
      <c r="H265" s="21">
        <f>ROUND(G265*E265,0)</f>
        <v>12776400</v>
      </c>
      <c r="I265" s="21">
        <f>H265-F265</f>
        <v>0</v>
      </c>
      <c r="J265" s="23"/>
      <c r="K265" s="24" t="s">
        <v>597</v>
      </c>
      <c r="L265" s="25">
        <v>12.38</v>
      </c>
    </row>
    <row r="266" spans="1:12" x14ac:dyDescent="0.25">
      <c r="A266" s="16" t="s">
        <v>330</v>
      </c>
      <c r="B266" s="34" t="s">
        <v>523</v>
      </c>
      <c r="C266" s="18">
        <v>19.03</v>
      </c>
      <c r="D266" s="19" t="s">
        <v>214</v>
      </c>
      <c r="E266" s="20">
        <v>66784.39</v>
      </c>
      <c r="F266" s="21">
        <v>1270907</v>
      </c>
      <c r="G266" s="22">
        <v>19.03</v>
      </c>
      <c r="H266" s="21">
        <f>ROUND(G266*E266,0)</f>
        <v>1270907</v>
      </c>
      <c r="I266" s="21">
        <f>H266-F266</f>
        <v>0</v>
      </c>
      <c r="J266" s="23"/>
      <c r="K266" s="24" t="s">
        <v>598</v>
      </c>
      <c r="L266" s="25">
        <v>19.03</v>
      </c>
    </row>
    <row r="267" spans="1:12" x14ac:dyDescent="0.25">
      <c r="A267" s="16" t="s">
        <v>333</v>
      </c>
      <c r="B267" s="34" t="s">
        <v>525</v>
      </c>
      <c r="C267" s="18">
        <v>19.03</v>
      </c>
      <c r="D267" s="19" t="s">
        <v>214</v>
      </c>
      <c r="E267" s="20">
        <v>53756.99</v>
      </c>
      <c r="F267" s="21">
        <v>1022996</v>
      </c>
      <c r="G267" s="22">
        <v>19.03</v>
      </c>
      <c r="H267" s="21">
        <f>ROUND(G267*E267,0)</f>
        <v>1022996</v>
      </c>
      <c r="I267" s="21">
        <f>H267-F267</f>
        <v>0</v>
      </c>
      <c r="J267" s="23"/>
      <c r="K267" s="24" t="s">
        <v>599</v>
      </c>
      <c r="L267" s="25">
        <v>19.03</v>
      </c>
    </row>
    <row r="268" spans="1:12" x14ac:dyDescent="0.25">
      <c r="A268" s="16" t="s">
        <v>336</v>
      </c>
      <c r="B268" s="34" t="s">
        <v>447</v>
      </c>
      <c r="C268" s="18">
        <v>17.4</v>
      </c>
      <c r="D268" s="19" t="s">
        <v>23</v>
      </c>
      <c r="E268" s="20">
        <v>54647.67</v>
      </c>
      <c r="F268" s="21">
        <v>950869</v>
      </c>
      <c r="G268" s="22">
        <v>17.4</v>
      </c>
      <c r="H268" s="21">
        <f>ROUND(G268*E268,0)</f>
        <v>950869</v>
      </c>
      <c r="I268" s="21">
        <f>H268-F268</f>
        <v>0</v>
      </c>
      <c r="J268" s="23"/>
      <c r="K268" s="24" t="s">
        <v>600</v>
      </c>
      <c r="L268" s="35">
        <v>0</v>
      </c>
    </row>
    <row r="269" spans="1:12" x14ac:dyDescent="0.25">
      <c r="A269" s="16" t="s">
        <v>528</v>
      </c>
      <c r="B269" s="34" t="s">
        <v>250</v>
      </c>
      <c r="C269" s="18">
        <v>17.4</v>
      </c>
      <c r="D269" s="19" t="s">
        <v>23</v>
      </c>
      <c r="E269" s="20">
        <v>45520.53</v>
      </c>
      <c r="F269" s="21">
        <v>792057</v>
      </c>
      <c r="G269" s="22">
        <v>17.4</v>
      </c>
      <c r="H269" s="21">
        <f>ROUND(G269*E269,0)</f>
        <v>792057</v>
      </c>
      <c r="I269" s="21">
        <f>H269-F269</f>
        <v>0</v>
      </c>
      <c r="J269" s="23"/>
      <c r="K269" s="24" t="s">
        <v>601</v>
      </c>
      <c r="L269" s="35">
        <v>0</v>
      </c>
    </row>
    <row r="270" spans="1:12" x14ac:dyDescent="0.25">
      <c r="A270" s="16" t="s">
        <v>29</v>
      </c>
      <c r="B270" s="36" t="s">
        <v>348</v>
      </c>
      <c r="C270" s="18">
        <v>16.34</v>
      </c>
      <c r="D270" s="19" t="s">
        <v>229</v>
      </c>
      <c r="E270" s="20">
        <v>13176.23</v>
      </c>
      <c r="F270" s="21">
        <v>215300</v>
      </c>
      <c r="G270" s="22">
        <v>16.34</v>
      </c>
      <c r="H270" s="21">
        <f>ROUND(G270*E270,0)</f>
        <v>215300</v>
      </c>
      <c r="I270" s="21">
        <f>H270-F270</f>
        <v>0</v>
      </c>
      <c r="J270" s="23"/>
      <c r="K270" s="24" t="s">
        <v>602</v>
      </c>
      <c r="L270" s="25">
        <v>16.34</v>
      </c>
    </row>
    <row r="271" spans="1:12" s="26" customFormat="1" x14ac:dyDescent="0.25">
      <c r="A271" s="27" t="s">
        <v>33</v>
      </c>
      <c r="B271" s="33" t="s">
        <v>539</v>
      </c>
      <c r="C271" s="29"/>
      <c r="D271" s="30"/>
      <c r="E271" s="30"/>
      <c r="F271" s="31">
        <v>18863335</v>
      </c>
      <c r="G271" s="30"/>
      <c r="H271" s="29"/>
      <c r="I271" s="29"/>
      <c r="J271" s="30"/>
      <c r="K271" s="32" t="s">
        <v>603</v>
      </c>
      <c r="L271" s="29"/>
    </row>
    <row r="272" spans="1:12" x14ac:dyDescent="0.25">
      <c r="A272" s="16" t="s">
        <v>257</v>
      </c>
      <c r="B272" s="34" t="s">
        <v>258</v>
      </c>
      <c r="C272" s="18">
        <v>31.14</v>
      </c>
      <c r="D272" s="19" t="s">
        <v>23</v>
      </c>
      <c r="E272" s="20">
        <v>246976.42</v>
      </c>
      <c r="F272" s="21">
        <v>7690846</v>
      </c>
      <c r="G272" s="22">
        <v>31.14</v>
      </c>
      <c r="H272" s="21">
        <f>ROUND(G272*E272,0)</f>
        <v>7690846</v>
      </c>
      <c r="I272" s="21">
        <f>H272-F272</f>
        <v>0</v>
      </c>
      <c r="J272" s="23"/>
      <c r="K272" s="24" t="s">
        <v>604</v>
      </c>
      <c r="L272" s="25">
        <v>31.14</v>
      </c>
    </row>
    <row r="273" spans="1:12" x14ac:dyDescent="0.25">
      <c r="A273" s="16" t="s">
        <v>260</v>
      </c>
      <c r="B273" s="34" t="s">
        <v>542</v>
      </c>
      <c r="C273" s="18">
        <v>351.96</v>
      </c>
      <c r="D273" s="19" t="s">
        <v>229</v>
      </c>
      <c r="E273" s="20">
        <v>13176.23</v>
      </c>
      <c r="F273" s="21">
        <v>4637506</v>
      </c>
      <c r="G273" s="22">
        <v>351.96</v>
      </c>
      <c r="H273" s="21">
        <f>ROUND(G273*E273,0)</f>
        <v>4637506</v>
      </c>
      <c r="I273" s="21">
        <f>H273-F273</f>
        <v>0</v>
      </c>
      <c r="J273" s="23"/>
      <c r="K273" s="24" t="s">
        <v>605</v>
      </c>
      <c r="L273" s="25">
        <v>351.96</v>
      </c>
    </row>
    <row r="274" spans="1:12" x14ac:dyDescent="0.25">
      <c r="A274" s="16" t="s">
        <v>262</v>
      </c>
      <c r="B274" s="34" t="s">
        <v>544</v>
      </c>
      <c r="C274" s="18">
        <v>87.83</v>
      </c>
      <c r="D274" s="19" t="s">
        <v>229</v>
      </c>
      <c r="E274" s="20">
        <v>13176.23</v>
      </c>
      <c r="F274" s="21">
        <v>1157268</v>
      </c>
      <c r="G274" s="22">
        <v>87.83</v>
      </c>
      <c r="H274" s="21">
        <f>ROUND(G274*E274,0)</f>
        <v>1157268</v>
      </c>
      <c r="I274" s="21">
        <f>H274-F274</f>
        <v>0</v>
      </c>
      <c r="J274" s="23"/>
      <c r="K274" s="24" t="s">
        <v>606</v>
      </c>
      <c r="L274" s="25">
        <v>87.83</v>
      </c>
    </row>
    <row r="275" spans="1:12" x14ac:dyDescent="0.25">
      <c r="A275" s="16" t="s">
        <v>607</v>
      </c>
      <c r="B275" s="34" t="s">
        <v>377</v>
      </c>
      <c r="C275" s="18">
        <v>4.67</v>
      </c>
      <c r="D275" s="19" t="s">
        <v>214</v>
      </c>
      <c r="E275" s="20">
        <v>1151545.01</v>
      </c>
      <c r="F275" s="21">
        <v>5377715</v>
      </c>
      <c r="G275" s="22">
        <v>4.67</v>
      </c>
      <c r="H275" s="21">
        <f>ROUND(G275*E275,0)</f>
        <v>5377715</v>
      </c>
      <c r="I275" s="21">
        <f>H275-F275</f>
        <v>0</v>
      </c>
      <c r="J275" s="23"/>
      <c r="K275" s="24" t="s">
        <v>608</v>
      </c>
      <c r="L275" s="25">
        <v>4.67</v>
      </c>
    </row>
    <row r="276" spans="1:12" s="26" customFormat="1" x14ac:dyDescent="0.25">
      <c r="A276" s="27" t="s">
        <v>36</v>
      </c>
      <c r="B276" s="33" t="s">
        <v>554</v>
      </c>
      <c r="C276" s="29"/>
      <c r="D276" s="30"/>
      <c r="E276" s="30"/>
      <c r="F276" s="31">
        <v>27753743</v>
      </c>
      <c r="G276" s="30"/>
      <c r="H276" s="29"/>
      <c r="I276" s="29"/>
      <c r="J276" s="30"/>
      <c r="K276" s="32" t="s">
        <v>609</v>
      </c>
      <c r="L276" s="29"/>
    </row>
    <row r="277" spans="1:12" x14ac:dyDescent="0.25">
      <c r="A277" s="16" t="s">
        <v>269</v>
      </c>
      <c r="B277" s="34" t="s">
        <v>523</v>
      </c>
      <c r="C277" s="18">
        <v>5.93</v>
      </c>
      <c r="D277" s="19" t="s">
        <v>214</v>
      </c>
      <c r="E277" s="20">
        <v>124258.76</v>
      </c>
      <c r="F277" s="21">
        <v>736855</v>
      </c>
      <c r="G277" s="22">
        <v>5.93</v>
      </c>
      <c r="H277" s="21">
        <f>ROUND(G277*E277,0)</f>
        <v>736855</v>
      </c>
      <c r="I277" s="21">
        <f>H277-F277</f>
        <v>0</v>
      </c>
      <c r="J277" s="23"/>
      <c r="K277" s="24" t="s">
        <v>610</v>
      </c>
      <c r="L277" s="35">
        <v>0</v>
      </c>
    </row>
    <row r="278" spans="1:12" x14ac:dyDescent="0.25">
      <c r="A278" s="16" t="s">
        <v>272</v>
      </c>
      <c r="B278" s="34" t="s">
        <v>525</v>
      </c>
      <c r="C278" s="18">
        <v>5.93</v>
      </c>
      <c r="D278" s="19" t="s">
        <v>214</v>
      </c>
      <c r="E278" s="20">
        <v>53756.99</v>
      </c>
      <c r="F278" s="21">
        <v>318779</v>
      </c>
      <c r="G278" s="22">
        <v>5.93</v>
      </c>
      <c r="H278" s="21">
        <f>ROUND(G278*E278,0)</f>
        <v>318779</v>
      </c>
      <c r="I278" s="21">
        <f>H278-F278</f>
        <v>0</v>
      </c>
      <c r="J278" s="23"/>
      <c r="K278" s="24" t="s">
        <v>611</v>
      </c>
      <c r="L278" s="35">
        <v>0</v>
      </c>
    </row>
    <row r="279" spans="1:12" x14ac:dyDescent="0.25">
      <c r="A279" s="16" t="s">
        <v>275</v>
      </c>
      <c r="B279" s="34" t="s">
        <v>558</v>
      </c>
      <c r="C279" s="18">
        <v>6.67</v>
      </c>
      <c r="D279" s="19" t="s">
        <v>214</v>
      </c>
      <c r="E279" s="20">
        <v>345522.98</v>
      </c>
      <c r="F279" s="21">
        <v>2304638</v>
      </c>
      <c r="G279" s="22">
        <v>6.67</v>
      </c>
      <c r="H279" s="21">
        <f>ROUND(G279*E279,0)</f>
        <v>2304638</v>
      </c>
      <c r="I279" s="21">
        <f>H279-F279</f>
        <v>0</v>
      </c>
      <c r="J279" s="23"/>
      <c r="K279" s="24" t="s">
        <v>612</v>
      </c>
      <c r="L279" s="35">
        <v>0</v>
      </c>
    </row>
    <row r="280" spans="1:12" x14ac:dyDescent="0.25">
      <c r="A280" s="16" t="s">
        <v>277</v>
      </c>
      <c r="B280" s="34" t="s">
        <v>560</v>
      </c>
      <c r="C280" s="18">
        <v>3.33</v>
      </c>
      <c r="D280" s="19" t="s">
        <v>214</v>
      </c>
      <c r="E280" s="20">
        <v>1016530.97</v>
      </c>
      <c r="F280" s="21">
        <v>3385048</v>
      </c>
      <c r="G280" s="22">
        <v>3.33</v>
      </c>
      <c r="H280" s="21">
        <f>ROUND(G280*E280,0)</f>
        <v>3385048</v>
      </c>
      <c r="I280" s="21">
        <f>H280-F280</f>
        <v>0</v>
      </c>
      <c r="J280" s="23"/>
      <c r="K280" s="24" t="s">
        <v>613</v>
      </c>
      <c r="L280" s="35">
        <v>0</v>
      </c>
    </row>
    <row r="281" spans="1:12" x14ac:dyDescent="0.25">
      <c r="A281" s="16" t="s">
        <v>546</v>
      </c>
      <c r="B281" s="34" t="s">
        <v>258</v>
      </c>
      <c r="C281" s="18">
        <v>5.22</v>
      </c>
      <c r="D281" s="19" t="s">
        <v>23</v>
      </c>
      <c r="E281" s="20">
        <v>246976.42</v>
      </c>
      <c r="F281" s="21">
        <v>1289217</v>
      </c>
      <c r="G281" s="22">
        <v>5.22</v>
      </c>
      <c r="H281" s="21">
        <f>ROUND(G281*E281,0)</f>
        <v>1289217</v>
      </c>
      <c r="I281" s="21">
        <f>H281-F281</f>
        <v>0</v>
      </c>
      <c r="J281" s="23"/>
      <c r="K281" s="24" t="s">
        <v>614</v>
      </c>
      <c r="L281" s="35">
        <v>0</v>
      </c>
    </row>
    <row r="282" spans="1:12" x14ac:dyDescent="0.25">
      <c r="A282" s="16" t="s">
        <v>615</v>
      </c>
      <c r="B282" s="34" t="s">
        <v>616</v>
      </c>
      <c r="C282" s="18">
        <v>816.74</v>
      </c>
      <c r="D282" s="19" t="s">
        <v>229</v>
      </c>
      <c r="E282" s="20">
        <v>11900</v>
      </c>
      <c r="F282" s="21">
        <v>9719206</v>
      </c>
      <c r="G282" s="22">
        <v>816.74</v>
      </c>
      <c r="H282" s="21">
        <f>ROUND(G282*E282,0)</f>
        <v>9719206</v>
      </c>
      <c r="I282" s="21">
        <f>H282-F282</f>
        <v>0</v>
      </c>
      <c r="J282" s="23"/>
      <c r="K282" s="24" t="s">
        <v>617</v>
      </c>
      <c r="L282" s="35">
        <v>0</v>
      </c>
    </row>
    <row r="283" spans="1:12" x14ac:dyDescent="0.25">
      <c r="A283" s="16" t="s">
        <v>618</v>
      </c>
      <c r="B283" s="34" t="s">
        <v>377</v>
      </c>
      <c r="C283" s="18">
        <v>10</v>
      </c>
      <c r="D283" s="19" t="s">
        <v>214</v>
      </c>
      <c r="E283" s="20">
        <v>1000000</v>
      </c>
      <c r="F283" s="21">
        <v>10000000</v>
      </c>
      <c r="G283" s="22">
        <v>10</v>
      </c>
      <c r="H283" s="21">
        <f>ROUND(G283*E283,0)</f>
        <v>10000000</v>
      </c>
      <c r="I283" s="21">
        <f>H283-F283</f>
        <v>0</v>
      </c>
      <c r="J283" s="23"/>
      <c r="K283" s="24" t="s">
        <v>619</v>
      </c>
      <c r="L283" s="35">
        <v>0</v>
      </c>
    </row>
    <row r="284" spans="1:12" s="26" customFormat="1" x14ac:dyDescent="0.25">
      <c r="A284" s="27" t="s">
        <v>40</v>
      </c>
      <c r="B284" s="33" t="s">
        <v>454</v>
      </c>
      <c r="C284" s="29"/>
      <c r="D284" s="30"/>
      <c r="E284" s="30"/>
      <c r="F284" s="31">
        <v>560443</v>
      </c>
      <c r="G284" s="30"/>
      <c r="H284" s="29"/>
      <c r="I284" s="29"/>
      <c r="J284" s="30"/>
      <c r="K284" s="32" t="s">
        <v>620</v>
      </c>
      <c r="L284" s="29"/>
    </row>
    <row r="285" spans="1:12" x14ac:dyDescent="0.25">
      <c r="A285" s="16" t="s">
        <v>281</v>
      </c>
      <c r="B285" s="34" t="s">
        <v>456</v>
      </c>
      <c r="C285" s="18">
        <v>0.12</v>
      </c>
      <c r="D285" s="19" t="s">
        <v>214</v>
      </c>
      <c r="E285" s="20">
        <v>56660.36</v>
      </c>
      <c r="F285" s="21">
        <v>6799</v>
      </c>
      <c r="G285" s="22">
        <v>0.12</v>
      </c>
      <c r="H285" s="21">
        <f>ROUND(G285*E285,0)</f>
        <v>6799</v>
      </c>
      <c r="I285" s="21">
        <f>H285-F285</f>
        <v>0</v>
      </c>
      <c r="J285" s="23"/>
      <c r="K285" s="24" t="s">
        <v>621</v>
      </c>
      <c r="L285" s="35">
        <v>0</v>
      </c>
    </row>
    <row r="286" spans="1:12" x14ac:dyDescent="0.25">
      <c r="A286" s="16" t="s">
        <v>284</v>
      </c>
      <c r="B286" s="34" t="s">
        <v>458</v>
      </c>
      <c r="C286" s="18">
        <v>2.33</v>
      </c>
      <c r="D286" s="19" t="s">
        <v>23</v>
      </c>
      <c r="E286" s="20">
        <v>122466.89</v>
      </c>
      <c r="F286" s="21">
        <v>285348</v>
      </c>
      <c r="G286" s="22">
        <v>2.33</v>
      </c>
      <c r="H286" s="21">
        <f>ROUND(G286*E286,0)</f>
        <v>285348</v>
      </c>
      <c r="I286" s="21">
        <f>H286-F286</f>
        <v>0</v>
      </c>
      <c r="J286" s="23"/>
      <c r="K286" s="24" t="s">
        <v>622</v>
      </c>
      <c r="L286" s="35">
        <v>0</v>
      </c>
    </row>
    <row r="287" spans="1:12" x14ac:dyDescent="0.25">
      <c r="A287" s="16" t="s">
        <v>286</v>
      </c>
      <c r="B287" s="34" t="s">
        <v>460</v>
      </c>
      <c r="C287" s="18">
        <v>0.18</v>
      </c>
      <c r="D287" s="19" t="s">
        <v>214</v>
      </c>
      <c r="E287" s="20">
        <v>124258.76</v>
      </c>
      <c r="F287" s="21">
        <v>22367</v>
      </c>
      <c r="G287" s="22">
        <v>0.18</v>
      </c>
      <c r="H287" s="21">
        <f>ROUND(G287*E287,0)</f>
        <v>22367</v>
      </c>
      <c r="I287" s="21">
        <f>H287-F287</f>
        <v>0</v>
      </c>
      <c r="J287" s="23"/>
      <c r="K287" s="24" t="s">
        <v>623</v>
      </c>
      <c r="L287" s="35">
        <v>0</v>
      </c>
    </row>
    <row r="288" spans="1:12" x14ac:dyDescent="0.25">
      <c r="A288" s="16" t="s">
        <v>288</v>
      </c>
      <c r="B288" s="34" t="s">
        <v>462</v>
      </c>
      <c r="C288" s="18">
        <v>0.04</v>
      </c>
      <c r="D288" s="19" t="s">
        <v>214</v>
      </c>
      <c r="E288" s="20">
        <v>345522.98</v>
      </c>
      <c r="F288" s="21">
        <v>13821</v>
      </c>
      <c r="G288" s="22">
        <v>0.04</v>
      </c>
      <c r="H288" s="21">
        <f>ROUND(G288*E288,0)</f>
        <v>13821</v>
      </c>
      <c r="I288" s="21">
        <f>H288-F288</f>
        <v>0</v>
      </c>
      <c r="J288" s="23"/>
      <c r="K288" s="24" t="s">
        <v>624</v>
      </c>
      <c r="L288" s="35">
        <v>0</v>
      </c>
    </row>
    <row r="289" spans="1:12" x14ac:dyDescent="0.25">
      <c r="A289" s="16" t="s">
        <v>291</v>
      </c>
      <c r="B289" s="34" t="s">
        <v>366</v>
      </c>
      <c r="C289" s="18">
        <v>0.08</v>
      </c>
      <c r="D289" s="19" t="s">
        <v>214</v>
      </c>
      <c r="E289" s="20">
        <v>1016530.97</v>
      </c>
      <c r="F289" s="21">
        <v>81322</v>
      </c>
      <c r="G289" s="22">
        <v>0.08</v>
      </c>
      <c r="H289" s="21">
        <f>ROUND(G289*E289,0)</f>
        <v>81322</v>
      </c>
      <c r="I289" s="21">
        <f>H289-F289</f>
        <v>0</v>
      </c>
      <c r="J289" s="23"/>
      <c r="K289" s="24" t="s">
        <v>625</v>
      </c>
      <c r="L289" s="35">
        <v>0</v>
      </c>
    </row>
    <row r="290" spans="1:12" x14ac:dyDescent="0.25">
      <c r="A290" s="16" t="s">
        <v>294</v>
      </c>
      <c r="B290" s="34" t="s">
        <v>465</v>
      </c>
      <c r="C290" s="18">
        <v>0.96</v>
      </c>
      <c r="D290" s="19" t="s">
        <v>23</v>
      </c>
      <c r="E290" s="20">
        <v>54647.67</v>
      </c>
      <c r="F290" s="21">
        <v>52462</v>
      </c>
      <c r="G290" s="22">
        <v>0.96</v>
      </c>
      <c r="H290" s="21">
        <f>ROUND(G290*E290,0)</f>
        <v>52462</v>
      </c>
      <c r="I290" s="21">
        <f>H290-F290</f>
        <v>0</v>
      </c>
      <c r="J290" s="23"/>
      <c r="K290" s="24" t="s">
        <v>626</v>
      </c>
      <c r="L290" s="35">
        <v>0</v>
      </c>
    </row>
    <row r="291" spans="1:12" x14ac:dyDescent="0.25">
      <c r="A291" s="16" t="s">
        <v>296</v>
      </c>
      <c r="B291" s="34" t="s">
        <v>250</v>
      </c>
      <c r="C291" s="18">
        <v>2.16</v>
      </c>
      <c r="D291" s="19" t="s">
        <v>23</v>
      </c>
      <c r="E291" s="20">
        <v>45520.53</v>
      </c>
      <c r="F291" s="21">
        <v>98324</v>
      </c>
      <c r="G291" s="22">
        <v>2.16</v>
      </c>
      <c r="H291" s="21">
        <f>ROUND(G291*E291,0)</f>
        <v>98324</v>
      </c>
      <c r="I291" s="21">
        <f>H291-F291</f>
        <v>0</v>
      </c>
      <c r="J291" s="23"/>
      <c r="K291" s="24" t="s">
        <v>627</v>
      </c>
      <c r="L291" s="35">
        <v>0</v>
      </c>
    </row>
    <row r="292" spans="1:12" s="26" customFormat="1" x14ac:dyDescent="0.25">
      <c r="A292" s="27" t="s">
        <v>140</v>
      </c>
      <c r="B292" s="33" t="s">
        <v>579</v>
      </c>
      <c r="C292" s="29"/>
      <c r="D292" s="30"/>
      <c r="E292" s="30"/>
      <c r="F292" s="31">
        <v>667905</v>
      </c>
      <c r="G292" s="30"/>
      <c r="H292" s="29"/>
      <c r="I292" s="29"/>
      <c r="J292" s="30"/>
      <c r="K292" s="32" t="s">
        <v>628</v>
      </c>
      <c r="L292" s="29"/>
    </row>
    <row r="293" spans="1:12" x14ac:dyDescent="0.25">
      <c r="A293" s="16" t="s">
        <v>301</v>
      </c>
      <c r="B293" s="34" t="s">
        <v>581</v>
      </c>
      <c r="C293" s="18">
        <v>3</v>
      </c>
      <c r="D293" s="19" t="s">
        <v>23</v>
      </c>
      <c r="E293" s="20">
        <v>122466.89</v>
      </c>
      <c r="F293" s="21">
        <v>367401</v>
      </c>
      <c r="G293" s="22">
        <v>3</v>
      </c>
      <c r="H293" s="21">
        <f>ROUND(G293*E293,0)</f>
        <v>367401</v>
      </c>
      <c r="I293" s="21">
        <f>H293-F293</f>
        <v>0</v>
      </c>
      <c r="J293" s="23"/>
      <c r="K293" s="24" t="s">
        <v>629</v>
      </c>
      <c r="L293" s="35">
        <v>0</v>
      </c>
    </row>
    <row r="294" spans="1:12" x14ac:dyDescent="0.25">
      <c r="A294" s="16" t="s">
        <v>304</v>
      </c>
      <c r="B294" s="34" t="s">
        <v>447</v>
      </c>
      <c r="C294" s="18">
        <v>3</v>
      </c>
      <c r="D294" s="19" t="s">
        <v>23</v>
      </c>
      <c r="E294" s="20">
        <v>54647.67</v>
      </c>
      <c r="F294" s="21">
        <v>163943</v>
      </c>
      <c r="G294" s="22">
        <v>3</v>
      </c>
      <c r="H294" s="21">
        <f>ROUND(G294*E294,0)</f>
        <v>163943</v>
      </c>
      <c r="I294" s="21">
        <f>H294-F294</f>
        <v>0</v>
      </c>
      <c r="J294" s="23"/>
      <c r="K294" s="24" t="s">
        <v>630</v>
      </c>
      <c r="L294" s="35">
        <v>0</v>
      </c>
    </row>
    <row r="295" spans="1:12" x14ac:dyDescent="0.25">
      <c r="A295" s="16" t="s">
        <v>307</v>
      </c>
      <c r="B295" s="34" t="s">
        <v>250</v>
      </c>
      <c r="C295" s="18">
        <v>3</v>
      </c>
      <c r="D295" s="19" t="s">
        <v>23</v>
      </c>
      <c r="E295" s="20">
        <v>45520.53</v>
      </c>
      <c r="F295" s="21">
        <v>136561</v>
      </c>
      <c r="G295" s="22">
        <v>3</v>
      </c>
      <c r="H295" s="21">
        <f>ROUND(G295*E295,0)</f>
        <v>136561</v>
      </c>
      <c r="I295" s="21">
        <f>H295-F295</f>
        <v>0</v>
      </c>
      <c r="J295" s="23"/>
      <c r="K295" s="24" t="s">
        <v>631</v>
      </c>
      <c r="L295" s="35">
        <v>0</v>
      </c>
    </row>
    <row r="296" spans="1:12" x14ac:dyDescent="0.25">
      <c r="A296" s="16" t="s">
        <v>143</v>
      </c>
      <c r="B296" s="36" t="s">
        <v>585</v>
      </c>
      <c r="C296" s="18">
        <v>50</v>
      </c>
      <c r="D296" s="19" t="s">
        <v>23</v>
      </c>
      <c r="E296" s="20">
        <v>54647.67</v>
      </c>
      <c r="F296" s="21">
        <v>2732384</v>
      </c>
      <c r="G296" s="22">
        <v>50</v>
      </c>
      <c r="H296" s="21">
        <f>ROUND(G296*E296,0)</f>
        <v>2732384</v>
      </c>
      <c r="I296" s="21">
        <f>H296-F296</f>
        <v>0</v>
      </c>
      <c r="J296" s="23"/>
      <c r="K296" s="24" t="s">
        <v>632</v>
      </c>
      <c r="L296" s="35">
        <v>0</v>
      </c>
    </row>
    <row r="297" spans="1:12" s="26" customFormat="1" x14ac:dyDescent="0.25">
      <c r="A297" s="27" t="s">
        <v>633</v>
      </c>
      <c r="B297" s="28" t="s">
        <v>634</v>
      </c>
      <c r="C297" s="29"/>
      <c r="D297" s="30"/>
      <c r="E297" s="30"/>
      <c r="F297" s="31">
        <v>41390543</v>
      </c>
      <c r="G297" s="30"/>
      <c r="H297" s="29"/>
      <c r="I297" s="29"/>
      <c r="J297" s="30"/>
      <c r="K297" s="32" t="s">
        <v>635</v>
      </c>
      <c r="L297" s="29"/>
    </row>
    <row r="298" spans="1:12" x14ac:dyDescent="0.25">
      <c r="A298" s="16" t="s">
        <v>21</v>
      </c>
      <c r="B298" s="36" t="s">
        <v>319</v>
      </c>
      <c r="C298" s="18">
        <v>12</v>
      </c>
      <c r="D298" s="19" t="s">
        <v>38</v>
      </c>
      <c r="E298" s="20">
        <v>147990.68</v>
      </c>
      <c r="F298" s="21">
        <v>1775888</v>
      </c>
      <c r="G298" s="22">
        <v>12</v>
      </c>
      <c r="H298" s="21">
        <f>ROUND(G298*E298,0)</f>
        <v>1775888</v>
      </c>
      <c r="I298" s="21">
        <f>H298-F298</f>
        <v>0</v>
      </c>
      <c r="J298" s="23"/>
      <c r="K298" s="24" t="s">
        <v>636</v>
      </c>
      <c r="L298" s="25">
        <v>12</v>
      </c>
    </row>
    <row r="299" spans="1:12" x14ac:dyDescent="0.25">
      <c r="A299" s="16" t="s">
        <v>25</v>
      </c>
      <c r="B299" s="36" t="s">
        <v>637</v>
      </c>
      <c r="C299" s="18">
        <v>13.42</v>
      </c>
      <c r="D299" s="19" t="s">
        <v>214</v>
      </c>
      <c r="E299" s="20">
        <v>120211.9</v>
      </c>
      <c r="F299" s="21">
        <v>1613244</v>
      </c>
      <c r="G299" s="22">
        <v>13.42</v>
      </c>
      <c r="H299" s="21">
        <f>ROUND(G299*E299,0)</f>
        <v>1613244</v>
      </c>
      <c r="I299" s="21">
        <f>H299-F299</f>
        <v>0</v>
      </c>
      <c r="J299" s="23"/>
      <c r="K299" s="24" t="s">
        <v>638</v>
      </c>
      <c r="L299" s="35">
        <v>0</v>
      </c>
    </row>
    <row r="300" spans="1:12" x14ac:dyDescent="0.25">
      <c r="A300" s="16" t="s">
        <v>29</v>
      </c>
      <c r="B300" s="36" t="s">
        <v>364</v>
      </c>
      <c r="C300" s="18">
        <v>0.38</v>
      </c>
      <c r="D300" s="19" t="s">
        <v>214</v>
      </c>
      <c r="E300" s="20">
        <v>345522.98</v>
      </c>
      <c r="F300" s="21">
        <v>131299</v>
      </c>
      <c r="G300" s="22">
        <v>0.38</v>
      </c>
      <c r="H300" s="21">
        <f>ROUND(G300*E300,0)</f>
        <v>131299</v>
      </c>
      <c r="I300" s="21">
        <f>H300-F300</f>
        <v>0</v>
      </c>
      <c r="J300" s="23"/>
      <c r="K300" s="24" t="s">
        <v>639</v>
      </c>
      <c r="L300" s="35">
        <v>0</v>
      </c>
    </row>
    <row r="301" spans="1:12" x14ac:dyDescent="0.25">
      <c r="A301" s="16" t="s">
        <v>33</v>
      </c>
      <c r="B301" s="36" t="s">
        <v>640</v>
      </c>
      <c r="C301" s="18">
        <v>0.38</v>
      </c>
      <c r="D301" s="19" t="s">
        <v>214</v>
      </c>
      <c r="E301" s="20">
        <v>1016530.97</v>
      </c>
      <c r="F301" s="21">
        <v>386282</v>
      </c>
      <c r="G301" s="22">
        <v>0.38</v>
      </c>
      <c r="H301" s="21">
        <f>ROUND(G301*E301,0)</f>
        <v>386282</v>
      </c>
      <c r="I301" s="21">
        <f>H301-F301</f>
        <v>0</v>
      </c>
      <c r="J301" s="23"/>
      <c r="K301" s="24" t="s">
        <v>641</v>
      </c>
      <c r="L301" s="35">
        <v>0</v>
      </c>
    </row>
    <row r="302" spans="1:12" x14ac:dyDescent="0.25">
      <c r="A302" s="16" t="s">
        <v>36</v>
      </c>
      <c r="B302" s="36" t="s">
        <v>523</v>
      </c>
      <c r="C302" s="18">
        <v>5.25</v>
      </c>
      <c r="D302" s="19" t="s">
        <v>214</v>
      </c>
      <c r="E302" s="20">
        <v>66784.39</v>
      </c>
      <c r="F302" s="21">
        <v>350618</v>
      </c>
      <c r="G302" s="22">
        <v>5.25</v>
      </c>
      <c r="H302" s="21">
        <f>ROUND(G302*E302,0)</f>
        <v>350618</v>
      </c>
      <c r="I302" s="21">
        <f>H302-F302</f>
        <v>0</v>
      </c>
      <c r="J302" s="23"/>
      <c r="K302" s="24" t="s">
        <v>642</v>
      </c>
      <c r="L302" s="35">
        <v>0</v>
      </c>
    </row>
    <row r="303" spans="1:12" s="26" customFormat="1" x14ac:dyDescent="0.25">
      <c r="A303" s="27" t="s">
        <v>40</v>
      </c>
      <c r="B303" s="33" t="s">
        <v>643</v>
      </c>
      <c r="C303" s="29"/>
      <c r="D303" s="30"/>
      <c r="E303" s="30"/>
      <c r="F303" s="31">
        <v>1417160</v>
      </c>
      <c r="G303" s="30"/>
      <c r="H303" s="29"/>
      <c r="I303" s="29"/>
      <c r="J303" s="30"/>
      <c r="K303" s="32" t="s">
        <v>644</v>
      </c>
      <c r="L303" s="29"/>
    </row>
    <row r="304" spans="1:12" x14ac:dyDescent="0.25">
      <c r="A304" s="16" t="s">
        <v>281</v>
      </c>
      <c r="B304" s="34" t="s">
        <v>392</v>
      </c>
      <c r="C304" s="18">
        <v>3.2</v>
      </c>
      <c r="D304" s="19" t="s">
        <v>23</v>
      </c>
      <c r="E304" s="20">
        <v>246976.42</v>
      </c>
      <c r="F304" s="21">
        <v>790325</v>
      </c>
      <c r="G304" s="22">
        <v>3.2</v>
      </c>
      <c r="H304" s="21">
        <f>ROUND(G304*E304,0)</f>
        <v>790325</v>
      </c>
      <c r="I304" s="21">
        <f>H304-F304</f>
        <v>0</v>
      </c>
      <c r="J304" s="23"/>
      <c r="K304" s="24" t="s">
        <v>645</v>
      </c>
      <c r="L304" s="35">
        <v>0</v>
      </c>
    </row>
    <row r="305" spans="1:12" x14ac:dyDescent="0.25">
      <c r="A305" s="16" t="s">
        <v>284</v>
      </c>
      <c r="B305" s="34" t="s">
        <v>409</v>
      </c>
      <c r="C305" s="18">
        <v>19.73</v>
      </c>
      <c r="D305" s="19" t="s">
        <v>229</v>
      </c>
      <c r="E305" s="20">
        <v>13176.23</v>
      </c>
      <c r="F305" s="21">
        <v>259967</v>
      </c>
      <c r="G305" s="22">
        <v>19.73</v>
      </c>
      <c r="H305" s="21">
        <f>ROUND(G305*E305,0)</f>
        <v>259967</v>
      </c>
      <c r="I305" s="21">
        <f>H305-F305</f>
        <v>0</v>
      </c>
      <c r="J305" s="23"/>
      <c r="K305" s="24" t="s">
        <v>646</v>
      </c>
      <c r="L305" s="35">
        <v>0</v>
      </c>
    </row>
    <row r="306" spans="1:12" x14ac:dyDescent="0.25">
      <c r="A306" s="16" t="s">
        <v>286</v>
      </c>
      <c r="B306" s="34" t="s">
        <v>647</v>
      </c>
      <c r="C306" s="18">
        <v>5.54</v>
      </c>
      <c r="D306" s="19" t="s">
        <v>229</v>
      </c>
      <c r="E306" s="20">
        <v>13176.23</v>
      </c>
      <c r="F306" s="21">
        <v>72996</v>
      </c>
      <c r="G306" s="22">
        <v>5.54</v>
      </c>
      <c r="H306" s="21">
        <f>ROUND(G306*E306,0)</f>
        <v>72996</v>
      </c>
      <c r="I306" s="21">
        <f>H306-F306</f>
        <v>0</v>
      </c>
      <c r="J306" s="23"/>
      <c r="K306" s="24" t="s">
        <v>648</v>
      </c>
      <c r="L306" s="35">
        <v>0</v>
      </c>
    </row>
    <row r="307" spans="1:12" x14ac:dyDescent="0.25">
      <c r="A307" s="16" t="s">
        <v>288</v>
      </c>
      <c r="B307" s="34" t="s">
        <v>649</v>
      </c>
      <c r="C307" s="18">
        <v>0.24</v>
      </c>
      <c r="D307" s="19" t="s">
        <v>214</v>
      </c>
      <c r="E307" s="20">
        <v>1224466.96</v>
      </c>
      <c r="F307" s="21">
        <v>293872</v>
      </c>
      <c r="G307" s="22">
        <v>0.24</v>
      </c>
      <c r="H307" s="21">
        <f>ROUND(G307*E307,0)</f>
        <v>293872</v>
      </c>
      <c r="I307" s="21">
        <f>H307-F307</f>
        <v>0</v>
      </c>
      <c r="J307" s="23"/>
      <c r="K307" s="24" t="s">
        <v>650</v>
      </c>
      <c r="L307" s="35">
        <v>0</v>
      </c>
    </row>
    <row r="308" spans="1:12" s="26" customFormat="1" x14ac:dyDescent="0.25">
      <c r="A308" s="27" t="s">
        <v>140</v>
      </c>
      <c r="B308" s="33" t="s">
        <v>651</v>
      </c>
      <c r="C308" s="29"/>
      <c r="D308" s="30"/>
      <c r="E308" s="30"/>
      <c r="F308" s="31">
        <v>2453574</v>
      </c>
      <c r="G308" s="30"/>
      <c r="H308" s="29"/>
      <c r="I308" s="29"/>
      <c r="J308" s="30"/>
      <c r="K308" s="32" t="s">
        <v>652</v>
      </c>
      <c r="L308" s="29"/>
    </row>
    <row r="309" spans="1:12" x14ac:dyDescent="0.25">
      <c r="A309" s="16" t="s">
        <v>301</v>
      </c>
      <c r="B309" s="34" t="s">
        <v>392</v>
      </c>
      <c r="C309" s="18">
        <v>6</v>
      </c>
      <c r="D309" s="19" t="s">
        <v>23</v>
      </c>
      <c r="E309" s="20">
        <v>246976.42</v>
      </c>
      <c r="F309" s="21">
        <v>1481859</v>
      </c>
      <c r="G309" s="22">
        <v>6</v>
      </c>
      <c r="H309" s="21">
        <f>ROUND(G309*E309,0)</f>
        <v>1481859</v>
      </c>
      <c r="I309" s="21">
        <f>H309-F309</f>
        <v>0</v>
      </c>
      <c r="J309" s="23"/>
      <c r="K309" s="24" t="s">
        <v>653</v>
      </c>
      <c r="L309" s="35">
        <v>0</v>
      </c>
    </row>
    <row r="310" spans="1:12" x14ac:dyDescent="0.25">
      <c r="A310" s="16" t="s">
        <v>304</v>
      </c>
      <c r="B310" s="34" t="s">
        <v>409</v>
      </c>
      <c r="C310" s="18">
        <v>36.25</v>
      </c>
      <c r="D310" s="19" t="s">
        <v>229</v>
      </c>
      <c r="E310" s="20">
        <v>13176.23</v>
      </c>
      <c r="F310" s="21">
        <v>477638</v>
      </c>
      <c r="G310" s="22">
        <v>36.25</v>
      </c>
      <c r="H310" s="21">
        <f>ROUND(G310*E310,0)</f>
        <v>477638</v>
      </c>
      <c r="I310" s="21">
        <f>H310-F310</f>
        <v>0</v>
      </c>
      <c r="J310" s="23"/>
      <c r="K310" s="24" t="s">
        <v>654</v>
      </c>
      <c r="L310" s="35">
        <v>0</v>
      </c>
    </row>
    <row r="311" spans="1:12" x14ac:dyDescent="0.25">
      <c r="A311" s="16" t="s">
        <v>307</v>
      </c>
      <c r="B311" s="34" t="s">
        <v>647</v>
      </c>
      <c r="C311" s="18">
        <v>7.76</v>
      </c>
      <c r="D311" s="19" t="s">
        <v>229</v>
      </c>
      <c r="E311" s="20">
        <v>13176.23</v>
      </c>
      <c r="F311" s="21">
        <v>102248</v>
      </c>
      <c r="G311" s="22">
        <v>7.76</v>
      </c>
      <c r="H311" s="21">
        <f>ROUND(G311*E311,0)</f>
        <v>102248</v>
      </c>
      <c r="I311" s="21">
        <f>H311-F311</f>
        <v>0</v>
      </c>
      <c r="J311" s="23"/>
      <c r="K311" s="24" t="s">
        <v>655</v>
      </c>
      <c r="L311" s="35">
        <v>0</v>
      </c>
    </row>
    <row r="312" spans="1:12" x14ac:dyDescent="0.25">
      <c r="A312" s="16" t="s">
        <v>310</v>
      </c>
      <c r="B312" s="34" t="s">
        <v>649</v>
      </c>
      <c r="C312" s="18">
        <v>0.32</v>
      </c>
      <c r="D312" s="19" t="s">
        <v>214</v>
      </c>
      <c r="E312" s="20">
        <v>1224466.96</v>
      </c>
      <c r="F312" s="21">
        <v>391829</v>
      </c>
      <c r="G312" s="22">
        <v>0.32</v>
      </c>
      <c r="H312" s="21">
        <f>ROUND(G312*E312,0)</f>
        <v>391829</v>
      </c>
      <c r="I312" s="21">
        <f>H312-F312</f>
        <v>0</v>
      </c>
      <c r="J312" s="23"/>
      <c r="K312" s="24" t="s">
        <v>656</v>
      </c>
      <c r="L312" s="35">
        <v>0</v>
      </c>
    </row>
    <row r="313" spans="1:12" s="26" customFormat="1" x14ac:dyDescent="0.25">
      <c r="A313" s="27" t="s">
        <v>143</v>
      </c>
      <c r="B313" s="33" t="s">
        <v>657</v>
      </c>
      <c r="C313" s="29"/>
      <c r="D313" s="30"/>
      <c r="E313" s="30"/>
      <c r="F313" s="31">
        <v>3231619</v>
      </c>
      <c r="G313" s="30"/>
      <c r="H313" s="29"/>
      <c r="I313" s="29"/>
      <c r="J313" s="30"/>
      <c r="K313" s="32" t="s">
        <v>658</v>
      </c>
      <c r="L313" s="29"/>
    </row>
    <row r="314" spans="1:12" x14ac:dyDescent="0.25">
      <c r="A314" s="16" t="s">
        <v>381</v>
      </c>
      <c r="B314" s="34" t="s">
        <v>258</v>
      </c>
      <c r="C314" s="18">
        <v>2.2</v>
      </c>
      <c r="D314" s="19" t="s">
        <v>23</v>
      </c>
      <c r="E314" s="20">
        <v>246976.42</v>
      </c>
      <c r="F314" s="21">
        <v>543348</v>
      </c>
      <c r="G314" s="22">
        <v>2.2</v>
      </c>
      <c r="H314" s="21">
        <f>ROUND(G314*E314,0)</f>
        <v>543348</v>
      </c>
      <c r="I314" s="21">
        <f>H314-F314</f>
        <v>0</v>
      </c>
      <c r="J314" s="23"/>
      <c r="K314" s="24" t="s">
        <v>659</v>
      </c>
      <c r="L314" s="35">
        <v>0</v>
      </c>
    </row>
    <row r="315" spans="1:12" x14ac:dyDescent="0.25">
      <c r="A315" s="16" t="s">
        <v>383</v>
      </c>
      <c r="B315" s="34" t="s">
        <v>564</v>
      </c>
      <c r="C315" s="18">
        <v>63.7</v>
      </c>
      <c r="D315" s="19" t="s">
        <v>229</v>
      </c>
      <c r="E315" s="20">
        <v>13176.23</v>
      </c>
      <c r="F315" s="21">
        <v>839326</v>
      </c>
      <c r="G315" s="22">
        <v>63.7</v>
      </c>
      <c r="H315" s="21">
        <f>ROUND(G315*E315,0)</f>
        <v>839326</v>
      </c>
      <c r="I315" s="21">
        <f>H315-F315</f>
        <v>0</v>
      </c>
      <c r="J315" s="23"/>
      <c r="K315" s="24" t="s">
        <v>660</v>
      </c>
      <c r="L315" s="35">
        <v>0</v>
      </c>
    </row>
    <row r="316" spans="1:12" x14ac:dyDescent="0.25">
      <c r="A316" s="16" t="s">
        <v>385</v>
      </c>
      <c r="B316" s="34" t="s">
        <v>649</v>
      </c>
      <c r="C316" s="18">
        <v>1.51</v>
      </c>
      <c r="D316" s="19" t="s">
        <v>214</v>
      </c>
      <c r="E316" s="20">
        <v>1224466.96</v>
      </c>
      <c r="F316" s="21">
        <v>1848945</v>
      </c>
      <c r="G316" s="22">
        <v>1.51</v>
      </c>
      <c r="H316" s="21">
        <f>ROUND(G316*E316,0)</f>
        <v>1848945</v>
      </c>
      <c r="I316" s="21">
        <f>H316-F316</f>
        <v>0</v>
      </c>
      <c r="J316" s="23"/>
      <c r="K316" s="24" t="s">
        <v>661</v>
      </c>
      <c r="L316" s="35">
        <v>0</v>
      </c>
    </row>
    <row r="317" spans="1:12" s="26" customFormat="1" x14ac:dyDescent="0.25">
      <c r="A317" s="27" t="s">
        <v>146</v>
      </c>
      <c r="B317" s="33" t="s">
        <v>662</v>
      </c>
      <c r="C317" s="29"/>
      <c r="D317" s="30"/>
      <c r="E317" s="30"/>
      <c r="F317" s="31">
        <v>11320704</v>
      </c>
      <c r="G317" s="30"/>
      <c r="H317" s="29"/>
      <c r="I317" s="29"/>
      <c r="J317" s="30"/>
      <c r="K317" s="32" t="s">
        <v>663</v>
      </c>
      <c r="L317" s="29"/>
    </row>
    <row r="318" spans="1:12" x14ac:dyDescent="0.25">
      <c r="A318" s="16" t="s">
        <v>391</v>
      </c>
      <c r="B318" s="34" t="s">
        <v>664</v>
      </c>
      <c r="C318" s="18">
        <v>24</v>
      </c>
      <c r="D318" s="19" t="s">
        <v>23</v>
      </c>
      <c r="E318" s="20">
        <v>371126.23</v>
      </c>
      <c r="F318" s="21">
        <v>8907029</v>
      </c>
      <c r="G318" s="22">
        <v>24</v>
      </c>
      <c r="H318" s="21">
        <f>ROUND(G318*E318,0)</f>
        <v>8907029</v>
      </c>
      <c r="I318" s="21">
        <f>H318-F318</f>
        <v>0</v>
      </c>
      <c r="J318" s="23"/>
      <c r="K318" s="24" t="s">
        <v>665</v>
      </c>
      <c r="L318" s="35">
        <v>0</v>
      </c>
    </row>
    <row r="319" spans="1:12" x14ac:dyDescent="0.25">
      <c r="A319" s="16" t="s">
        <v>394</v>
      </c>
      <c r="B319" s="34" t="s">
        <v>666</v>
      </c>
      <c r="C319" s="18">
        <v>15.91</v>
      </c>
      <c r="D319" s="19" t="s">
        <v>229</v>
      </c>
      <c r="E319" s="20">
        <v>13176.23</v>
      </c>
      <c r="F319" s="21">
        <v>209634</v>
      </c>
      <c r="G319" s="22">
        <v>15.91</v>
      </c>
      <c r="H319" s="21">
        <f>ROUND(G319*E319,0)</f>
        <v>209634</v>
      </c>
      <c r="I319" s="21">
        <f>H319-F319</f>
        <v>0</v>
      </c>
      <c r="J319" s="23"/>
      <c r="K319" s="24" t="s">
        <v>667</v>
      </c>
      <c r="L319" s="35">
        <v>0</v>
      </c>
    </row>
    <row r="320" spans="1:12" x14ac:dyDescent="0.25">
      <c r="A320" s="16" t="s">
        <v>396</v>
      </c>
      <c r="B320" s="34" t="s">
        <v>649</v>
      </c>
      <c r="C320" s="18">
        <v>1.8</v>
      </c>
      <c r="D320" s="19" t="s">
        <v>214</v>
      </c>
      <c r="E320" s="20">
        <v>1224466.96</v>
      </c>
      <c r="F320" s="21">
        <v>2204041</v>
      </c>
      <c r="G320" s="22">
        <v>1.8</v>
      </c>
      <c r="H320" s="21">
        <f>ROUND(G320*E320,0)</f>
        <v>2204041</v>
      </c>
      <c r="I320" s="21">
        <f>H320-F320</f>
        <v>0</v>
      </c>
      <c r="J320" s="23"/>
      <c r="K320" s="24" t="s">
        <v>668</v>
      </c>
      <c r="L320" s="35">
        <v>0</v>
      </c>
    </row>
    <row r="321" spans="1:12" s="26" customFormat="1" x14ac:dyDescent="0.25">
      <c r="A321" s="27" t="s">
        <v>150</v>
      </c>
      <c r="B321" s="33" t="s">
        <v>669</v>
      </c>
      <c r="C321" s="29"/>
      <c r="D321" s="30"/>
      <c r="E321" s="30"/>
      <c r="F321" s="31">
        <v>2196271</v>
      </c>
      <c r="G321" s="30"/>
      <c r="H321" s="29"/>
      <c r="I321" s="29"/>
      <c r="J321" s="30"/>
      <c r="K321" s="32" t="s">
        <v>670</v>
      </c>
      <c r="L321" s="29"/>
    </row>
    <row r="322" spans="1:12" x14ac:dyDescent="0.25">
      <c r="A322" s="16" t="s">
        <v>153</v>
      </c>
      <c r="B322" s="34" t="s">
        <v>671</v>
      </c>
      <c r="C322" s="18">
        <v>4.84</v>
      </c>
      <c r="D322" s="19" t="s">
        <v>23</v>
      </c>
      <c r="E322" s="20">
        <v>222495.38</v>
      </c>
      <c r="F322" s="21">
        <v>1076877</v>
      </c>
      <c r="G322" s="22">
        <v>4.84</v>
      </c>
      <c r="H322" s="21">
        <f>ROUND(G322*E322,0)</f>
        <v>1076877</v>
      </c>
      <c r="I322" s="21">
        <f>H322-F322</f>
        <v>0</v>
      </c>
      <c r="J322" s="23"/>
      <c r="K322" s="24" t="s">
        <v>672</v>
      </c>
      <c r="L322" s="35">
        <v>0</v>
      </c>
    </row>
    <row r="323" spans="1:12" x14ac:dyDescent="0.25">
      <c r="A323" s="16" t="s">
        <v>157</v>
      </c>
      <c r="B323" s="34" t="s">
        <v>666</v>
      </c>
      <c r="C323" s="18">
        <v>35.14</v>
      </c>
      <c r="D323" s="19" t="s">
        <v>229</v>
      </c>
      <c r="E323" s="20">
        <v>13176.23</v>
      </c>
      <c r="F323" s="21">
        <v>463013</v>
      </c>
      <c r="G323" s="22">
        <v>35.14</v>
      </c>
      <c r="H323" s="21">
        <f>ROUND(G323*E323,0)</f>
        <v>463013</v>
      </c>
      <c r="I323" s="21">
        <f>H323-F323</f>
        <v>0</v>
      </c>
      <c r="J323" s="23"/>
      <c r="K323" s="24" t="s">
        <v>673</v>
      </c>
      <c r="L323" s="35">
        <v>0</v>
      </c>
    </row>
    <row r="324" spans="1:12" x14ac:dyDescent="0.25">
      <c r="A324" s="16" t="s">
        <v>160</v>
      </c>
      <c r="B324" s="34" t="s">
        <v>377</v>
      </c>
      <c r="C324" s="18">
        <v>0.57</v>
      </c>
      <c r="D324" s="19" t="s">
        <v>214</v>
      </c>
      <c r="E324" s="20">
        <v>1151545.01</v>
      </c>
      <c r="F324" s="21">
        <v>656381</v>
      </c>
      <c r="G324" s="22">
        <v>0.57</v>
      </c>
      <c r="H324" s="21">
        <f>ROUND(G324*E324,0)</f>
        <v>656381</v>
      </c>
      <c r="I324" s="21">
        <f>H324-F324</f>
        <v>0</v>
      </c>
      <c r="J324" s="23"/>
      <c r="K324" s="24" t="s">
        <v>674</v>
      </c>
      <c r="L324" s="35">
        <v>0</v>
      </c>
    </row>
    <row r="325" spans="1:12" s="26" customFormat="1" x14ac:dyDescent="0.25">
      <c r="A325" s="27" t="s">
        <v>175</v>
      </c>
      <c r="B325" s="33" t="s">
        <v>675</v>
      </c>
      <c r="C325" s="29"/>
      <c r="D325" s="30"/>
      <c r="E325" s="30"/>
      <c r="F325" s="31">
        <v>239642</v>
      </c>
      <c r="G325" s="30"/>
      <c r="H325" s="29"/>
      <c r="I325" s="29"/>
      <c r="J325" s="30"/>
      <c r="K325" s="32" t="s">
        <v>676</v>
      </c>
      <c r="L325" s="29"/>
    </row>
    <row r="326" spans="1:12" x14ac:dyDescent="0.25">
      <c r="A326" s="16" t="s">
        <v>178</v>
      </c>
      <c r="B326" s="34" t="s">
        <v>671</v>
      </c>
      <c r="C326" s="18">
        <v>0.6</v>
      </c>
      <c r="D326" s="19" t="s">
        <v>23</v>
      </c>
      <c r="E326" s="20">
        <v>222495.38</v>
      </c>
      <c r="F326" s="21">
        <v>133497</v>
      </c>
      <c r="G326" s="22">
        <v>0.6</v>
      </c>
      <c r="H326" s="21">
        <f>ROUND(G326*E326,0)</f>
        <v>133497</v>
      </c>
      <c r="I326" s="21">
        <f>H326-F326</f>
        <v>0</v>
      </c>
      <c r="J326" s="23"/>
      <c r="K326" s="24" t="s">
        <v>677</v>
      </c>
      <c r="L326" s="35">
        <v>0</v>
      </c>
    </row>
    <row r="327" spans="1:12" x14ac:dyDescent="0.25">
      <c r="A327" s="16" t="s">
        <v>181</v>
      </c>
      <c r="B327" s="34" t="s">
        <v>647</v>
      </c>
      <c r="C327" s="18">
        <v>4.32</v>
      </c>
      <c r="D327" s="19" t="s">
        <v>229</v>
      </c>
      <c r="E327" s="20">
        <v>13176.23</v>
      </c>
      <c r="F327" s="21">
        <v>56921</v>
      </c>
      <c r="G327" s="22">
        <v>4.32</v>
      </c>
      <c r="H327" s="21">
        <f>ROUND(G327*E327,0)</f>
        <v>56921</v>
      </c>
      <c r="I327" s="21">
        <f>H327-F327</f>
        <v>0</v>
      </c>
      <c r="J327" s="23"/>
      <c r="K327" s="24" t="s">
        <v>678</v>
      </c>
      <c r="L327" s="35">
        <v>0</v>
      </c>
    </row>
    <row r="328" spans="1:12" x14ac:dyDescent="0.25">
      <c r="A328" s="16" t="s">
        <v>411</v>
      </c>
      <c r="B328" s="34" t="s">
        <v>679</v>
      </c>
      <c r="C328" s="18">
        <v>0.24</v>
      </c>
      <c r="D328" s="19" t="s">
        <v>229</v>
      </c>
      <c r="E328" s="20">
        <v>13176.23</v>
      </c>
      <c r="F328" s="21">
        <v>3162</v>
      </c>
      <c r="G328" s="22">
        <v>0.24</v>
      </c>
      <c r="H328" s="21">
        <f>ROUND(G328*E328,0)</f>
        <v>3162</v>
      </c>
      <c r="I328" s="21">
        <f>H328-F328</f>
        <v>0</v>
      </c>
      <c r="J328" s="23"/>
      <c r="K328" s="24" t="s">
        <v>680</v>
      </c>
      <c r="L328" s="35">
        <v>0</v>
      </c>
    </row>
    <row r="329" spans="1:12" x14ac:dyDescent="0.25">
      <c r="A329" s="16" t="s">
        <v>413</v>
      </c>
      <c r="B329" s="34" t="s">
        <v>377</v>
      </c>
      <c r="C329" s="18">
        <v>0.04</v>
      </c>
      <c r="D329" s="19" t="s">
        <v>214</v>
      </c>
      <c r="E329" s="20">
        <v>1151545.01</v>
      </c>
      <c r="F329" s="21">
        <v>46062</v>
      </c>
      <c r="G329" s="22">
        <v>0.04</v>
      </c>
      <c r="H329" s="21">
        <f>ROUND(G329*E329,0)</f>
        <v>46062</v>
      </c>
      <c r="I329" s="21">
        <f>H329-F329</f>
        <v>0</v>
      </c>
      <c r="J329" s="23"/>
      <c r="K329" s="24" t="s">
        <v>681</v>
      </c>
      <c r="L329" s="35">
        <v>0</v>
      </c>
    </row>
    <row r="330" spans="1:12" x14ac:dyDescent="0.25">
      <c r="A330" s="16" t="s">
        <v>184</v>
      </c>
      <c r="B330" s="36" t="s">
        <v>682</v>
      </c>
      <c r="C330" s="18">
        <v>23.56</v>
      </c>
      <c r="D330" s="19" t="s">
        <v>23</v>
      </c>
      <c r="E330" s="20">
        <v>118211.25</v>
      </c>
      <c r="F330" s="21">
        <v>2785057</v>
      </c>
      <c r="G330" s="22">
        <v>23.56</v>
      </c>
      <c r="H330" s="21">
        <f>ROUND(G330*E330,0)</f>
        <v>2785057</v>
      </c>
      <c r="I330" s="21">
        <f>H330-F330</f>
        <v>0</v>
      </c>
      <c r="J330" s="23"/>
      <c r="K330" s="24" t="s">
        <v>683</v>
      </c>
      <c r="L330" s="35">
        <v>0</v>
      </c>
    </row>
    <row r="331" spans="1:12" x14ac:dyDescent="0.25">
      <c r="A331" s="16" t="s">
        <v>193</v>
      </c>
      <c r="B331" s="36" t="s">
        <v>684</v>
      </c>
      <c r="C331" s="18">
        <v>22</v>
      </c>
      <c r="D331" s="19" t="s">
        <v>38</v>
      </c>
      <c r="E331" s="20">
        <v>129768.32</v>
      </c>
      <c r="F331" s="21">
        <v>2854903</v>
      </c>
      <c r="G331" s="22">
        <v>22</v>
      </c>
      <c r="H331" s="21">
        <f>ROUND(G331*E331,0)</f>
        <v>2854903</v>
      </c>
      <c r="I331" s="21">
        <f>H331-F331</f>
        <v>0</v>
      </c>
      <c r="J331" s="23"/>
      <c r="K331" s="24" t="s">
        <v>685</v>
      </c>
      <c r="L331" s="35">
        <v>0</v>
      </c>
    </row>
    <row r="332" spans="1:12" x14ac:dyDescent="0.25">
      <c r="A332" s="16" t="s">
        <v>202</v>
      </c>
      <c r="B332" s="36" t="s">
        <v>686</v>
      </c>
      <c r="C332" s="18">
        <v>1</v>
      </c>
      <c r="D332" s="19" t="s">
        <v>155</v>
      </c>
      <c r="E332" s="20">
        <v>9850280</v>
      </c>
      <c r="F332" s="21">
        <v>9850280</v>
      </c>
      <c r="G332" s="22">
        <v>1</v>
      </c>
      <c r="H332" s="21">
        <f>ROUND(G332*E332,0)</f>
        <v>9850280</v>
      </c>
      <c r="I332" s="21">
        <f>H332-F332</f>
        <v>0</v>
      </c>
      <c r="J332" s="23"/>
      <c r="K332" s="24" t="s">
        <v>687</v>
      </c>
      <c r="L332" s="35">
        <v>0</v>
      </c>
    </row>
    <row r="333" spans="1:12" x14ac:dyDescent="0.25">
      <c r="A333" s="16" t="s">
        <v>205</v>
      </c>
      <c r="B333" s="36" t="s">
        <v>688</v>
      </c>
      <c r="C333" s="18">
        <v>10</v>
      </c>
      <c r="D333" s="19" t="s">
        <v>38</v>
      </c>
      <c r="E333" s="20">
        <v>78400.17</v>
      </c>
      <c r="F333" s="21">
        <v>784002</v>
      </c>
      <c r="G333" s="22">
        <v>10</v>
      </c>
      <c r="H333" s="21">
        <f>ROUND(G333*E333,0)</f>
        <v>784002</v>
      </c>
      <c r="I333" s="21">
        <f>H333-F333</f>
        <v>0</v>
      </c>
      <c r="J333" s="23"/>
      <c r="K333" s="24" t="s">
        <v>689</v>
      </c>
      <c r="L333" s="35">
        <v>0</v>
      </c>
    </row>
    <row r="334" spans="1:12" s="8" customFormat="1" x14ac:dyDescent="0.25">
      <c r="A334" s="9" t="s">
        <v>690</v>
      </c>
      <c r="B334" s="10" t="s">
        <v>691</v>
      </c>
      <c r="C334" s="11"/>
      <c r="D334" s="12"/>
      <c r="E334" s="12"/>
      <c r="F334" s="13">
        <v>263859953</v>
      </c>
      <c r="G334" s="12"/>
      <c r="H334" s="11"/>
      <c r="I334" s="11"/>
      <c r="J334" s="12"/>
      <c r="K334" s="14" t="s">
        <v>690</v>
      </c>
      <c r="L334" s="15"/>
    </row>
    <row r="335" spans="1:12" x14ac:dyDescent="0.25">
      <c r="A335" s="16" t="s">
        <v>21</v>
      </c>
      <c r="B335" s="17" t="s">
        <v>692</v>
      </c>
      <c r="C335" s="18">
        <v>139</v>
      </c>
      <c r="D335" s="19" t="s">
        <v>214</v>
      </c>
      <c r="E335" s="20">
        <v>364825.99</v>
      </c>
      <c r="F335" s="21">
        <v>50710813</v>
      </c>
      <c r="G335" s="22">
        <v>139</v>
      </c>
      <c r="H335" s="21">
        <f>ROUND(G335*E335,0)</f>
        <v>50710813</v>
      </c>
      <c r="I335" s="21">
        <f>H335-F335</f>
        <v>0</v>
      </c>
      <c r="J335" s="23"/>
      <c r="K335" s="24" t="s">
        <v>693</v>
      </c>
      <c r="L335" s="35">
        <v>0</v>
      </c>
    </row>
    <row r="336" spans="1:12" x14ac:dyDescent="0.25">
      <c r="A336" s="16" t="s">
        <v>25</v>
      </c>
      <c r="B336" s="17" t="s">
        <v>694</v>
      </c>
      <c r="C336" s="18">
        <v>139</v>
      </c>
      <c r="D336" s="19" t="s">
        <v>214</v>
      </c>
      <c r="E336" s="20">
        <v>53756.99</v>
      </c>
      <c r="F336" s="21">
        <v>7472222</v>
      </c>
      <c r="G336" s="22">
        <v>139</v>
      </c>
      <c r="H336" s="21">
        <f>ROUND(G336*E336,0)</f>
        <v>7472222</v>
      </c>
      <c r="I336" s="21">
        <f>H336-F336</f>
        <v>0</v>
      </c>
      <c r="J336" s="23"/>
      <c r="K336" s="24" t="s">
        <v>695</v>
      </c>
      <c r="L336" s="35">
        <v>0</v>
      </c>
    </row>
    <row r="337" spans="1:12" x14ac:dyDescent="0.25">
      <c r="A337" s="16" t="s">
        <v>29</v>
      </c>
      <c r="B337" s="17" t="s">
        <v>696</v>
      </c>
      <c r="C337" s="18">
        <v>69.5</v>
      </c>
      <c r="D337" s="19" t="s">
        <v>214</v>
      </c>
      <c r="E337" s="20">
        <v>190415.6</v>
      </c>
      <c r="F337" s="21">
        <v>13233884</v>
      </c>
      <c r="G337" s="22">
        <v>69.5</v>
      </c>
      <c r="H337" s="21">
        <f>ROUND(G337*E337,0)</f>
        <v>13233884</v>
      </c>
      <c r="I337" s="21">
        <f>H337-F337</f>
        <v>0</v>
      </c>
      <c r="J337" s="23"/>
      <c r="K337" s="24" t="s">
        <v>697</v>
      </c>
      <c r="L337" s="35">
        <v>0</v>
      </c>
    </row>
    <row r="338" spans="1:12" x14ac:dyDescent="0.25">
      <c r="A338" s="16" t="s">
        <v>33</v>
      </c>
      <c r="B338" s="17" t="s">
        <v>698</v>
      </c>
      <c r="C338" s="18">
        <v>69.5</v>
      </c>
      <c r="D338" s="19" t="s">
        <v>214</v>
      </c>
      <c r="E338" s="20">
        <v>53756.99</v>
      </c>
      <c r="F338" s="21">
        <v>3736111</v>
      </c>
      <c r="G338" s="22">
        <v>69.5</v>
      </c>
      <c r="H338" s="21">
        <f>ROUND(G338*E338,0)</f>
        <v>3736111</v>
      </c>
      <c r="I338" s="21">
        <f>H338-F338</f>
        <v>0</v>
      </c>
      <c r="J338" s="23"/>
      <c r="K338" s="24" t="s">
        <v>699</v>
      </c>
      <c r="L338" s="35">
        <v>0</v>
      </c>
    </row>
    <row r="339" spans="1:12" x14ac:dyDescent="0.25">
      <c r="A339" s="16" t="s">
        <v>36</v>
      </c>
      <c r="B339" s="17" t="s">
        <v>364</v>
      </c>
      <c r="C339" s="18">
        <v>34.75</v>
      </c>
      <c r="D339" s="19" t="s">
        <v>214</v>
      </c>
      <c r="E339" s="20">
        <v>345522.98</v>
      </c>
      <c r="F339" s="21">
        <v>12006923</v>
      </c>
      <c r="G339" s="22">
        <v>34.75</v>
      </c>
      <c r="H339" s="21">
        <f>ROUND(G339*E339,0)</f>
        <v>12006923</v>
      </c>
      <c r="I339" s="21">
        <f>H339-F339</f>
        <v>0</v>
      </c>
      <c r="J339" s="23"/>
      <c r="K339" s="24" t="s">
        <v>700</v>
      </c>
      <c r="L339" s="35">
        <v>0</v>
      </c>
    </row>
    <row r="340" spans="1:12" x14ac:dyDescent="0.25">
      <c r="A340" s="16" t="s">
        <v>40</v>
      </c>
      <c r="B340" s="17" t="s">
        <v>701</v>
      </c>
      <c r="C340" s="18">
        <v>695</v>
      </c>
      <c r="D340" s="19" t="s">
        <v>23</v>
      </c>
      <c r="E340" s="20">
        <v>200000</v>
      </c>
      <c r="F340" s="21">
        <v>139000000</v>
      </c>
      <c r="G340" s="22">
        <v>695</v>
      </c>
      <c r="H340" s="21">
        <f>ROUND(G340*E340,0)</f>
        <v>139000000</v>
      </c>
      <c r="I340" s="21">
        <f>H340-F340</f>
        <v>0</v>
      </c>
      <c r="J340" s="23"/>
      <c r="K340" s="24" t="s">
        <v>702</v>
      </c>
      <c r="L340" s="35">
        <v>0</v>
      </c>
    </row>
    <row r="341" spans="1:12" x14ac:dyDescent="0.25">
      <c r="A341" s="16" t="s">
        <v>140</v>
      </c>
      <c r="B341" s="17" t="s">
        <v>703</v>
      </c>
      <c r="C341" s="18">
        <v>145</v>
      </c>
      <c r="D341" s="19" t="s">
        <v>38</v>
      </c>
      <c r="E341" s="20">
        <v>260000</v>
      </c>
      <c r="F341" s="21">
        <v>37700000</v>
      </c>
      <c r="G341" s="22">
        <v>145</v>
      </c>
      <c r="H341" s="21">
        <f>ROUND(G341*E341,0)</f>
        <v>37700000</v>
      </c>
      <c r="I341" s="21">
        <f>H341-F341</f>
        <v>0</v>
      </c>
      <c r="J341" s="23"/>
      <c r="K341" s="24" t="s">
        <v>704</v>
      </c>
      <c r="L341" s="35">
        <v>0</v>
      </c>
    </row>
    <row r="342" spans="1:12" s="8" customFormat="1" x14ac:dyDescent="0.25">
      <c r="A342" s="9" t="s">
        <v>705</v>
      </c>
      <c r="B342" s="10" t="s">
        <v>706</v>
      </c>
      <c r="C342" s="11"/>
      <c r="D342" s="12"/>
      <c r="E342" s="12"/>
      <c r="F342" s="13">
        <v>138972135</v>
      </c>
      <c r="G342" s="12"/>
      <c r="H342" s="11"/>
      <c r="I342" s="11"/>
      <c r="J342" s="12"/>
      <c r="K342" s="14" t="s">
        <v>705</v>
      </c>
      <c r="L342" s="15"/>
    </row>
    <row r="343" spans="1:12" s="26" customFormat="1" x14ac:dyDescent="0.25">
      <c r="A343" s="27" t="s">
        <v>707</v>
      </c>
      <c r="B343" s="28" t="s">
        <v>317</v>
      </c>
      <c r="C343" s="29"/>
      <c r="D343" s="30"/>
      <c r="E343" s="30"/>
      <c r="F343" s="31">
        <v>37065740</v>
      </c>
      <c r="G343" s="30"/>
      <c r="H343" s="29"/>
      <c r="I343" s="29"/>
      <c r="J343" s="30"/>
      <c r="K343" s="32" t="s">
        <v>708</v>
      </c>
      <c r="L343" s="29"/>
    </row>
    <row r="344" spans="1:12" x14ac:dyDescent="0.25">
      <c r="A344" s="16" t="s">
        <v>21</v>
      </c>
      <c r="B344" s="36" t="s">
        <v>319</v>
      </c>
      <c r="C344" s="18">
        <v>18</v>
      </c>
      <c r="D344" s="19" t="s">
        <v>38</v>
      </c>
      <c r="E344" s="20">
        <v>147990.68</v>
      </c>
      <c r="F344" s="21">
        <v>2663832</v>
      </c>
      <c r="G344" s="22">
        <v>18</v>
      </c>
      <c r="H344" s="21">
        <f>ROUND(G344*E344,0)</f>
        <v>2663832</v>
      </c>
      <c r="I344" s="21">
        <f>H344-F344</f>
        <v>0</v>
      </c>
      <c r="J344" s="23"/>
      <c r="K344" s="24" t="s">
        <v>709</v>
      </c>
      <c r="L344" s="25">
        <v>18</v>
      </c>
    </row>
    <row r="345" spans="1:12" s="26" customFormat="1" x14ac:dyDescent="0.25">
      <c r="A345" s="27" t="s">
        <v>25</v>
      </c>
      <c r="B345" s="33" t="s">
        <v>321</v>
      </c>
      <c r="C345" s="29"/>
      <c r="D345" s="30"/>
      <c r="E345" s="30"/>
      <c r="F345" s="31">
        <v>4427905</v>
      </c>
      <c r="G345" s="30"/>
      <c r="H345" s="29"/>
      <c r="I345" s="29"/>
      <c r="J345" s="30"/>
      <c r="K345" s="32" t="s">
        <v>710</v>
      </c>
      <c r="L345" s="29"/>
    </row>
    <row r="346" spans="1:12" x14ac:dyDescent="0.25">
      <c r="A346" s="16" t="s">
        <v>224</v>
      </c>
      <c r="B346" s="34" t="s">
        <v>213</v>
      </c>
      <c r="C346" s="18">
        <v>4.8</v>
      </c>
      <c r="D346" s="19" t="s">
        <v>214</v>
      </c>
      <c r="E346" s="20">
        <v>56660.36</v>
      </c>
      <c r="F346" s="21">
        <v>271970</v>
      </c>
      <c r="G346" s="22">
        <v>4.8</v>
      </c>
      <c r="H346" s="21">
        <f>ROUND(G346*E346,0)</f>
        <v>271970</v>
      </c>
      <c r="I346" s="21">
        <f>H346-F346</f>
        <v>0</v>
      </c>
      <c r="J346" s="23"/>
      <c r="K346" s="24" t="s">
        <v>711</v>
      </c>
      <c r="L346" s="25">
        <v>4.8</v>
      </c>
    </row>
    <row r="347" spans="1:12" x14ac:dyDescent="0.25">
      <c r="A347" s="16" t="s">
        <v>227</v>
      </c>
      <c r="B347" s="34" t="s">
        <v>324</v>
      </c>
      <c r="C347" s="18">
        <v>0.28</v>
      </c>
      <c r="D347" s="19" t="s">
        <v>214</v>
      </c>
      <c r="E347" s="20">
        <v>345522.98</v>
      </c>
      <c r="F347" s="21">
        <v>96746</v>
      </c>
      <c r="G347" s="22">
        <v>0.28</v>
      </c>
      <c r="H347" s="21">
        <f>ROUND(G347*E347,0)</f>
        <v>96746</v>
      </c>
      <c r="I347" s="21">
        <f>H347-F347</f>
        <v>0</v>
      </c>
      <c r="J347" s="23"/>
      <c r="K347" s="24" t="s">
        <v>712</v>
      </c>
      <c r="L347" s="25">
        <v>0.28</v>
      </c>
    </row>
    <row r="348" spans="1:12" x14ac:dyDescent="0.25">
      <c r="A348" s="16" t="s">
        <v>231</v>
      </c>
      <c r="B348" s="34" t="s">
        <v>326</v>
      </c>
      <c r="C348" s="18">
        <v>0.12</v>
      </c>
      <c r="D348" s="19" t="s">
        <v>214</v>
      </c>
      <c r="E348" s="20">
        <v>1016530.97</v>
      </c>
      <c r="F348" s="21">
        <v>121984</v>
      </c>
      <c r="G348" s="22">
        <v>0.12</v>
      </c>
      <c r="H348" s="21">
        <f>ROUND(G348*E348,0)</f>
        <v>121984</v>
      </c>
      <c r="I348" s="21">
        <f>H348-F348</f>
        <v>0</v>
      </c>
      <c r="J348" s="23"/>
      <c r="K348" s="24" t="s">
        <v>713</v>
      </c>
      <c r="L348" s="25">
        <v>0.12</v>
      </c>
    </row>
    <row r="349" spans="1:12" x14ac:dyDescent="0.25">
      <c r="A349" s="16" t="s">
        <v>234</v>
      </c>
      <c r="B349" s="34" t="s">
        <v>328</v>
      </c>
      <c r="C349" s="18">
        <v>4.8</v>
      </c>
      <c r="D349" s="19" t="s">
        <v>23</v>
      </c>
      <c r="E349" s="20">
        <v>130392.01</v>
      </c>
      <c r="F349" s="21">
        <v>625882</v>
      </c>
      <c r="G349" s="22">
        <v>4.8</v>
      </c>
      <c r="H349" s="21">
        <f>ROUND(G349*E349,0)</f>
        <v>625882</v>
      </c>
      <c r="I349" s="21">
        <f>H349-F349</f>
        <v>0</v>
      </c>
      <c r="J349" s="23"/>
      <c r="K349" s="24" t="s">
        <v>714</v>
      </c>
      <c r="L349" s="25">
        <v>4.8</v>
      </c>
    </row>
    <row r="350" spans="1:12" x14ac:dyDescent="0.25">
      <c r="A350" s="16" t="s">
        <v>330</v>
      </c>
      <c r="B350" s="34" t="s">
        <v>292</v>
      </c>
      <c r="C350" s="18">
        <v>22.194</v>
      </c>
      <c r="D350" s="19" t="s">
        <v>229</v>
      </c>
      <c r="E350" s="20">
        <v>13176.23</v>
      </c>
      <c r="F350" s="21">
        <v>292433</v>
      </c>
      <c r="G350" s="22">
        <v>22.194</v>
      </c>
      <c r="H350" s="21">
        <f>ROUND(G350*E350,0)</f>
        <v>292433</v>
      </c>
      <c r="I350" s="21">
        <f>H350-F350</f>
        <v>0</v>
      </c>
      <c r="J350" s="23"/>
      <c r="K350" s="24" t="s">
        <v>715</v>
      </c>
      <c r="L350" s="25">
        <v>22.194</v>
      </c>
    </row>
    <row r="351" spans="1:12" x14ac:dyDescent="0.25">
      <c r="A351" s="16" t="s">
        <v>333</v>
      </c>
      <c r="B351" s="34" t="s">
        <v>334</v>
      </c>
      <c r="C351" s="18">
        <v>0.768</v>
      </c>
      <c r="D351" s="19" t="s">
        <v>214</v>
      </c>
      <c r="E351" s="20">
        <v>1151545.01</v>
      </c>
      <c r="F351" s="21">
        <v>884387</v>
      </c>
      <c r="G351" s="22">
        <v>0.768</v>
      </c>
      <c r="H351" s="21">
        <f>ROUND(G351*E351,0)</f>
        <v>884387</v>
      </c>
      <c r="I351" s="21">
        <f>H351-F351</f>
        <v>0</v>
      </c>
      <c r="J351" s="23"/>
      <c r="K351" s="24" t="s">
        <v>716</v>
      </c>
      <c r="L351" s="25">
        <v>0.768</v>
      </c>
    </row>
    <row r="352" spans="1:12" x14ac:dyDescent="0.25">
      <c r="A352" s="16" t="s">
        <v>336</v>
      </c>
      <c r="B352" s="34" t="s">
        <v>270</v>
      </c>
      <c r="C352" s="18">
        <v>80</v>
      </c>
      <c r="D352" s="19" t="s">
        <v>38</v>
      </c>
      <c r="E352" s="20">
        <v>26681.29</v>
      </c>
      <c r="F352" s="21">
        <v>2134503</v>
      </c>
      <c r="G352" s="22">
        <v>80</v>
      </c>
      <c r="H352" s="21">
        <f>ROUND(G352*E352,0)</f>
        <v>2134503</v>
      </c>
      <c r="I352" s="21">
        <f>H352-F352</f>
        <v>0</v>
      </c>
      <c r="J352" s="23"/>
      <c r="K352" s="24" t="s">
        <v>717</v>
      </c>
      <c r="L352" s="25">
        <v>80</v>
      </c>
    </row>
    <row r="353" spans="1:12" s="26" customFormat="1" x14ac:dyDescent="0.25">
      <c r="A353" s="27" t="s">
        <v>29</v>
      </c>
      <c r="B353" s="33" t="s">
        <v>718</v>
      </c>
      <c r="C353" s="29"/>
      <c r="D353" s="30"/>
      <c r="E353" s="30"/>
      <c r="F353" s="31">
        <v>7095701</v>
      </c>
      <c r="G353" s="30"/>
      <c r="H353" s="29"/>
      <c r="I353" s="29"/>
      <c r="J353" s="30"/>
      <c r="K353" s="32" t="s">
        <v>719</v>
      </c>
      <c r="L353" s="29"/>
    </row>
    <row r="354" spans="1:12" x14ac:dyDescent="0.25">
      <c r="A354" s="16" t="s">
        <v>239</v>
      </c>
      <c r="B354" s="34" t="s">
        <v>282</v>
      </c>
      <c r="C354" s="18">
        <v>11.832</v>
      </c>
      <c r="D354" s="19" t="s">
        <v>214</v>
      </c>
      <c r="E354" s="20">
        <v>56660.36</v>
      </c>
      <c r="F354" s="21">
        <v>670405</v>
      </c>
      <c r="G354" s="22">
        <v>11.832</v>
      </c>
      <c r="H354" s="21">
        <f>ROUND(G354*E354,0)</f>
        <v>670405</v>
      </c>
      <c r="I354" s="21">
        <f>H354-F354</f>
        <v>0</v>
      </c>
      <c r="J354" s="23"/>
      <c r="K354" s="24" t="s">
        <v>720</v>
      </c>
      <c r="L354" s="25">
        <v>11.832</v>
      </c>
    </row>
    <row r="355" spans="1:12" x14ac:dyDescent="0.25">
      <c r="A355" s="16" t="s">
        <v>241</v>
      </c>
      <c r="B355" s="34" t="s">
        <v>342</v>
      </c>
      <c r="C355" s="18">
        <v>0</v>
      </c>
      <c r="D355" s="19" t="s">
        <v>38</v>
      </c>
      <c r="E355" s="20">
        <v>26681.29</v>
      </c>
      <c r="F355" s="21">
        <v>0</v>
      </c>
      <c r="G355" s="22">
        <v>0</v>
      </c>
      <c r="H355" s="21">
        <f>ROUND(G355*E355,0)</f>
        <v>0</v>
      </c>
      <c r="I355" s="21">
        <f>H355-F355</f>
        <v>0</v>
      </c>
      <c r="J355" s="23"/>
      <c r="K355" s="24" t="s">
        <v>721</v>
      </c>
      <c r="L355" s="35">
        <v>0</v>
      </c>
    </row>
    <row r="356" spans="1:12" x14ac:dyDescent="0.25">
      <c r="A356" s="16" t="s">
        <v>244</v>
      </c>
      <c r="B356" s="34" t="s">
        <v>344</v>
      </c>
      <c r="C356" s="18">
        <v>0.952</v>
      </c>
      <c r="D356" s="19" t="s">
        <v>214</v>
      </c>
      <c r="E356" s="20">
        <v>345522.98</v>
      </c>
      <c r="F356" s="21">
        <v>328938</v>
      </c>
      <c r="G356" s="22">
        <v>0.952</v>
      </c>
      <c r="H356" s="21">
        <f>ROUND(G356*E356,0)</f>
        <v>328938</v>
      </c>
      <c r="I356" s="21">
        <f>H356-F356</f>
        <v>0</v>
      </c>
      <c r="J356" s="23"/>
      <c r="K356" s="24" t="s">
        <v>722</v>
      </c>
      <c r="L356" s="25">
        <v>0.952</v>
      </c>
    </row>
    <row r="357" spans="1:12" x14ac:dyDescent="0.25">
      <c r="A357" s="16" t="s">
        <v>247</v>
      </c>
      <c r="B357" s="34" t="s">
        <v>338</v>
      </c>
      <c r="C357" s="18">
        <v>7.48</v>
      </c>
      <c r="D357" s="19" t="s">
        <v>214</v>
      </c>
      <c r="E357" s="20">
        <v>815021.06</v>
      </c>
      <c r="F357" s="21">
        <v>6096358</v>
      </c>
      <c r="G357" s="22">
        <v>7.48</v>
      </c>
      <c r="H357" s="21">
        <f>ROUND(G357*E357,0)</f>
        <v>6096358</v>
      </c>
      <c r="I357" s="21">
        <f>H357-F357</f>
        <v>0</v>
      </c>
      <c r="J357" s="23"/>
      <c r="K357" s="24" t="s">
        <v>723</v>
      </c>
      <c r="L357" s="25">
        <v>7.48</v>
      </c>
    </row>
    <row r="358" spans="1:12" x14ac:dyDescent="0.25">
      <c r="A358" s="16" t="s">
        <v>33</v>
      </c>
      <c r="B358" s="36" t="s">
        <v>348</v>
      </c>
      <c r="C358" s="18">
        <v>5.24</v>
      </c>
      <c r="D358" s="19" t="s">
        <v>229</v>
      </c>
      <c r="E358" s="20">
        <v>13176.23</v>
      </c>
      <c r="F358" s="21">
        <v>69047</v>
      </c>
      <c r="G358" s="22">
        <v>5.24</v>
      </c>
      <c r="H358" s="21">
        <f>ROUND(G358*E358,0)</f>
        <v>69047</v>
      </c>
      <c r="I358" s="21">
        <f>H358-F358</f>
        <v>0</v>
      </c>
      <c r="J358" s="23"/>
      <c r="K358" s="24" t="s">
        <v>724</v>
      </c>
      <c r="L358" s="25">
        <v>5.24</v>
      </c>
    </row>
    <row r="359" spans="1:12" s="26" customFormat="1" x14ac:dyDescent="0.25">
      <c r="A359" s="27" t="s">
        <v>36</v>
      </c>
      <c r="B359" s="33" t="s">
        <v>350</v>
      </c>
      <c r="C359" s="29"/>
      <c r="D359" s="30"/>
      <c r="E359" s="30"/>
      <c r="F359" s="31">
        <v>2696575</v>
      </c>
      <c r="G359" s="30"/>
      <c r="H359" s="29"/>
      <c r="I359" s="29"/>
      <c r="J359" s="30"/>
      <c r="K359" s="32" t="s">
        <v>725</v>
      </c>
      <c r="L359" s="29"/>
    </row>
    <row r="360" spans="1:12" x14ac:dyDescent="0.25">
      <c r="A360" s="16" t="s">
        <v>269</v>
      </c>
      <c r="B360" s="34" t="s">
        <v>258</v>
      </c>
      <c r="C360" s="18">
        <v>3.1</v>
      </c>
      <c r="D360" s="19" t="s">
        <v>23</v>
      </c>
      <c r="E360" s="20">
        <v>246976.42</v>
      </c>
      <c r="F360" s="21">
        <v>765627</v>
      </c>
      <c r="G360" s="22">
        <v>3.1</v>
      </c>
      <c r="H360" s="21">
        <f>ROUND(G360*E360,0)</f>
        <v>765627</v>
      </c>
      <c r="I360" s="21">
        <f>H360-F360</f>
        <v>0</v>
      </c>
      <c r="J360" s="23"/>
      <c r="K360" s="24" t="s">
        <v>726</v>
      </c>
      <c r="L360" s="25">
        <v>3.1</v>
      </c>
    </row>
    <row r="361" spans="1:12" x14ac:dyDescent="0.25">
      <c r="A361" s="16" t="s">
        <v>272</v>
      </c>
      <c r="B361" s="34" t="s">
        <v>353</v>
      </c>
      <c r="C361" s="18">
        <v>47.779</v>
      </c>
      <c r="D361" s="19" t="s">
        <v>229</v>
      </c>
      <c r="E361" s="20">
        <v>13176.23</v>
      </c>
      <c r="F361" s="21">
        <v>629544</v>
      </c>
      <c r="G361" s="22">
        <v>47.779</v>
      </c>
      <c r="H361" s="21">
        <f>ROUND(G361*E361,0)</f>
        <v>629544</v>
      </c>
      <c r="I361" s="21">
        <f>H361-F361</f>
        <v>0</v>
      </c>
      <c r="J361" s="23"/>
      <c r="K361" s="24" t="s">
        <v>727</v>
      </c>
      <c r="L361" s="25">
        <v>47.779</v>
      </c>
    </row>
    <row r="362" spans="1:12" x14ac:dyDescent="0.25">
      <c r="A362" s="16" t="s">
        <v>275</v>
      </c>
      <c r="B362" s="34" t="s">
        <v>355</v>
      </c>
      <c r="C362" s="18">
        <v>43.054</v>
      </c>
      <c r="D362" s="19" t="s">
        <v>229</v>
      </c>
      <c r="E362" s="20">
        <v>13176.23</v>
      </c>
      <c r="F362" s="21">
        <v>567294</v>
      </c>
      <c r="G362" s="22">
        <v>43.054</v>
      </c>
      <c r="H362" s="21">
        <f>ROUND(G362*E362,0)</f>
        <v>567294</v>
      </c>
      <c r="I362" s="21">
        <f>H362-F362</f>
        <v>0</v>
      </c>
      <c r="J362" s="23"/>
      <c r="K362" s="24" t="s">
        <v>728</v>
      </c>
      <c r="L362" s="25">
        <v>43.054</v>
      </c>
    </row>
    <row r="363" spans="1:12" x14ac:dyDescent="0.25">
      <c r="A363" s="16" t="s">
        <v>277</v>
      </c>
      <c r="B363" s="34" t="s">
        <v>429</v>
      </c>
      <c r="C363" s="18">
        <v>0.638</v>
      </c>
      <c r="D363" s="19" t="s">
        <v>214</v>
      </c>
      <c r="E363" s="20">
        <v>1151545.01</v>
      </c>
      <c r="F363" s="21">
        <v>734110</v>
      </c>
      <c r="G363" s="22">
        <v>0.638</v>
      </c>
      <c r="H363" s="21">
        <f>ROUND(G363*E363,0)</f>
        <v>734110</v>
      </c>
      <c r="I363" s="21">
        <f>H363-F363</f>
        <v>0</v>
      </c>
      <c r="J363" s="23"/>
      <c r="K363" s="24" t="s">
        <v>729</v>
      </c>
      <c r="L363" s="35">
        <v>0</v>
      </c>
    </row>
    <row r="364" spans="1:12" s="26" customFormat="1" x14ac:dyDescent="0.25">
      <c r="A364" s="27" t="s">
        <v>40</v>
      </c>
      <c r="B364" s="33" t="s">
        <v>369</v>
      </c>
      <c r="C364" s="29"/>
      <c r="D364" s="30"/>
      <c r="E364" s="30"/>
      <c r="F364" s="31">
        <v>1250559</v>
      </c>
      <c r="G364" s="30"/>
      <c r="H364" s="29"/>
      <c r="I364" s="29"/>
      <c r="J364" s="30"/>
      <c r="K364" s="32" t="s">
        <v>730</v>
      </c>
      <c r="L364" s="29"/>
    </row>
    <row r="365" spans="1:12" x14ac:dyDescent="0.25">
      <c r="A365" s="16" t="s">
        <v>281</v>
      </c>
      <c r="B365" s="34" t="s">
        <v>371</v>
      </c>
      <c r="C365" s="18">
        <v>3.2</v>
      </c>
      <c r="D365" s="19" t="s">
        <v>23</v>
      </c>
      <c r="E365" s="20">
        <v>208190.98</v>
      </c>
      <c r="F365" s="21">
        <v>666211</v>
      </c>
      <c r="G365" s="22">
        <v>3.2</v>
      </c>
      <c r="H365" s="21">
        <f>ROUND(G365*E365,0)</f>
        <v>666211</v>
      </c>
      <c r="I365" s="21">
        <f>H365-F365</f>
        <v>0</v>
      </c>
      <c r="J365" s="23"/>
      <c r="K365" s="24" t="s">
        <v>731</v>
      </c>
      <c r="L365" s="35">
        <v>0</v>
      </c>
    </row>
    <row r="366" spans="1:12" x14ac:dyDescent="0.25">
      <c r="A366" s="16" t="s">
        <v>284</v>
      </c>
      <c r="B366" s="34" t="s">
        <v>373</v>
      </c>
      <c r="C366" s="18">
        <v>20.714</v>
      </c>
      <c r="D366" s="19" t="s">
        <v>229</v>
      </c>
      <c r="E366" s="20">
        <v>13176.23</v>
      </c>
      <c r="F366" s="21">
        <v>272938</v>
      </c>
      <c r="G366" s="22">
        <v>20.714</v>
      </c>
      <c r="H366" s="21">
        <f>ROUND(G366*E366,0)</f>
        <v>272938</v>
      </c>
      <c r="I366" s="21">
        <f>H366-F366</f>
        <v>0</v>
      </c>
      <c r="J366" s="23"/>
      <c r="K366" s="24" t="s">
        <v>732</v>
      </c>
      <c r="L366" s="25">
        <v>20.714</v>
      </c>
    </row>
    <row r="367" spans="1:12" x14ac:dyDescent="0.25">
      <c r="A367" s="16" t="s">
        <v>286</v>
      </c>
      <c r="B367" s="34" t="s">
        <v>375</v>
      </c>
      <c r="C367" s="18">
        <v>6.155</v>
      </c>
      <c r="D367" s="19" t="s">
        <v>229</v>
      </c>
      <c r="E367" s="20">
        <v>13176.23</v>
      </c>
      <c r="F367" s="21">
        <v>81101</v>
      </c>
      <c r="G367" s="22">
        <v>6.155</v>
      </c>
      <c r="H367" s="21">
        <f>ROUND(G367*E367,0)</f>
        <v>81101</v>
      </c>
      <c r="I367" s="21">
        <f>H367-F367</f>
        <v>0</v>
      </c>
      <c r="J367" s="23"/>
      <c r="K367" s="24" t="s">
        <v>733</v>
      </c>
      <c r="L367" s="25">
        <v>6.155</v>
      </c>
    </row>
    <row r="368" spans="1:12" x14ac:dyDescent="0.25">
      <c r="A368" s="16" t="s">
        <v>288</v>
      </c>
      <c r="B368" s="34" t="s">
        <v>377</v>
      </c>
      <c r="C368" s="18">
        <v>0.2</v>
      </c>
      <c r="D368" s="19" t="s">
        <v>214</v>
      </c>
      <c r="E368" s="20">
        <v>1151545.01</v>
      </c>
      <c r="F368" s="21">
        <v>230309</v>
      </c>
      <c r="G368" s="22">
        <v>0.2</v>
      </c>
      <c r="H368" s="21">
        <f>ROUND(G368*E368,0)</f>
        <v>230309</v>
      </c>
      <c r="I368" s="21">
        <f>H368-F368</f>
        <v>0</v>
      </c>
      <c r="J368" s="23"/>
      <c r="K368" s="24" t="s">
        <v>734</v>
      </c>
      <c r="L368" s="25">
        <v>0.2</v>
      </c>
    </row>
    <row r="369" spans="1:12" s="26" customFormat="1" x14ac:dyDescent="0.25">
      <c r="A369" s="27" t="s">
        <v>140</v>
      </c>
      <c r="B369" s="33" t="s">
        <v>379</v>
      </c>
      <c r="C369" s="29"/>
      <c r="D369" s="30"/>
      <c r="E369" s="30"/>
      <c r="F369" s="31">
        <v>5380567</v>
      </c>
      <c r="G369" s="30"/>
      <c r="H369" s="29"/>
      <c r="I369" s="29"/>
      <c r="J369" s="30"/>
      <c r="K369" s="32" t="s">
        <v>735</v>
      </c>
      <c r="L369" s="29"/>
    </row>
    <row r="370" spans="1:12" x14ac:dyDescent="0.25">
      <c r="A370" s="16" t="s">
        <v>301</v>
      </c>
      <c r="B370" s="34" t="s">
        <v>736</v>
      </c>
      <c r="C370" s="18">
        <v>14.32</v>
      </c>
      <c r="D370" s="19" t="s">
        <v>23</v>
      </c>
      <c r="E370" s="20">
        <v>208190.98</v>
      </c>
      <c r="F370" s="21">
        <v>2981295</v>
      </c>
      <c r="G370" s="22">
        <v>14.32</v>
      </c>
      <c r="H370" s="21">
        <f>ROUND(G370*E370,0)</f>
        <v>2981295</v>
      </c>
      <c r="I370" s="21">
        <f>H370-F370</f>
        <v>0</v>
      </c>
      <c r="J370" s="23"/>
      <c r="K370" s="24" t="s">
        <v>737</v>
      </c>
      <c r="L370" s="25">
        <v>14.32</v>
      </c>
    </row>
    <row r="371" spans="1:12" x14ac:dyDescent="0.25">
      <c r="A371" s="16" t="s">
        <v>304</v>
      </c>
      <c r="B371" s="34" t="s">
        <v>373</v>
      </c>
      <c r="C371" s="18">
        <v>75.558</v>
      </c>
      <c r="D371" s="19" t="s">
        <v>229</v>
      </c>
      <c r="E371" s="20">
        <v>13176.23</v>
      </c>
      <c r="F371" s="21">
        <v>995572</v>
      </c>
      <c r="G371" s="22">
        <v>75.558</v>
      </c>
      <c r="H371" s="21">
        <f>ROUND(G371*E371,0)</f>
        <v>995572</v>
      </c>
      <c r="I371" s="21">
        <f>H371-F371</f>
        <v>0</v>
      </c>
      <c r="J371" s="23"/>
      <c r="K371" s="24" t="s">
        <v>738</v>
      </c>
      <c r="L371" s="25">
        <v>75.558</v>
      </c>
    </row>
    <row r="372" spans="1:12" x14ac:dyDescent="0.25">
      <c r="A372" s="16" t="s">
        <v>307</v>
      </c>
      <c r="B372" s="34" t="s">
        <v>375</v>
      </c>
      <c r="C372" s="18">
        <v>28.314</v>
      </c>
      <c r="D372" s="19" t="s">
        <v>229</v>
      </c>
      <c r="E372" s="20">
        <v>13176.23</v>
      </c>
      <c r="F372" s="21">
        <v>373067</v>
      </c>
      <c r="G372" s="22">
        <v>28.314</v>
      </c>
      <c r="H372" s="21">
        <f>ROUND(G372*E372,0)</f>
        <v>373067</v>
      </c>
      <c r="I372" s="21">
        <f>H372-F372</f>
        <v>0</v>
      </c>
      <c r="J372" s="23"/>
      <c r="K372" s="24" t="s">
        <v>739</v>
      </c>
      <c r="L372" s="25">
        <v>28.314</v>
      </c>
    </row>
    <row r="373" spans="1:12" x14ac:dyDescent="0.25">
      <c r="A373" s="16" t="s">
        <v>310</v>
      </c>
      <c r="B373" s="34" t="s">
        <v>429</v>
      </c>
      <c r="C373" s="18">
        <v>0.895</v>
      </c>
      <c r="D373" s="19" t="s">
        <v>214</v>
      </c>
      <c r="E373" s="20">
        <v>1151545.01</v>
      </c>
      <c r="F373" s="21">
        <v>1030633</v>
      </c>
      <c r="G373" s="22">
        <v>0.895</v>
      </c>
      <c r="H373" s="21">
        <f>ROUND(G373*E373,0)</f>
        <v>1030633</v>
      </c>
      <c r="I373" s="21">
        <f>H373-F373</f>
        <v>0</v>
      </c>
      <c r="J373" s="23"/>
      <c r="K373" s="24" t="s">
        <v>740</v>
      </c>
      <c r="L373" s="35">
        <v>0</v>
      </c>
    </row>
    <row r="374" spans="1:12" s="26" customFormat="1" x14ac:dyDescent="0.25">
      <c r="A374" s="27" t="s">
        <v>143</v>
      </c>
      <c r="B374" s="33" t="s">
        <v>741</v>
      </c>
      <c r="C374" s="29"/>
      <c r="D374" s="30"/>
      <c r="E374" s="30"/>
      <c r="F374" s="31">
        <v>1540752</v>
      </c>
      <c r="G374" s="30"/>
      <c r="H374" s="29"/>
      <c r="I374" s="29"/>
      <c r="J374" s="30"/>
      <c r="K374" s="32" t="s">
        <v>742</v>
      </c>
      <c r="L374" s="29"/>
    </row>
    <row r="375" spans="1:12" x14ac:dyDescent="0.25">
      <c r="A375" s="16" t="s">
        <v>381</v>
      </c>
      <c r="B375" s="34" t="s">
        <v>736</v>
      </c>
      <c r="C375" s="18">
        <v>3.222</v>
      </c>
      <c r="D375" s="19" t="s">
        <v>23</v>
      </c>
      <c r="E375" s="20">
        <v>208190.98</v>
      </c>
      <c r="F375" s="21">
        <v>670791</v>
      </c>
      <c r="G375" s="22">
        <v>3.222</v>
      </c>
      <c r="H375" s="21">
        <f>ROUND(G375*E375,0)</f>
        <v>670791</v>
      </c>
      <c r="I375" s="21">
        <f>H375-F375</f>
        <v>0</v>
      </c>
      <c r="J375" s="23"/>
      <c r="K375" s="24" t="s">
        <v>743</v>
      </c>
      <c r="L375" s="35">
        <v>0</v>
      </c>
    </row>
    <row r="376" spans="1:12" x14ac:dyDescent="0.25">
      <c r="A376" s="16" t="s">
        <v>383</v>
      </c>
      <c r="B376" s="34" t="s">
        <v>409</v>
      </c>
      <c r="C376" s="18">
        <v>28.334</v>
      </c>
      <c r="D376" s="19" t="s">
        <v>229</v>
      </c>
      <c r="E376" s="20">
        <v>13176.23</v>
      </c>
      <c r="F376" s="21">
        <v>373340</v>
      </c>
      <c r="G376" s="22">
        <v>28.334</v>
      </c>
      <c r="H376" s="21">
        <f>ROUND(G376*E376,0)</f>
        <v>373340</v>
      </c>
      <c r="I376" s="21">
        <f>H376-F376</f>
        <v>0</v>
      </c>
      <c r="J376" s="23"/>
      <c r="K376" s="24" t="s">
        <v>744</v>
      </c>
      <c r="L376" s="35">
        <v>0</v>
      </c>
    </row>
    <row r="377" spans="1:12" x14ac:dyDescent="0.25">
      <c r="A377" s="16" t="s">
        <v>385</v>
      </c>
      <c r="B377" s="34" t="s">
        <v>355</v>
      </c>
      <c r="C377" s="18">
        <v>16.572</v>
      </c>
      <c r="D377" s="19" t="s">
        <v>229</v>
      </c>
      <c r="E377" s="20">
        <v>13176.23</v>
      </c>
      <c r="F377" s="21">
        <v>218350</v>
      </c>
      <c r="G377" s="22">
        <v>16.572</v>
      </c>
      <c r="H377" s="21">
        <f>ROUND(G377*E377,0)</f>
        <v>218350</v>
      </c>
      <c r="I377" s="21">
        <f>H377-F377</f>
        <v>0</v>
      </c>
      <c r="J377" s="23"/>
      <c r="K377" s="24" t="s">
        <v>745</v>
      </c>
      <c r="L377" s="35">
        <v>0</v>
      </c>
    </row>
    <row r="378" spans="1:12" x14ac:dyDescent="0.25">
      <c r="A378" s="16" t="s">
        <v>387</v>
      </c>
      <c r="B378" s="34" t="s">
        <v>429</v>
      </c>
      <c r="C378" s="18">
        <v>0.242</v>
      </c>
      <c r="D378" s="19" t="s">
        <v>214</v>
      </c>
      <c r="E378" s="20">
        <v>1151545.01</v>
      </c>
      <c r="F378" s="21">
        <v>278271</v>
      </c>
      <c r="G378" s="22">
        <v>0.242</v>
      </c>
      <c r="H378" s="21">
        <f>ROUND(G378*E378,0)</f>
        <v>278271</v>
      </c>
      <c r="I378" s="21">
        <f>H378-F378</f>
        <v>0</v>
      </c>
      <c r="J378" s="23"/>
      <c r="K378" s="24" t="s">
        <v>746</v>
      </c>
      <c r="L378" s="35">
        <v>0</v>
      </c>
    </row>
    <row r="379" spans="1:12" s="26" customFormat="1" x14ac:dyDescent="0.25">
      <c r="A379" s="27" t="s">
        <v>146</v>
      </c>
      <c r="B379" s="33" t="s">
        <v>389</v>
      </c>
      <c r="C379" s="29"/>
      <c r="D379" s="30"/>
      <c r="E379" s="30"/>
      <c r="F379" s="31">
        <v>3563560</v>
      </c>
      <c r="G379" s="30"/>
      <c r="H379" s="29"/>
      <c r="I379" s="29"/>
      <c r="J379" s="30"/>
      <c r="K379" s="32" t="s">
        <v>747</v>
      </c>
      <c r="L379" s="29"/>
    </row>
    <row r="380" spans="1:12" x14ac:dyDescent="0.25">
      <c r="A380" s="16" t="s">
        <v>391</v>
      </c>
      <c r="B380" s="34" t="s">
        <v>748</v>
      </c>
      <c r="C380" s="18">
        <v>6.3</v>
      </c>
      <c r="D380" s="19" t="s">
        <v>23</v>
      </c>
      <c r="E380" s="20">
        <v>214925.5</v>
      </c>
      <c r="F380" s="21">
        <v>1354031</v>
      </c>
      <c r="G380" s="22">
        <v>6.3</v>
      </c>
      <c r="H380" s="21">
        <f>ROUND(G380*E380,0)</f>
        <v>1354031</v>
      </c>
      <c r="I380" s="21">
        <f>H380-F380</f>
        <v>0</v>
      </c>
      <c r="J380" s="23"/>
      <c r="K380" s="24" t="s">
        <v>749</v>
      </c>
      <c r="L380" s="35">
        <v>0</v>
      </c>
    </row>
    <row r="381" spans="1:12" x14ac:dyDescent="0.25">
      <c r="A381" s="16" t="s">
        <v>394</v>
      </c>
      <c r="B381" s="34" t="s">
        <v>353</v>
      </c>
      <c r="C381" s="18">
        <v>43.155</v>
      </c>
      <c r="D381" s="19" t="s">
        <v>229</v>
      </c>
      <c r="E381" s="20">
        <v>13176.23</v>
      </c>
      <c r="F381" s="21">
        <v>568620</v>
      </c>
      <c r="G381" s="22">
        <v>43.155</v>
      </c>
      <c r="H381" s="21">
        <f>ROUND(G381*E381,0)</f>
        <v>568620</v>
      </c>
      <c r="I381" s="21">
        <f>H381-F381</f>
        <v>0</v>
      </c>
      <c r="J381" s="23"/>
      <c r="K381" s="24" t="s">
        <v>750</v>
      </c>
      <c r="L381" s="35">
        <v>0</v>
      </c>
    </row>
    <row r="382" spans="1:12" x14ac:dyDescent="0.25">
      <c r="A382" s="16" t="s">
        <v>396</v>
      </c>
      <c r="B382" s="34" t="s">
        <v>355</v>
      </c>
      <c r="C382" s="18">
        <v>38.888</v>
      </c>
      <c r="D382" s="19" t="s">
        <v>229</v>
      </c>
      <c r="E382" s="20">
        <v>13176.23</v>
      </c>
      <c r="F382" s="21">
        <v>512395</v>
      </c>
      <c r="G382" s="22">
        <v>38.888</v>
      </c>
      <c r="H382" s="21">
        <f>ROUND(G382*E382,0)</f>
        <v>512395</v>
      </c>
      <c r="I382" s="21">
        <f>H382-F382</f>
        <v>0</v>
      </c>
      <c r="J382" s="23"/>
      <c r="K382" s="24" t="s">
        <v>751</v>
      </c>
      <c r="L382" s="35">
        <v>0</v>
      </c>
    </row>
    <row r="383" spans="1:12" x14ac:dyDescent="0.25">
      <c r="A383" s="16" t="s">
        <v>398</v>
      </c>
      <c r="B383" s="34" t="s">
        <v>429</v>
      </c>
      <c r="C383" s="18">
        <v>0.98</v>
      </c>
      <c r="D383" s="19" t="s">
        <v>214</v>
      </c>
      <c r="E383" s="20">
        <v>1151545.01</v>
      </c>
      <c r="F383" s="21">
        <v>1128514</v>
      </c>
      <c r="G383" s="22">
        <v>0.98</v>
      </c>
      <c r="H383" s="21">
        <f>ROUND(G383*E383,0)</f>
        <v>1128514</v>
      </c>
      <c r="I383" s="21">
        <f>H383-F383</f>
        <v>0</v>
      </c>
      <c r="J383" s="23"/>
      <c r="K383" s="24" t="s">
        <v>752</v>
      </c>
      <c r="L383" s="35">
        <v>0</v>
      </c>
    </row>
    <row r="384" spans="1:12" s="26" customFormat="1" x14ac:dyDescent="0.25">
      <c r="A384" s="27" t="s">
        <v>150</v>
      </c>
      <c r="B384" s="33" t="s">
        <v>400</v>
      </c>
      <c r="C384" s="29"/>
      <c r="D384" s="30"/>
      <c r="E384" s="30"/>
      <c r="F384" s="31">
        <v>763620</v>
      </c>
      <c r="G384" s="30"/>
      <c r="H384" s="29"/>
      <c r="I384" s="29"/>
      <c r="J384" s="30"/>
      <c r="K384" s="32" t="s">
        <v>753</v>
      </c>
      <c r="L384" s="29"/>
    </row>
    <row r="385" spans="1:12" x14ac:dyDescent="0.25">
      <c r="A385" s="16" t="s">
        <v>153</v>
      </c>
      <c r="B385" s="34" t="s">
        <v>748</v>
      </c>
      <c r="C385" s="18">
        <v>1.35</v>
      </c>
      <c r="D385" s="19" t="s">
        <v>23</v>
      </c>
      <c r="E385" s="20">
        <v>214925.5</v>
      </c>
      <c r="F385" s="21">
        <v>290149</v>
      </c>
      <c r="G385" s="22">
        <v>1.35</v>
      </c>
      <c r="H385" s="21">
        <f>ROUND(G385*E385,0)</f>
        <v>290149</v>
      </c>
      <c r="I385" s="21">
        <f>H385-F385</f>
        <v>0</v>
      </c>
      <c r="J385" s="23"/>
      <c r="K385" s="24" t="s">
        <v>754</v>
      </c>
      <c r="L385" s="35">
        <v>0</v>
      </c>
    </row>
    <row r="386" spans="1:12" x14ac:dyDescent="0.25">
      <c r="A386" s="16" t="s">
        <v>157</v>
      </c>
      <c r="B386" s="34" t="s">
        <v>353</v>
      </c>
      <c r="C386" s="18">
        <v>9.248</v>
      </c>
      <c r="D386" s="19" t="s">
        <v>229</v>
      </c>
      <c r="E386" s="20">
        <v>13176.23</v>
      </c>
      <c r="F386" s="21">
        <v>121847</v>
      </c>
      <c r="G386" s="22">
        <v>9.248</v>
      </c>
      <c r="H386" s="21">
        <f>ROUND(G386*E386,0)</f>
        <v>121847</v>
      </c>
      <c r="I386" s="21">
        <f>H386-F386</f>
        <v>0</v>
      </c>
      <c r="J386" s="23"/>
      <c r="K386" s="24" t="s">
        <v>755</v>
      </c>
      <c r="L386" s="35">
        <v>0</v>
      </c>
    </row>
    <row r="387" spans="1:12" x14ac:dyDescent="0.25">
      <c r="A387" s="16" t="s">
        <v>160</v>
      </c>
      <c r="B387" s="34" t="s">
        <v>355</v>
      </c>
      <c r="C387" s="18">
        <v>8.333</v>
      </c>
      <c r="D387" s="19" t="s">
        <v>229</v>
      </c>
      <c r="E387" s="20">
        <v>13176.23</v>
      </c>
      <c r="F387" s="21">
        <v>109799</v>
      </c>
      <c r="G387" s="22">
        <v>8.333</v>
      </c>
      <c r="H387" s="21">
        <f>ROUND(G387*E387,0)</f>
        <v>109799</v>
      </c>
      <c r="I387" s="21">
        <f>H387-F387</f>
        <v>0</v>
      </c>
      <c r="J387" s="23"/>
      <c r="K387" s="24" t="s">
        <v>756</v>
      </c>
      <c r="L387" s="35">
        <v>0</v>
      </c>
    </row>
    <row r="388" spans="1:12" x14ac:dyDescent="0.25">
      <c r="A388" s="16" t="s">
        <v>163</v>
      </c>
      <c r="B388" s="34" t="s">
        <v>429</v>
      </c>
      <c r="C388" s="18">
        <v>0.21</v>
      </c>
      <c r="D388" s="19" t="s">
        <v>214</v>
      </c>
      <c r="E388" s="20">
        <v>1151545.01</v>
      </c>
      <c r="F388" s="21">
        <v>241825</v>
      </c>
      <c r="G388" s="22">
        <v>0.21</v>
      </c>
      <c r="H388" s="21">
        <f>ROUND(G388*E388,0)</f>
        <v>241825</v>
      </c>
      <c r="I388" s="21">
        <f>H388-F388</f>
        <v>0</v>
      </c>
      <c r="J388" s="23"/>
      <c r="K388" s="24" t="s">
        <v>757</v>
      </c>
      <c r="L388" s="35">
        <v>0</v>
      </c>
    </row>
    <row r="389" spans="1:12" s="26" customFormat="1" x14ac:dyDescent="0.25">
      <c r="A389" s="27" t="s">
        <v>175</v>
      </c>
      <c r="B389" s="33" t="s">
        <v>406</v>
      </c>
      <c r="C389" s="29"/>
      <c r="D389" s="30"/>
      <c r="E389" s="30"/>
      <c r="F389" s="31">
        <v>382668</v>
      </c>
      <c r="G389" s="30"/>
      <c r="H389" s="29"/>
      <c r="I389" s="29"/>
      <c r="J389" s="30"/>
      <c r="K389" s="32" t="s">
        <v>758</v>
      </c>
      <c r="L389" s="29"/>
    </row>
    <row r="390" spans="1:12" x14ac:dyDescent="0.25">
      <c r="A390" s="16" t="s">
        <v>178</v>
      </c>
      <c r="B390" s="34" t="s">
        <v>748</v>
      </c>
      <c r="C390" s="18">
        <v>0.675</v>
      </c>
      <c r="D390" s="19" t="s">
        <v>23</v>
      </c>
      <c r="E390" s="20">
        <v>214925.5</v>
      </c>
      <c r="F390" s="21">
        <v>145075</v>
      </c>
      <c r="G390" s="22">
        <v>0.675</v>
      </c>
      <c r="H390" s="21">
        <f>ROUND(G390*E390,0)</f>
        <v>145075</v>
      </c>
      <c r="I390" s="21">
        <f>H390-F390</f>
        <v>0</v>
      </c>
      <c r="J390" s="23"/>
      <c r="K390" s="24" t="s">
        <v>759</v>
      </c>
      <c r="L390" s="35">
        <v>0</v>
      </c>
    </row>
    <row r="391" spans="1:12" x14ac:dyDescent="0.25">
      <c r="A391" s="16" t="s">
        <v>181</v>
      </c>
      <c r="B391" s="34" t="s">
        <v>409</v>
      </c>
      <c r="C391" s="18">
        <v>7.398</v>
      </c>
      <c r="D391" s="19" t="s">
        <v>229</v>
      </c>
      <c r="E391" s="20">
        <v>13176.23</v>
      </c>
      <c r="F391" s="21">
        <v>97478</v>
      </c>
      <c r="G391" s="22">
        <v>7.398</v>
      </c>
      <c r="H391" s="21">
        <f>ROUND(G391*E391,0)</f>
        <v>97478</v>
      </c>
      <c r="I391" s="21">
        <f>H391-F391</f>
        <v>0</v>
      </c>
      <c r="J391" s="23"/>
      <c r="K391" s="24" t="s">
        <v>760</v>
      </c>
      <c r="L391" s="35">
        <v>0</v>
      </c>
    </row>
    <row r="392" spans="1:12" x14ac:dyDescent="0.25">
      <c r="A392" s="16" t="s">
        <v>411</v>
      </c>
      <c r="B392" s="34" t="s">
        <v>355</v>
      </c>
      <c r="C392" s="18">
        <v>4.735</v>
      </c>
      <c r="D392" s="19" t="s">
        <v>229</v>
      </c>
      <c r="E392" s="20">
        <v>13176.23</v>
      </c>
      <c r="F392" s="21">
        <v>62386</v>
      </c>
      <c r="G392" s="22">
        <v>4.735</v>
      </c>
      <c r="H392" s="21">
        <f>ROUND(G392*E392,0)</f>
        <v>62386</v>
      </c>
      <c r="I392" s="21">
        <f>H392-F392</f>
        <v>0</v>
      </c>
      <c r="J392" s="23"/>
      <c r="K392" s="24" t="s">
        <v>761</v>
      </c>
      <c r="L392" s="35">
        <v>0</v>
      </c>
    </row>
    <row r="393" spans="1:12" x14ac:dyDescent="0.25">
      <c r="A393" s="16" t="s">
        <v>413</v>
      </c>
      <c r="B393" s="34" t="s">
        <v>429</v>
      </c>
      <c r="C393" s="18">
        <v>0.067</v>
      </c>
      <c r="D393" s="19" t="s">
        <v>214</v>
      </c>
      <c r="E393" s="20">
        <v>1151545.01</v>
      </c>
      <c r="F393" s="21">
        <v>77729</v>
      </c>
      <c r="G393" s="22">
        <v>0.067</v>
      </c>
      <c r="H393" s="21">
        <f>ROUND(G393*E393,0)</f>
        <v>77729</v>
      </c>
      <c r="I393" s="21">
        <f>H393-F393</f>
        <v>0</v>
      </c>
      <c r="J393" s="23"/>
      <c r="K393" s="24" t="s">
        <v>762</v>
      </c>
      <c r="L393" s="35">
        <v>0</v>
      </c>
    </row>
    <row r="394" spans="1:12" s="26" customFormat="1" x14ac:dyDescent="0.25">
      <c r="A394" s="27" t="s">
        <v>184</v>
      </c>
      <c r="B394" s="33" t="s">
        <v>415</v>
      </c>
      <c r="C394" s="29"/>
      <c r="D394" s="30"/>
      <c r="E394" s="30"/>
      <c r="F394" s="31">
        <v>5545459</v>
      </c>
      <c r="G394" s="30"/>
      <c r="H394" s="29"/>
      <c r="I394" s="29"/>
      <c r="J394" s="30"/>
      <c r="K394" s="32" t="s">
        <v>763</v>
      </c>
      <c r="L394" s="29"/>
    </row>
    <row r="395" spans="1:12" s="26" customFormat="1" x14ac:dyDescent="0.25">
      <c r="A395" s="27" t="s">
        <v>417</v>
      </c>
      <c r="B395" s="37" t="s">
        <v>418</v>
      </c>
      <c r="C395" s="29"/>
      <c r="D395" s="30"/>
      <c r="E395" s="30"/>
      <c r="F395" s="31">
        <v>4581555</v>
      </c>
      <c r="G395" s="30"/>
      <c r="H395" s="29"/>
      <c r="I395" s="29"/>
      <c r="J395" s="30"/>
      <c r="K395" s="32" t="s">
        <v>764</v>
      </c>
      <c r="L395" s="29"/>
    </row>
    <row r="396" spans="1:12" x14ac:dyDescent="0.25">
      <c r="A396" s="16" t="s">
        <v>420</v>
      </c>
      <c r="B396" s="38" t="s">
        <v>392</v>
      </c>
      <c r="C396" s="18">
        <v>10.118</v>
      </c>
      <c r="D396" s="19" t="s">
        <v>23</v>
      </c>
      <c r="E396" s="20">
        <v>214925.5</v>
      </c>
      <c r="F396" s="21">
        <v>2174573</v>
      </c>
      <c r="G396" s="22">
        <v>10.118</v>
      </c>
      <c r="H396" s="21">
        <f>ROUND(G396*E396,0)</f>
        <v>2174573</v>
      </c>
      <c r="I396" s="21">
        <f>H396-F396</f>
        <v>0</v>
      </c>
      <c r="J396" s="23"/>
      <c r="K396" s="24" t="s">
        <v>765</v>
      </c>
      <c r="L396" s="35">
        <v>0</v>
      </c>
    </row>
    <row r="397" spans="1:12" x14ac:dyDescent="0.25">
      <c r="A397" s="16" t="s">
        <v>422</v>
      </c>
      <c r="B397" s="38" t="s">
        <v>423</v>
      </c>
      <c r="C397" s="18">
        <v>46.844</v>
      </c>
      <c r="D397" s="19" t="s">
        <v>229</v>
      </c>
      <c r="E397" s="20">
        <v>13176.23</v>
      </c>
      <c r="F397" s="21">
        <v>617229</v>
      </c>
      <c r="G397" s="22">
        <v>46.844</v>
      </c>
      <c r="H397" s="21">
        <f>ROUND(G397*E397,0)</f>
        <v>617229</v>
      </c>
      <c r="I397" s="21">
        <f>H397-F397</f>
        <v>0</v>
      </c>
      <c r="J397" s="23"/>
      <c r="K397" s="24" t="s">
        <v>766</v>
      </c>
      <c r="L397" s="35">
        <v>0</v>
      </c>
    </row>
    <row r="398" spans="1:12" x14ac:dyDescent="0.25">
      <c r="A398" s="16" t="s">
        <v>425</v>
      </c>
      <c r="B398" s="38" t="s">
        <v>426</v>
      </c>
      <c r="C398" s="18">
        <v>87.6</v>
      </c>
      <c r="D398" s="19" t="s">
        <v>229</v>
      </c>
      <c r="E398" s="20">
        <v>13176.23</v>
      </c>
      <c r="F398" s="21">
        <v>1154238</v>
      </c>
      <c r="G398" s="22">
        <v>87.6</v>
      </c>
      <c r="H398" s="21">
        <f>ROUND(G398*E398,0)</f>
        <v>1154238</v>
      </c>
      <c r="I398" s="21">
        <f>H398-F398</f>
        <v>0</v>
      </c>
      <c r="J398" s="23"/>
      <c r="K398" s="24" t="s">
        <v>767</v>
      </c>
      <c r="L398" s="35">
        <v>0</v>
      </c>
    </row>
    <row r="399" spans="1:12" x14ac:dyDescent="0.25">
      <c r="A399" s="16" t="s">
        <v>428</v>
      </c>
      <c r="B399" s="38" t="s">
        <v>429</v>
      </c>
      <c r="C399" s="18">
        <v>0.552</v>
      </c>
      <c r="D399" s="19" t="s">
        <v>214</v>
      </c>
      <c r="E399" s="20">
        <v>1151545.01</v>
      </c>
      <c r="F399" s="21">
        <v>635515</v>
      </c>
      <c r="G399" s="22">
        <v>0.552</v>
      </c>
      <c r="H399" s="21">
        <f>ROUND(G399*E399,0)</f>
        <v>635515</v>
      </c>
      <c r="I399" s="21">
        <f>H399-F399</f>
        <v>0</v>
      </c>
      <c r="J399" s="23"/>
      <c r="K399" s="24" t="s">
        <v>768</v>
      </c>
      <c r="L399" s="35">
        <v>0</v>
      </c>
    </row>
    <row r="400" spans="1:12" s="26" customFormat="1" x14ac:dyDescent="0.25">
      <c r="A400" s="27" t="s">
        <v>431</v>
      </c>
      <c r="B400" s="37" t="s">
        <v>432</v>
      </c>
      <c r="C400" s="29"/>
      <c r="D400" s="30"/>
      <c r="E400" s="30"/>
      <c r="F400" s="31">
        <v>963904</v>
      </c>
      <c r="G400" s="30"/>
      <c r="H400" s="29"/>
      <c r="I400" s="29"/>
      <c r="J400" s="30"/>
      <c r="K400" s="32" t="s">
        <v>769</v>
      </c>
      <c r="L400" s="29"/>
    </row>
    <row r="401" spans="1:12" x14ac:dyDescent="0.25">
      <c r="A401" s="16" t="s">
        <v>434</v>
      </c>
      <c r="B401" s="38" t="s">
        <v>371</v>
      </c>
      <c r="C401" s="18">
        <v>2.8</v>
      </c>
      <c r="D401" s="19" t="s">
        <v>23</v>
      </c>
      <c r="E401" s="20">
        <v>208190.98</v>
      </c>
      <c r="F401" s="21">
        <v>582935</v>
      </c>
      <c r="G401" s="22">
        <v>2.8</v>
      </c>
      <c r="H401" s="21">
        <f>ROUND(G401*E401,0)</f>
        <v>582935</v>
      </c>
      <c r="I401" s="21">
        <f>H401-F401</f>
        <v>0</v>
      </c>
      <c r="J401" s="23"/>
      <c r="K401" s="24" t="s">
        <v>770</v>
      </c>
      <c r="L401" s="35">
        <v>0</v>
      </c>
    </row>
    <row r="402" spans="1:12" x14ac:dyDescent="0.25">
      <c r="A402" s="16" t="s">
        <v>436</v>
      </c>
      <c r="B402" s="38" t="s">
        <v>423</v>
      </c>
      <c r="C402" s="18">
        <v>10.85</v>
      </c>
      <c r="D402" s="19" t="s">
        <v>229</v>
      </c>
      <c r="E402" s="20">
        <v>13176.23</v>
      </c>
      <c r="F402" s="21">
        <v>142967</v>
      </c>
      <c r="G402" s="22">
        <v>10.85</v>
      </c>
      <c r="H402" s="21">
        <f>ROUND(G402*E402,0)</f>
        <v>142967</v>
      </c>
      <c r="I402" s="21">
        <f>H402-F402</f>
        <v>0</v>
      </c>
      <c r="J402" s="23"/>
      <c r="K402" s="24" t="s">
        <v>771</v>
      </c>
      <c r="L402" s="35">
        <v>0</v>
      </c>
    </row>
    <row r="403" spans="1:12" x14ac:dyDescent="0.25">
      <c r="A403" s="16" t="s">
        <v>438</v>
      </c>
      <c r="B403" s="38" t="s">
        <v>426</v>
      </c>
      <c r="C403" s="18">
        <v>7.576</v>
      </c>
      <c r="D403" s="19" t="s">
        <v>229</v>
      </c>
      <c r="E403" s="20">
        <v>13176.23</v>
      </c>
      <c r="F403" s="21">
        <v>99817</v>
      </c>
      <c r="G403" s="22">
        <v>7.576</v>
      </c>
      <c r="H403" s="21">
        <f>ROUND(G403*E403,0)</f>
        <v>99817</v>
      </c>
      <c r="I403" s="21">
        <f>H403-F403</f>
        <v>0</v>
      </c>
      <c r="J403" s="23"/>
      <c r="K403" s="24" t="s">
        <v>772</v>
      </c>
      <c r="L403" s="35">
        <v>0</v>
      </c>
    </row>
    <row r="404" spans="1:12" x14ac:dyDescent="0.25">
      <c r="A404" s="16" t="s">
        <v>440</v>
      </c>
      <c r="B404" s="38" t="s">
        <v>429</v>
      </c>
      <c r="C404" s="18">
        <v>0.12</v>
      </c>
      <c r="D404" s="19" t="s">
        <v>214</v>
      </c>
      <c r="E404" s="20">
        <v>1151545.01</v>
      </c>
      <c r="F404" s="21">
        <v>138185</v>
      </c>
      <c r="G404" s="22">
        <v>0.12</v>
      </c>
      <c r="H404" s="21">
        <f>ROUND(G404*E404,0)</f>
        <v>138185</v>
      </c>
      <c r="I404" s="21">
        <f>H404-F404</f>
        <v>0</v>
      </c>
      <c r="J404" s="23"/>
      <c r="K404" s="24" t="s">
        <v>773</v>
      </c>
      <c r="L404" s="35">
        <v>0</v>
      </c>
    </row>
    <row r="405" spans="1:12" s="26" customFormat="1" x14ac:dyDescent="0.25">
      <c r="A405" s="27" t="s">
        <v>193</v>
      </c>
      <c r="B405" s="33" t="s">
        <v>358</v>
      </c>
      <c r="C405" s="29"/>
      <c r="D405" s="30"/>
      <c r="E405" s="30"/>
      <c r="F405" s="31">
        <v>1685495</v>
      </c>
      <c r="G405" s="30"/>
      <c r="H405" s="29"/>
      <c r="I405" s="29"/>
      <c r="J405" s="30"/>
      <c r="K405" s="32" t="s">
        <v>774</v>
      </c>
      <c r="L405" s="29"/>
    </row>
    <row r="406" spans="1:12" x14ac:dyDescent="0.25">
      <c r="A406" s="16" t="s">
        <v>196</v>
      </c>
      <c r="B406" s="34" t="s">
        <v>775</v>
      </c>
      <c r="C406" s="18">
        <v>0.124</v>
      </c>
      <c r="D406" s="19" t="s">
        <v>214</v>
      </c>
      <c r="E406" s="20">
        <v>56660.36</v>
      </c>
      <c r="F406" s="21">
        <v>7003</v>
      </c>
      <c r="G406" s="22">
        <v>0.124</v>
      </c>
      <c r="H406" s="21">
        <f>ROUND(G406*E406,0)</f>
        <v>7003</v>
      </c>
      <c r="I406" s="21">
        <f>H406-F406</f>
        <v>0</v>
      </c>
      <c r="J406" s="23"/>
      <c r="K406" s="24" t="s">
        <v>776</v>
      </c>
      <c r="L406" s="35">
        <v>0</v>
      </c>
    </row>
    <row r="407" spans="1:12" x14ac:dyDescent="0.25">
      <c r="A407" s="16" t="s">
        <v>199</v>
      </c>
      <c r="B407" s="34" t="s">
        <v>777</v>
      </c>
      <c r="C407" s="18">
        <v>2.318</v>
      </c>
      <c r="D407" s="19" t="s">
        <v>23</v>
      </c>
      <c r="E407" s="20">
        <v>122466.89</v>
      </c>
      <c r="F407" s="21">
        <v>283817</v>
      </c>
      <c r="G407" s="22">
        <v>2.318</v>
      </c>
      <c r="H407" s="21">
        <f>ROUND(G407*E407,0)</f>
        <v>283817</v>
      </c>
      <c r="I407" s="21">
        <f>H407-F407</f>
        <v>0</v>
      </c>
      <c r="J407" s="23"/>
      <c r="K407" s="24" t="s">
        <v>778</v>
      </c>
      <c r="L407" s="35">
        <v>0</v>
      </c>
    </row>
    <row r="408" spans="1:12" x14ac:dyDescent="0.25">
      <c r="A408" s="16" t="s">
        <v>779</v>
      </c>
      <c r="B408" s="34" t="s">
        <v>360</v>
      </c>
      <c r="C408" s="18">
        <v>2.01</v>
      </c>
      <c r="D408" s="19" t="s">
        <v>214</v>
      </c>
      <c r="E408" s="20">
        <v>124258.76</v>
      </c>
      <c r="F408" s="21">
        <v>249760</v>
      </c>
      <c r="G408" s="22">
        <v>2.01</v>
      </c>
      <c r="H408" s="21">
        <f>ROUND(G408*E408,0)</f>
        <v>249760</v>
      </c>
      <c r="I408" s="21">
        <f>H408-F408</f>
        <v>0</v>
      </c>
      <c r="J408" s="23"/>
      <c r="K408" s="24" t="s">
        <v>780</v>
      </c>
      <c r="L408" s="35">
        <v>0</v>
      </c>
    </row>
    <row r="409" spans="1:12" x14ac:dyDescent="0.25">
      <c r="A409" s="16" t="s">
        <v>781</v>
      </c>
      <c r="B409" s="34" t="s">
        <v>362</v>
      </c>
      <c r="C409" s="18">
        <v>2.01</v>
      </c>
      <c r="D409" s="19" t="s">
        <v>214</v>
      </c>
      <c r="E409" s="20">
        <v>53756.99</v>
      </c>
      <c r="F409" s="21">
        <v>108052</v>
      </c>
      <c r="G409" s="22">
        <v>2.01</v>
      </c>
      <c r="H409" s="21">
        <f>ROUND(G409*E409,0)</f>
        <v>108052</v>
      </c>
      <c r="I409" s="21">
        <f>H409-F409</f>
        <v>0</v>
      </c>
      <c r="J409" s="23"/>
      <c r="K409" s="24" t="s">
        <v>782</v>
      </c>
      <c r="L409" s="35">
        <v>0</v>
      </c>
    </row>
    <row r="410" spans="1:12" x14ac:dyDescent="0.25">
      <c r="A410" s="16" t="s">
        <v>783</v>
      </c>
      <c r="B410" s="34" t="s">
        <v>364</v>
      </c>
      <c r="C410" s="18">
        <v>0.761</v>
      </c>
      <c r="D410" s="19" t="s">
        <v>214</v>
      </c>
      <c r="E410" s="20">
        <v>345522.98</v>
      </c>
      <c r="F410" s="21">
        <v>263029</v>
      </c>
      <c r="G410" s="22">
        <v>0.761</v>
      </c>
      <c r="H410" s="21">
        <f>ROUND(G410*E410,0)</f>
        <v>263029</v>
      </c>
      <c r="I410" s="21">
        <f>H410-F410</f>
        <v>0</v>
      </c>
      <c r="J410" s="23"/>
      <c r="K410" s="24" t="s">
        <v>784</v>
      </c>
      <c r="L410" s="35">
        <v>0</v>
      </c>
    </row>
    <row r="411" spans="1:12" x14ac:dyDescent="0.25">
      <c r="A411" s="16" t="s">
        <v>785</v>
      </c>
      <c r="B411" s="34" t="s">
        <v>786</v>
      </c>
      <c r="C411" s="18">
        <v>0.761</v>
      </c>
      <c r="D411" s="19" t="s">
        <v>214</v>
      </c>
      <c r="E411" s="20">
        <v>1016530.97</v>
      </c>
      <c r="F411" s="21">
        <v>773834</v>
      </c>
      <c r="G411" s="22">
        <v>0.761</v>
      </c>
      <c r="H411" s="21">
        <f>ROUND(G411*E411,0)</f>
        <v>773834</v>
      </c>
      <c r="I411" s="21">
        <f>H411-F411</f>
        <v>0</v>
      </c>
      <c r="J411" s="23"/>
      <c r="K411" s="24" t="s">
        <v>787</v>
      </c>
      <c r="L411" s="35">
        <v>0</v>
      </c>
    </row>
    <row r="412" spans="1:12" s="26" customFormat="1" x14ac:dyDescent="0.25">
      <c r="A412" s="27" t="s">
        <v>788</v>
      </c>
      <c r="B412" s="28" t="s">
        <v>443</v>
      </c>
      <c r="C412" s="29"/>
      <c r="D412" s="30"/>
      <c r="E412" s="30"/>
      <c r="F412" s="31">
        <v>71321201</v>
      </c>
      <c r="G412" s="30"/>
      <c r="H412" s="29"/>
      <c r="I412" s="29"/>
      <c r="J412" s="30"/>
      <c r="K412" s="32" t="s">
        <v>789</v>
      </c>
      <c r="L412" s="29"/>
    </row>
    <row r="413" spans="1:12" x14ac:dyDescent="0.25">
      <c r="A413" s="16" t="s">
        <v>21</v>
      </c>
      <c r="B413" s="36" t="s">
        <v>790</v>
      </c>
      <c r="C413" s="18">
        <v>53.41</v>
      </c>
      <c r="D413" s="19" t="s">
        <v>23</v>
      </c>
      <c r="E413" s="20">
        <v>122466.89</v>
      </c>
      <c r="F413" s="21">
        <v>6540908</v>
      </c>
      <c r="G413" s="22">
        <v>53.41</v>
      </c>
      <c r="H413" s="21">
        <f>ROUND(G413*E413,0)</f>
        <v>6540908</v>
      </c>
      <c r="I413" s="21">
        <f>H413-F413</f>
        <v>0</v>
      </c>
      <c r="J413" s="23"/>
      <c r="K413" s="24" t="s">
        <v>791</v>
      </c>
      <c r="L413" s="35">
        <v>0</v>
      </c>
    </row>
    <row r="414" spans="1:12" x14ac:dyDescent="0.25">
      <c r="A414" s="16" t="s">
        <v>25</v>
      </c>
      <c r="B414" s="36" t="s">
        <v>447</v>
      </c>
      <c r="C414" s="18">
        <v>106.819</v>
      </c>
      <c r="D414" s="19" t="s">
        <v>23</v>
      </c>
      <c r="E414" s="20">
        <v>54647.67</v>
      </c>
      <c r="F414" s="21">
        <v>5837420</v>
      </c>
      <c r="G414" s="22">
        <v>106.819</v>
      </c>
      <c r="H414" s="21">
        <f>ROUND(G414*E414,0)</f>
        <v>5837420</v>
      </c>
      <c r="I414" s="21">
        <f>H414-F414</f>
        <v>0</v>
      </c>
      <c r="J414" s="23"/>
      <c r="K414" s="24" t="s">
        <v>792</v>
      </c>
      <c r="L414" s="35">
        <v>0</v>
      </c>
    </row>
    <row r="415" spans="1:12" x14ac:dyDescent="0.25">
      <c r="A415" s="16" t="s">
        <v>29</v>
      </c>
      <c r="B415" s="36" t="s">
        <v>250</v>
      </c>
      <c r="C415" s="18">
        <v>106.819</v>
      </c>
      <c r="D415" s="19" t="s">
        <v>23</v>
      </c>
      <c r="E415" s="20">
        <v>45520.53</v>
      </c>
      <c r="F415" s="21">
        <v>4862467</v>
      </c>
      <c r="G415" s="22">
        <v>106.819</v>
      </c>
      <c r="H415" s="21">
        <f>ROUND(G415*E415,0)</f>
        <v>4862467</v>
      </c>
      <c r="I415" s="21">
        <f>H415-F415</f>
        <v>0</v>
      </c>
      <c r="J415" s="23"/>
      <c r="K415" s="24" t="s">
        <v>793</v>
      </c>
      <c r="L415" s="35">
        <v>0</v>
      </c>
    </row>
    <row r="416" spans="1:12" x14ac:dyDescent="0.25">
      <c r="A416" s="16" t="s">
        <v>33</v>
      </c>
      <c r="B416" s="36" t="s">
        <v>452</v>
      </c>
      <c r="C416" s="18">
        <v>4.569</v>
      </c>
      <c r="D416" s="19" t="s">
        <v>23</v>
      </c>
      <c r="E416" s="20">
        <v>56201.8</v>
      </c>
      <c r="F416" s="21">
        <v>256758</v>
      </c>
      <c r="G416" s="22">
        <v>4.569</v>
      </c>
      <c r="H416" s="21">
        <f>ROUND(G416*E416,0)</f>
        <v>256758</v>
      </c>
      <c r="I416" s="21">
        <f>H416-F416</f>
        <v>0</v>
      </c>
      <c r="J416" s="23"/>
      <c r="K416" s="24" t="s">
        <v>794</v>
      </c>
      <c r="L416" s="35">
        <v>0</v>
      </c>
    </row>
    <row r="417" spans="1:12" x14ac:dyDescent="0.25">
      <c r="A417" s="16" t="s">
        <v>36</v>
      </c>
      <c r="B417" s="36" t="s">
        <v>795</v>
      </c>
      <c r="C417" s="18">
        <v>29.88</v>
      </c>
      <c r="D417" s="19" t="s">
        <v>38</v>
      </c>
      <c r="E417" s="20">
        <v>54483.92</v>
      </c>
      <c r="F417" s="21">
        <v>1627980</v>
      </c>
      <c r="G417" s="22">
        <v>29.88</v>
      </c>
      <c r="H417" s="21">
        <f>ROUND(G417*E417,0)</f>
        <v>1627980</v>
      </c>
      <c r="I417" s="21">
        <f>H417-F417</f>
        <v>0</v>
      </c>
      <c r="J417" s="23"/>
      <c r="K417" s="24" t="s">
        <v>796</v>
      </c>
      <c r="L417" s="35">
        <v>0</v>
      </c>
    </row>
    <row r="418" spans="1:12" x14ac:dyDescent="0.25">
      <c r="A418" s="16" t="s">
        <v>40</v>
      </c>
      <c r="B418" s="36" t="s">
        <v>797</v>
      </c>
      <c r="C418" s="18">
        <v>5</v>
      </c>
      <c r="D418" s="19" t="s">
        <v>23</v>
      </c>
      <c r="E418" s="20">
        <v>817597.83</v>
      </c>
      <c r="F418" s="21">
        <v>4087989</v>
      </c>
      <c r="G418" s="22">
        <v>5</v>
      </c>
      <c r="H418" s="21">
        <f>ROUND(G418*E418,0)</f>
        <v>4087989</v>
      </c>
      <c r="I418" s="21">
        <f>H418-F418</f>
        <v>0</v>
      </c>
      <c r="J418" s="23"/>
      <c r="K418" s="24" t="s">
        <v>798</v>
      </c>
      <c r="L418" s="35">
        <v>0</v>
      </c>
    </row>
    <row r="419" spans="1:12" x14ac:dyDescent="0.25">
      <c r="A419" s="16" t="s">
        <v>140</v>
      </c>
      <c r="B419" s="36" t="s">
        <v>799</v>
      </c>
      <c r="C419" s="18">
        <v>1</v>
      </c>
      <c r="D419" s="19" t="s">
        <v>155</v>
      </c>
      <c r="E419" s="20">
        <v>1048511.96</v>
      </c>
      <c r="F419" s="21">
        <v>1048512</v>
      </c>
      <c r="G419" s="22">
        <v>1</v>
      </c>
      <c r="H419" s="21">
        <f>ROUND(G419*E419,0)</f>
        <v>1048512</v>
      </c>
      <c r="I419" s="21">
        <f>H419-F419</f>
        <v>0</v>
      </c>
      <c r="J419" s="23"/>
      <c r="K419" s="24" t="s">
        <v>800</v>
      </c>
      <c r="L419" s="35">
        <v>0</v>
      </c>
    </row>
    <row r="420" spans="1:12" s="26" customFormat="1" x14ac:dyDescent="0.25">
      <c r="A420" s="27" t="s">
        <v>143</v>
      </c>
      <c r="B420" s="33" t="s">
        <v>801</v>
      </c>
      <c r="C420" s="29"/>
      <c r="D420" s="30"/>
      <c r="E420" s="30"/>
      <c r="F420" s="31">
        <v>441552</v>
      </c>
      <c r="G420" s="30"/>
      <c r="H420" s="29"/>
      <c r="I420" s="29"/>
      <c r="J420" s="30"/>
      <c r="K420" s="32" t="s">
        <v>802</v>
      </c>
      <c r="L420" s="29"/>
    </row>
    <row r="421" spans="1:12" x14ac:dyDescent="0.25">
      <c r="A421" s="16" t="s">
        <v>381</v>
      </c>
      <c r="B421" s="34" t="s">
        <v>803</v>
      </c>
      <c r="C421" s="18">
        <v>2.09</v>
      </c>
      <c r="D421" s="19" t="s">
        <v>38</v>
      </c>
      <c r="E421" s="20">
        <v>184770.05</v>
      </c>
      <c r="F421" s="21">
        <v>386170</v>
      </c>
      <c r="G421" s="22">
        <v>2.09</v>
      </c>
      <c r="H421" s="21">
        <f>ROUND(G421*E421,0)</f>
        <v>386170</v>
      </c>
      <c r="I421" s="21">
        <f>H421-F421</f>
        <v>0</v>
      </c>
      <c r="J421" s="23"/>
      <c r="K421" s="24" t="s">
        <v>804</v>
      </c>
      <c r="L421" s="35">
        <v>0</v>
      </c>
    </row>
    <row r="422" spans="1:12" x14ac:dyDescent="0.25">
      <c r="A422" s="16" t="s">
        <v>383</v>
      </c>
      <c r="B422" s="34" t="s">
        <v>805</v>
      </c>
      <c r="C422" s="18">
        <v>0.215</v>
      </c>
      <c r="D422" s="19" t="s">
        <v>23</v>
      </c>
      <c r="E422" s="20">
        <v>257951.45</v>
      </c>
      <c r="F422" s="21">
        <v>55382</v>
      </c>
      <c r="G422" s="22">
        <v>0.215</v>
      </c>
      <c r="H422" s="21">
        <f>ROUND(G422*E422,0)</f>
        <v>55382</v>
      </c>
      <c r="I422" s="21">
        <f>H422-F422</f>
        <v>0</v>
      </c>
      <c r="J422" s="23"/>
      <c r="K422" s="24" t="s">
        <v>806</v>
      </c>
      <c r="L422" s="35">
        <v>0</v>
      </c>
    </row>
    <row r="423" spans="1:12" s="26" customFormat="1" x14ac:dyDescent="0.25">
      <c r="A423" s="27" t="s">
        <v>146</v>
      </c>
      <c r="B423" s="33" t="s">
        <v>454</v>
      </c>
      <c r="C423" s="29"/>
      <c r="D423" s="30"/>
      <c r="E423" s="30"/>
      <c r="F423" s="31">
        <v>446275</v>
      </c>
      <c r="G423" s="30"/>
      <c r="H423" s="29"/>
      <c r="I423" s="29"/>
      <c r="J423" s="30"/>
      <c r="K423" s="32" t="s">
        <v>807</v>
      </c>
      <c r="L423" s="29"/>
    </row>
    <row r="424" spans="1:12" x14ac:dyDescent="0.25">
      <c r="A424" s="16" t="s">
        <v>391</v>
      </c>
      <c r="B424" s="34" t="s">
        <v>456</v>
      </c>
      <c r="C424" s="18">
        <v>0.137</v>
      </c>
      <c r="D424" s="19" t="s">
        <v>214</v>
      </c>
      <c r="E424" s="20">
        <v>56660.36</v>
      </c>
      <c r="F424" s="21">
        <v>7751</v>
      </c>
      <c r="G424" s="22">
        <v>0.137</v>
      </c>
      <c r="H424" s="21">
        <f>ROUND(G424*E424,0)</f>
        <v>7751</v>
      </c>
      <c r="I424" s="21">
        <f>H424-F424</f>
        <v>0</v>
      </c>
      <c r="J424" s="23"/>
      <c r="K424" s="24" t="s">
        <v>808</v>
      </c>
      <c r="L424" s="35">
        <v>0</v>
      </c>
    </row>
    <row r="425" spans="1:12" x14ac:dyDescent="0.25">
      <c r="A425" s="16" t="s">
        <v>394</v>
      </c>
      <c r="B425" s="34" t="s">
        <v>458</v>
      </c>
      <c r="C425" s="18">
        <v>2.13</v>
      </c>
      <c r="D425" s="19" t="s">
        <v>23</v>
      </c>
      <c r="E425" s="20">
        <v>122466.89</v>
      </c>
      <c r="F425" s="21">
        <v>260855</v>
      </c>
      <c r="G425" s="22">
        <v>2.13</v>
      </c>
      <c r="H425" s="21">
        <f>ROUND(G425*E425,0)</f>
        <v>260855</v>
      </c>
      <c r="I425" s="21">
        <f>H425-F425</f>
        <v>0</v>
      </c>
      <c r="J425" s="23"/>
      <c r="K425" s="24" t="s">
        <v>809</v>
      </c>
      <c r="L425" s="35">
        <v>0</v>
      </c>
    </row>
    <row r="426" spans="1:12" x14ac:dyDescent="0.25">
      <c r="A426" s="16" t="s">
        <v>396</v>
      </c>
      <c r="B426" s="34" t="s">
        <v>462</v>
      </c>
      <c r="C426" s="18">
        <v>0.041</v>
      </c>
      <c r="D426" s="19" t="s">
        <v>214</v>
      </c>
      <c r="E426" s="20">
        <v>345522.98</v>
      </c>
      <c r="F426" s="21">
        <v>13994</v>
      </c>
      <c r="G426" s="22">
        <v>0.041</v>
      </c>
      <c r="H426" s="21">
        <f>ROUND(G426*E426,0)</f>
        <v>13994</v>
      </c>
      <c r="I426" s="21">
        <f>H426-F426</f>
        <v>0</v>
      </c>
      <c r="J426" s="23"/>
      <c r="K426" s="24" t="s">
        <v>810</v>
      </c>
      <c r="L426" s="35">
        <v>0</v>
      </c>
    </row>
    <row r="427" spans="1:12" x14ac:dyDescent="0.25">
      <c r="A427" s="16" t="s">
        <v>398</v>
      </c>
      <c r="B427" s="34" t="s">
        <v>366</v>
      </c>
      <c r="C427" s="18">
        <v>0.095</v>
      </c>
      <c r="D427" s="19" t="s">
        <v>214</v>
      </c>
      <c r="E427" s="20">
        <v>1016530.97</v>
      </c>
      <c r="F427" s="21">
        <v>96062</v>
      </c>
      <c r="G427" s="22">
        <v>0.095</v>
      </c>
      <c r="H427" s="21">
        <f>ROUND(G427*E427,0)</f>
        <v>96062</v>
      </c>
      <c r="I427" s="21">
        <f>H427-F427</f>
        <v>0</v>
      </c>
      <c r="J427" s="23"/>
      <c r="K427" s="24" t="s">
        <v>811</v>
      </c>
      <c r="L427" s="35">
        <v>0</v>
      </c>
    </row>
    <row r="428" spans="1:12" x14ac:dyDescent="0.25">
      <c r="A428" s="16" t="s">
        <v>812</v>
      </c>
      <c r="B428" s="34" t="s">
        <v>465</v>
      </c>
      <c r="C428" s="18">
        <v>0.675</v>
      </c>
      <c r="D428" s="19" t="s">
        <v>23</v>
      </c>
      <c r="E428" s="20">
        <v>54647.67</v>
      </c>
      <c r="F428" s="21">
        <v>36887</v>
      </c>
      <c r="G428" s="22">
        <v>0.675</v>
      </c>
      <c r="H428" s="21">
        <f>ROUND(G428*E428,0)</f>
        <v>36887</v>
      </c>
      <c r="I428" s="21">
        <f>H428-F428</f>
        <v>0</v>
      </c>
      <c r="J428" s="23"/>
      <c r="K428" s="24" t="s">
        <v>813</v>
      </c>
      <c r="L428" s="35">
        <v>0</v>
      </c>
    </row>
    <row r="429" spans="1:12" x14ac:dyDescent="0.25">
      <c r="A429" s="16" t="s">
        <v>814</v>
      </c>
      <c r="B429" s="34" t="s">
        <v>250</v>
      </c>
      <c r="C429" s="18">
        <v>0.675</v>
      </c>
      <c r="D429" s="19" t="s">
        <v>23</v>
      </c>
      <c r="E429" s="20">
        <v>45520.53</v>
      </c>
      <c r="F429" s="21">
        <v>30726</v>
      </c>
      <c r="G429" s="22">
        <v>0.675</v>
      </c>
      <c r="H429" s="21">
        <f>ROUND(G429*E429,0)</f>
        <v>30726</v>
      </c>
      <c r="I429" s="21">
        <f>H429-F429</f>
        <v>0</v>
      </c>
      <c r="J429" s="23"/>
      <c r="K429" s="24" t="s">
        <v>815</v>
      </c>
      <c r="L429" s="35">
        <v>0</v>
      </c>
    </row>
    <row r="430" spans="1:12" x14ac:dyDescent="0.25">
      <c r="A430" s="16" t="s">
        <v>816</v>
      </c>
      <c r="B430" s="36" t="s">
        <v>817</v>
      </c>
      <c r="C430" s="18">
        <v>9.75</v>
      </c>
      <c r="D430" s="19" t="s">
        <v>23</v>
      </c>
      <c r="E430" s="20">
        <v>276722.58</v>
      </c>
      <c r="F430" s="21">
        <v>2698045</v>
      </c>
      <c r="G430" s="22">
        <v>9.75</v>
      </c>
      <c r="H430" s="21">
        <f>ROUND(G430*E430,0)</f>
        <v>2698045</v>
      </c>
      <c r="I430" s="21">
        <f>H430-F430</f>
        <v>0</v>
      </c>
      <c r="J430" s="23"/>
      <c r="K430" s="24" t="s">
        <v>818</v>
      </c>
      <c r="L430" s="35">
        <v>0</v>
      </c>
    </row>
    <row r="431" spans="1:12" x14ac:dyDescent="0.25">
      <c r="A431" s="16" t="s">
        <v>150</v>
      </c>
      <c r="B431" s="36" t="s">
        <v>819</v>
      </c>
      <c r="C431" s="18">
        <v>5.475</v>
      </c>
      <c r="D431" s="19" t="s">
        <v>23</v>
      </c>
      <c r="E431" s="20">
        <v>276722.58</v>
      </c>
      <c r="F431" s="21">
        <v>1515056</v>
      </c>
      <c r="G431" s="22">
        <v>5.475</v>
      </c>
      <c r="H431" s="21">
        <f>ROUND(G431*E431,0)</f>
        <v>1515056</v>
      </c>
      <c r="I431" s="21">
        <f>H431-F431</f>
        <v>0</v>
      </c>
      <c r="J431" s="23"/>
      <c r="K431" s="24" t="s">
        <v>820</v>
      </c>
      <c r="L431" s="35">
        <v>0</v>
      </c>
    </row>
    <row r="432" spans="1:12" x14ac:dyDescent="0.25">
      <c r="A432" s="16" t="s">
        <v>175</v>
      </c>
      <c r="B432" s="36" t="s">
        <v>821</v>
      </c>
      <c r="C432" s="18">
        <v>5.188</v>
      </c>
      <c r="D432" s="19" t="s">
        <v>38</v>
      </c>
      <c r="E432" s="20">
        <v>230693.18</v>
      </c>
      <c r="F432" s="21">
        <v>1196744</v>
      </c>
      <c r="G432" s="22">
        <v>5.188</v>
      </c>
      <c r="H432" s="21">
        <f>ROUND(G432*E432,0)</f>
        <v>1196744</v>
      </c>
      <c r="I432" s="21">
        <f>H432-F432</f>
        <v>0</v>
      </c>
      <c r="J432" s="23"/>
      <c r="K432" s="24" t="s">
        <v>822</v>
      </c>
      <c r="L432" s="35">
        <v>0</v>
      </c>
    </row>
    <row r="433" spans="1:12" s="26" customFormat="1" x14ac:dyDescent="0.25">
      <c r="A433" s="27" t="s">
        <v>184</v>
      </c>
      <c r="B433" s="33" t="s">
        <v>468</v>
      </c>
      <c r="C433" s="29"/>
      <c r="D433" s="30"/>
      <c r="E433" s="30"/>
      <c r="F433" s="31">
        <v>15846746</v>
      </c>
      <c r="G433" s="30"/>
      <c r="H433" s="29"/>
      <c r="I433" s="29"/>
      <c r="J433" s="30"/>
      <c r="K433" s="32" t="s">
        <v>823</v>
      </c>
      <c r="L433" s="29"/>
    </row>
    <row r="434" spans="1:12" x14ac:dyDescent="0.25">
      <c r="A434" s="16" t="s">
        <v>187</v>
      </c>
      <c r="B434" s="34" t="s">
        <v>470</v>
      </c>
      <c r="C434" s="18">
        <v>23.1</v>
      </c>
      <c r="D434" s="19" t="s">
        <v>23</v>
      </c>
      <c r="E434" s="20">
        <v>342098.29</v>
      </c>
      <c r="F434" s="21">
        <v>7902470</v>
      </c>
      <c r="G434" s="22">
        <v>23.1</v>
      </c>
      <c r="H434" s="21">
        <f>ROUND(G434*E434,0)</f>
        <v>7902470</v>
      </c>
      <c r="I434" s="21">
        <f>H434-F434</f>
        <v>0</v>
      </c>
      <c r="J434" s="23"/>
      <c r="K434" s="24" t="s">
        <v>824</v>
      </c>
      <c r="L434" s="35">
        <v>0</v>
      </c>
    </row>
    <row r="435" spans="1:12" x14ac:dyDescent="0.25">
      <c r="A435" s="16" t="s">
        <v>190</v>
      </c>
      <c r="B435" s="34" t="s">
        <v>472</v>
      </c>
      <c r="C435" s="18">
        <v>98.4</v>
      </c>
      <c r="D435" s="19" t="s">
        <v>38</v>
      </c>
      <c r="E435" s="20">
        <v>19268.19</v>
      </c>
      <c r="F435" s="21">
        <v>1895990</v>
      </c>
      <c r="G435" s="22">
        <v>98.4</v>
      </c>
      <c r="H435" s="21">
        <f>ROUND(G435*E435,0)</f>
        <v>1895990</v>
      </c>
      <c r="I435" s="21">
        <f>H435-F435</f>
        <v>0</v>
      </c>
      <c r="J435" s="23"/>
      <c r="K435" s="24" t="s">
        <v>825</v>
      </c>
      <c r="L435" s="35">
        <v>0</v>
      </c>
    </row>
    <row r="436" spans="1:12" x14ac:dyDescent="0.25">
      <c r="A436" s="16" t="s">
        <v>826</v>
      </c>
      <c r="B436" s="34" t="s">
        <v>827</v>
      </c>
      <c r="C436" s="18">
        <v>49.363</v>
      </c>
      <c r="D436" s="19" t="s">
        <v>23</v>
      </c>
      <c r="E436" s="20">
        <v>110928.31</v>
      </c>
      <c r="F436" s="21">
        <v>5475699</v>
      </c>
      <c r="G436" s="22">
        <v>49.363</v>
      </c>
      <c r="H436" s="21">
        <f>ROUND(G436*E436,0)</f>
        <v>5475699</v>
      </c>
      <c r="I436" s="21">
        <f>H436-F436</f>
        <v>0</v>
      </c>
      <c r="J436" s="23"/>
      <c r="K436" s="24" t="s">
        <v>828</v>
      </c>
      <c r="L436" s="35">
        <v>0</v>
      </c>
    </row>
    <row r="437" spans="1:12" x14ac:dyDescent="0.25">
      <c r="A437" s="16" t="s">
        <v>829</v>
      </c>
      <c r="B437" s="34" t="s">
        <v>476</v>
      </c>
      <c r="C437" s="18">
        <v>6.25</v>
      </c>
      <c r="D437" s="19" t="s">
        <v>38</v>
      </c>
      <c r="E437" s="20">
        <v>91613.93</v>
      </c>
      <c r="F437" s="21">
        <v>572587</v>
      </c>
      <c r="G437" s="22">
        <v>6.25</v>
      </c>
      <c r="H437" s="21">
        <f>ROUND(G437*E437,0)</f>
        <v>572587</v>
      </c>
      <c r="I437" s="21">
        <f>H437-F437</f>
        <v>0</v>
      </c>
      <c r="J437" s="23"/>
      <c r="K437" s="24" t="s">
        <v>830</v>
      </c>
      <c r="L437" s="35">
        <v>0</v>
      </c>
    </row>
    <row r="438" spans="1:12" x14ac:dyDescent="0.25">
      <c r="A438" s="16" t="s">
        <v>193</v>
      </c>
      <c r="B438" s="36" t="s">
        <v>478</v>
      </c>
      <c r="C438" s="18">
        <v>15.225</v>
      </c>
      <c r="D438" s="19" t="s">
        <v>23</v>
      </c>
      <c r="E438" s="20">
        <v>241006.97</v>
      </c>
      <c r="F438" s="21">
        <v>3669331</v>
      </c>
      <c r="G438" s="22">
        <v>15.225</v>
      </c>
      <c r="H438" s="21">
        <f>ROUND(G438*E438,0)</f>
        <v>3669331</v>
      </c>
      <c r="I438" s="21">
        <f>H438-F438</f>
        <v>0</v>
      </c>
      <c r="J438" s="23"/>
      <c r="K438" s="24" t="s">
        <v>831</v>
      </c>
      <c r="L438" s="35">
        <v>0</v>
      </c>
    </row>
    <row r="439" spans="1:12" s="26" customFormat="1" x14ac:dyDescent="0.25">
      <c r="A439" s="27" t="s">
        <v>202</v>
      </c>
      <c r="B439" s="33" t="s">
        <v>832</v>
      </c>
      <c r="C439" s="29"/>
      <c r="D439" s="30"/>
      <c r="E439" s="30"/>
      <c r="F439" s="31">
        <v>2758686</v>
      </c>
      <c r="G439" s="30"/>
      <c r="H439" s="29"/>
      <c r="I439" s="29"/>
      <c r="J439" s="30"/>
      <c r="K439" s="32" t="s">
        <v>833</v>
      </c>
      <c r="L439" s="29"/>
    </row>
    <row r="440" spans="1:12" x14ac:dyDescent="0.25">
      <c r="A440" s="16" t="s">
        <v>834</v>
      </c>
      <c r="B440" s="34" t="s">
        <v>835</v>
      </c>
      <c r="C440" s="18">
        <v>0</v>
      </c>
      <c r="D440" s="19" t="s">
        <v>836</v>
      </c>
      <c r="E440" s="20">
        <v>0</v>
      </c>
      <c r="F440" s="21">
        <v>0</v>
      </c>
      <c r="G440" s="22">
        <v>0</v>
      </c>
      <c r="H440" s="21">
        <f>ROUND(G440*E440,0)</f>
        <v>0</v>
      </c>
      <c r="I440" s="21">
        <f>H440-F440</f>
        <v>0</v>
      </c>
      <c r="J440" s="23"/>
      <c r="K440" s="24" t="s">
        <v>837</v>
      </c>
      <c r="L440" s="35">
        <v>0</v>
      </c>
    </row>
    <row r="441" spans="1:12" x14ac:dyDescent="0.25">
      <c r="A441" s="16" t="s">
        <v>838</v>
      </c>
      <c r="B441" s="34" t="s">
        <v>839</v>
      </c>
      <c r="C441" s="18">
        <v>0.021</v>
      </c>
      <c r="D441" s="19" t="s">
        <v>23</v>
      </c>
      <c r="E441" s="20">
        <v>56660.36</v>
      </c>
      <c r="F441" s="21">
        <v>1190</v>
      </c>
      <c r="G441" s="22">
        <v>0.021</v>
      </c>
      <c r="H441" s="21">
        <f>ROUND(G441*E441,0)</f>
        <v>1190</v>
      </c>
      <c r="I441" s="21">
        <f>H441-F441</f>
        <v>0</v>
      </c>
      <c r="J441" s="23"/>
      <c r="K441" s="24" t="s">
        <v>840</v>
      </c>
      <c r="L441" s="35">
        <v>0</v>
      </c>
    </row>
    <row r="442" spans="1:12" x14ac:dyDescent="0.25">
      <c r="A442" s="16" t="s">
        <v>841</v>
      </c>
      <c r="B442" s="34" t="s">
        <v>842</v>
      </c>
      <c r="C442" s="18">
        <v>0.44</v>
      </c>
      <c r="D442" s="19" t="s">
        <v>23</v>
      </c>
      <c r="E442" s="20">
        <v>208190.98</v>
      </c>
      <c r="F442" s="21">
        <v>91604</v>
      </c>
      <c r="G442" s="22">
        <v>0.44</v>
      </c>
      <c r="H442" s="21">
        <f>ROUND(G442*E442,0)</f>
        <v>91604</v>
      </c>
      <c r="I442" s="21">
        <f>H442-F442</f>
        <v>0</v>
      </c>
      <c r="J442" s="23"/>
      <c r="K442" s="24" t="s">
        <v>843</v>
      </c>
      <c r="L442" s="35">
        <v>0</v>
      </c>
    </row>
    <row r="443" spans="1:12" x14ac:dyDescent="0.25">
      <c r="A443" s="16" t="s">
        <v>844</v>
      </c>
      <c r="B443" s="34" t="s">
        <v>845</v>
      </c>
      <c r="C443" s="18">
        <v>0.028</v>
      </c>
      <c r="D443" s="19" t="s">
        <v>214</v>
      </c>
      <c r="E443" s="20">
        <v>1151545.01</v>
      </c>
      <c r="F443" s="21">
        <v>32243</v>
      </c>
      <c r="G443" s="22">
        <v>0.028</v>
      </c>
      <c r="H443" s="21">
        <f>ROUND(G443*E443,0)</f>
        <v>32243</v>
      </c>
      <c r="I443" s="21">
        <f>H443-F443</f>
        <v>0</v>
      </c>
      <c r="J443" s="23"/>
      <c r="K443" s="24" t="s">
        <v>846</v>
      </c>
      <c r="L443" s="35">
        <v>0</v>
      </c>
    </row>
    <row r="444" spans="1:12" x14ac:dyDescent="0.25">
      <c r="A444" s="16" t="s">
        <v>847</v>
      </c>
      <c r="B444" s="34" t="s">
        <v>848</v>
      </c>
      <c r="C444" s="18">
        <v>8</v>
      </c>
      <c r="D444" s="19" t="s">
        <v>31</v>
      </c>
      <c r="E444" s="20">
        <v>9397.44</v>
      </c>
      <c r="F444" s="21">
        <v>75180</v>
      </c>
      <c r="G444" s="22">
        <v>8</v>
      </c>
      <c r="H444" s="21">
        <f>ROUND(G444*E444,0)</f>
        <v>75180</v>
      </c>
      <c r="I444" s="21">
        <f>H444-F444</f>
        <v>0</v>
      </c>
      <c r="J444" s="23"/>
      <c r="K444" s="24" t="s">
        <v>849</v>
      </c>
      <c r="L444" s="35">
        <v>0</v>
      </c>
    </row>
    <row r="445" spans="1:12" x14ac:dyDescent="0.25">
      <c r="A445" s="16" t="s">
        <v>850</v>
      </c>
      <c r="B445" s="34" t="s">
        <v>851</v>
      </c>
      <c r="C445" s="18">
        <v>7.056</v>
      </c>
      <c r="D445" s="19" t="s">
        <v>23</v>
      </c>
      <c r="E445" s="20">
        <v>230273.29</v>
      </c>
      <c r="F445" s="21">
        <v>1624808</v>
      </c>
      <c r="G445" s="22">
        <v>7.056</v>
      </c>
      <c r="H445" s="21">
        <f>ROUND(G445*E445,0)</f>
        <v>1624808</v>
      </c>
      <c r="I445" s="21">
        <f>H445-F445</f>
        <v>0</v>
      </c>
      <c r="J445" s="23"/>
      <c r="K445" s="24" t="s">
        <v>852</v>
      </c>
      <c r="L445" s="35">
        <v>0</v>
      </c>
    </row>
    <row r="446" spans="1:12" x14ac:dyDescent="0.25">
      <c r="A446" s="16" t="s">
        <v>853</v>
      </c>
      <c r="B446" s="34" t="s">
        <v>854</v>
      </c>
      <c r="C446" s="18">
        <v>8.417</v>
      </c>
      <c r="D446" s="19" t="s">
        <v>23</v>
      </c>
      <c r="E446" s="20">
        <v>110928.31</v>
      </c>
      <c r="F446" s="21">
        <v>933661</v>
      </c>
      <c r="G446" s="22">
        <v>8.417</v>
      </c>
      <c r="H446" s="21">
        <f>ROUND(G446*E446,0)</f>
        <v>933661</v>
      </c>
      <c r="I446" s="21">
        <f>H446-F446</f>
        <v>0</v>
      </c>
      <c r="J446" s="23"/>
      <c r="K446" s="24" t="s">
        <v>855</v>
      </c>
      <c r="L446" s="35">
        <v>0</v>
      </c>
    </row>
    <row r="447" spans="1:12" x14ac:dyDescent="0.25">
      <c r="A447" s="16" t="s">
        <v>205</v>
      </c>
      <c r="B447" s="36" t="s">
        <v>856</v>
      </c>
      <c r="C447" s="18">
        <v>106.819</v>
      </c>
      <c r="D447" s="19" t="s">
        <v>23</v>
      </c>
      <c r="E447" s="20">
        <v>98000</v>
      </c>
      <c r="F447" s="21">
        <v>10468282</v>
      </c>
      <c r="G447" s="22">
        <v>106.819</v>
      </c>
      <c r="H447" s="21">
        <f>ROUND(G447*E447,0)</f>
        <v>10468282</v>
      </c>
      <c r="I447" s="21">
        <f>H447-F447</f>
        <v>0</v>
      </c>
      <c r="J447" s="23"/>
      <c r="K447" s="24" t="s">
        <v>857</v>
      </c>
      <c r="L447" s="35">
        <v>0</v>
      </c>
    </row>
    <row r="448" spans="1:12" x14ac:dyDescent="0.25">
      <c r="A448" s="16" t="s">
        <v>858</v>
      </c>
      <c r="B448" s="36" t="s">
        <v>859</v>
      </c>
      <c r="C448" s="18">
        <v>15.225</v>
      </c>
      <c r="D448" s="19" t="s">
        <v>23</v>
      </c>
      <c r="E448" s="20">
        <v>35591.98</v>
      </c>
      <c r="F448" s="21">
        <v>541888</v>
      </c>
      <c r="G448" s="22">
        <v>15.225</v>
      </c>
      <c r="H448" s="21">
        <f>ROUND(G448*E448,0)</f>
        <v>541888</v>
      </c>
      <c r="I448" s="21">
        <f>H448-F448</f>
        <v>0</v>
      </c>
      <c r="J448" s="23"/>
      <c r="K448" s="24" t="s">
        <v>860</v>
      </c>
      <c r="L448" s="35">
        <v>0</v>
      </c>
    </row>
    <row r="449" spans="1:12" x14ac:dyDescent="0.25">
      <c r="A449" s="16" t="s">
        <v>861</v>
      </c>
      <c r="B449" s="36" t="s">
        <v>486</v>
      </c>
      <c r="C449" s="18">
        <v>19.998</v>
      </c>
      <c r="D449" s="19" t="s">
        <v>38</v>
      </c>
      <c r="E449" s="20">
        <v>214927.86</v>
      </c>
      <c r="F449" s="21">
        <v>4298127</v>
      </c>
      <c r="G449" s="22">
        <v>19.998</v>
      </c>
      <c r="H449" s="21">
        <f>ROUND(G449*E449,0)</f>
        <v>4298127</v>
      </c>
      <c r="I449" s="21">
        <f>H449-F449</f>
        <v>0</v>
      </c>
      <c r="J449" s="23"/>
      <c r="K449" s="24" t="s">
        <v>862</v>
      </c>
      <c r="L449" s="35">
        <v>0</v>
      </c>
    </row>
    <row r="450" spans="1:12" x14ac:dyDescent="0.25">
      <c r="A450" s="16" t="s">
        <v>863</v>
      </c>
      <c r="B450" s="36" t="s">
        <v>488</v>
      </c>
      <c r="C450" s="18">
        <v>5.999</v>
      </c>
      <c r="D450" s="19" t="s">
        <v>23</v>
      </c>
      <c r="E450" s="20">
        <v>99462.99</v>
      </c>
      <c r="F450" s="21">
        <v>596718</v>
      </c>
      <c r="G450" s="22">
        <v>5.999</v>
      </c>
      <c r="H450" s="21">
        <f>ROUND(G450*E450,0)</f>
        <v>596718</v>
      </c>
      <c r="I450" s="21">
        <f>H450-F450</f>
        <v>0</v>
      </c>
      <c r="J450" s="23"/>
      <c r="K450" s="24" t="s">
        <v>864</v>
      </c>
      <c r="L450" s="35">
        <v>0</v>
      </c>
    </row>
    <row r="451" spans="1:12" x14ac:dyDescent="0.25">
      <c r="A451" s="16" t="s">
        <v>865</v>
      </c>
      <c r="B451" s="36" t="s">
        <v>866</v>
      </c>
      <c r="C451" s="18">
        <v>1</v>
      </c>
      <c r="D451" s="19" t="s">
        <v>155</v>
      </c>
      <c r="E451" s="20">
        <v>386714.63</v>
      </c>
      <c r="F451" s="21">
        <v>386715</v>
      </c>
      <c r="G451" s="22">
        <v>1</v>
      </c>
      <c r="H451" s="21">
        <f>ROUND(G451*E451,0)</f>
        <v>386715</v>
      </c>
      <c r="I451" s="21">
        <f>H451-F451</f>
        <v>0</v>
      </c>
      <c r="J451" s="23"/>
      <c r="K451" s="24" t="s">
        <v>867</v>
      </c>
      <c r="L451" s="35">
        <v>0</v>
      </c>
    </row>
    <row r="452" spans="1:12" x14ac:dyDescent="0.25">
      <c r="A452" s="16" t="s">
        <v>868</v>
      </c>
      <c r="B452" s="36" t="s">
        <v>869</v>
      </c>
      <c r="C452" s="18">
        <v>14</v>
      </c>
      <c r="D452" s="19" t="s">
        <v>31</v>
      </c>
      <c r="E452" s="20">
        <v>156785.85</v>
      </c>
      <c r="F452" s="21">
        <v>2195002</v>
      </c>
      <c r="G452" s="22">
        <v>14</v>
      </c>
      <c r="H452" s="21">
        <f>ROUND(G452*E452,0)</f>
        <v>2195002</v>
      </c>
      <c r="I452" s="21">
        <f>H452-F452</f>
        <v>0</v>
      </c>
      <c r="J452" s="23"/>
      <c r="K452" s="24" t="s">
        <v>870</v>
      </c>
      <c r="L452" s="35">
        <v>0</v>
      </c>
    </row>
    <row r="453" spans="1:12" s="26" customFormat="1" x14ac:dyDescent="0.25">
      <c r="A453" s="27" t="s">
        <v>871</v>
      </c>
      <c r="B453" s="28" t="s">
        <v>872</v>
      </c>
      <c r="C453" s="29"/>
      <c r="D453" s="30"/>
      <c r="E453" s="30"/>
      <c r="F453" s="31">
        <v>30585194</v>
      </c>
      <c r="G453" s="30"/>
      <c r="H453" s="29"/>
      <c r="I453" s="29"/>
      <c r="J453" s="30"/>
      <c r="K453" s="32" t="s">
        <v>873</v>
      </c>
      <c r="L453" s="29"/>
    </row>
    <row r="454" spans="1:12" x14ac:dyDescent="0.25">
      <c r="A454" s="16" t="s">
        <v>21</v>
      </c>
      <c r="B454" s="36" t="s">
        <v>874</v>
      </c>
      <c r="C454" s="18">
        <v>2</v>
      </c>
      <c r="D454" s="19" t="s">
        <v>38</v>
      </c>
      <c r="E454" s="20">
        <v>40510.12</v>
      </c>
      <c r="F454" s="21">
        <v>81020</v>
      </c>
      <c r="G454" s="22">
        <v>2</v>
      </c>
      <c r="H454" s="21">
        <f>ROUND(G454*E454,0)</f>
        <v>81020</v>
      </c>
      <c r="I454" s="21">
        <f>H454-F454</f>
        <v>0</v>
      </c>
      <c r="J454" s="23"/>
      <c r="K454" s="24" t="s">
        <v>875</v>
      </c>
      <c r="L454" s="35">
        <v>0</v>
      </c>
    </row>
    <row r="455" spans="1:12" x14ac:dyDescent="0.25">
      <c r="A455" s="16" t="s">
        <v>25</v>
      </c>
      <c r="B455" s="36" t="s">
        <v>876</v>
      </c>
      <c r="C455" s="18">
        <v>5</v>
      </c>
      <c r="D455" s="19" t="s">
        <v>38</v>
      </c>
      <c r="E455" s="20">
        <v>51497.56</v>
      </c>
      <c r="F455" s="21">
        <v>257488</v>
      </c>
      <c r="G455" s="22">
        <v>5</v>
      </c>
      <c r="H455" s="21">
        <f>ROUND(G455*E455,0)</f>
        <v>257488</v>
      </c>
      <c r="I455" s="21">
        <f>H455-F455</f>
        <v>0</v>
      </c>
      <c r="J455" s="23"/>
      <c r="K455" s="24" t="s">
        <v>877</v>
      </c>
      <c r="L455" s="35">
        <v>0</v>
      </c>
    </row>
    <row r="456" spans="1:12" x14ac:dyDescent="0.25">
      <c r="A456" s="16" t="s">
        <v>29</v>
      </c>
      <c r="B456" s="36" t="s">
        <v>878</v>
      </c>
      <c r="C456" s="18">
        <v>3.5</v>
      </c>
      <c r="D456" s="19" t="s">
        <v>38</v>
      </c>
      <c r="E456" s="20">
        <v>168759.32</v>
      </c>
      <c r="F456" s="21">
        <v>590658</v>
      </c>
      <c r="G456" s="22">
        <v>3.5</v>
      </c>
      <c r="H456" s="21">
        <f>ROUND(G456*E456,0)</f>
        <v>590658</v>
      </c>
      <c r="I456" s="21">
        <f>H456-F456</f>
        <v>0</v>
      </c>
      <c r="J456" s="23"/>
      <c r="K456" s="24" t="s">
        <v>879</v>
      </c>
      <c r="L456" s="35">
        <v>0</v>
      </c>
    </row>
    <row r="457" spans="1:12" x14ac:dyDescent="0.25">
      <c r="A457" s="16" t="s">
        <v>33</v>
      </c>
      <c r="B457" s="36" t="s">
        <v>880</v>
      </c>
      <c r="C457" s="18">
        <v>2.5</v>
      </c>
      <c r="D457" s="19" t="s">
        <v>38</v>
      </c>
      <c r="E457" s="20">
        <v>233097.83</v>
      </c>
      <c r="F457" s="21">
        <v>582745</v>
      </c>
      <c r="G457" s="22">
        <v>2.5</v>
      </c>
      <c r="H457" s="21">
        <f>ROUND(G457*E457,0)</f>
        <v>582745</v>
      </c>
      <c r="I457" s="21">
        <f>H457-F457</f>
        <v>0</v>
      </c>
      <c r="J457" s="23"/>
      <c r="K457" s="24" t="s">
        <v>881</v>
      </c>
      <c r="L457" s="35">
        <v>0</v>
      </c>
    </row>
    <row r="458" spans="1:12" x14ac:dyDescent="0.25">
      <c r="A458" s="16" t="s">
        <v>36</v>
      </c>
      <c r="B458" s="36" t="s">
        <v>882</v>
      </c>
      <c r="C458" s="18">
        <v>1</v>
      </c>
      <c r="D458" s="19" t="s">
        <v>31</v>
      </c>
      <c r="E458" s="20">
        <v>2723029.35</v>
      </c>
      <c r="F458" s="21">
        <v>2723029</v>
      </c>
      <c r="G458" s="22">
        <v>1</v>
      </c>
      <c r="H458" s="21">
        <f>ROUND(G458*E458,0)</f>
        <v>2723029</v>
      </c>
      <c r="I458" s="21">
        <f>H458-F458</f>
        <v>0</v>
      </c>
      <c r="J458" s="23"/>
      <c r="K458" s="24" t="s">
        <v>883</v>
      </c>
      <c r="L458" s="35">
        <v>0</v>
      </c>
    </row>
    <row r="459" spans="1:12" x14ac:dyDescent="0.25">
      <c r="A459" s="16" t="s">
        <v>40</v>
      </c>
      <c r="B459" s="36" t="s">
        <v>884</v>
      </c>
      <c r="C459" s="18">
        <v>1</v>
      </c>
      <c r="D459" s="19" t="s">
        <v>31</v>
      </c>
      <c r="E459" s="20">
        <v>190300.21</v>
      </c>
      <c r="F459" s="21">
        <v>190300</v>
      </c>
      <c r="G459" s="22">
        <v>1</v>
      </c>
      <c r="H459" s="21">
        <f>ROUND(G459*E459,0)</f>
        <v>190300</v>
      </c>
      <c r="I459" s="21">
        <f>H459-F459</f>
        <v>0</v>
      </c>
      <c r="J459" s="23"/>
      <c r="K459" s="24" t="s">
        <v>885</v>
      </c>
      <c r="L459" s="35">
        <v>0</v>
      </c>
    </row>
    <row r="460" spans="1:12" x14ac:dyDescent="0.25">
      <c r="A460" s="16" t="s">
        <v>140</v>
      </c>
      <c r="B460" s="36" t="s">
        <v>886</v>
      </c>
      <c r="C460" s="18">
        <v>1</v>
      </c>
      <c r="D460" s="19" t="s">
        <v>31</v>
      </c>
      <c r="E460" s="20">
        <v>82795.66</v>
      </c>
      <c r="F460" s="21">
        <v>82796</v>
      </c>
      <c r="G460" s="22">
        <v>1</v>
      </c>
      <c r="H460" s="21">
        <f>ROUND(G460*E460,0)</f>
        <v>82796</v>
      </c>
      <c r="I460" s="21">
        <f>H460-F460</f>
        <v>0</v>
      </c>
      <c r="J460" s="23"/>
      <c r="K460" s="24" t="s">
        <v>887</v>
      </c>
      <c r="L460" s="35">
        <v>0</v>
      </c>
    </row>
    <row r="461" spans="1:12" x14ac:dyDescent="0.25">
      <c r="A461" s="16" t="s">
        <v>143</v>
      </c>
      <c r="B461" s="36" t="s">
        <v>888</v>
      </c>
      <c r="C461" s="18">
        <v>1</v>
      </c>
      <c r="D461" s="19" t="s">
        <v>31</v>
      </c>
      <c r="E461" s="20">
        <v>34114.81</v>
      </c>
      <c r="F461" s="21">
        <v>34115</v>
      </c>
      <c r="G461" s="22">
        <v>1</v>
      </c>
      <c r="H461" s="21">
        <f>ROUND(G461*E461,0)</f>
        <v>34115</v>
      </c>
      <c r="I461" s="21">
        <f>H461-F461</f>
        <v>0</v>
      </c>
      <c r="J461" s="23"/>
      <c r="K461" s="24" t="s">
        <v>889</v>
      </c>
      <c r="L461" s="35">
        <v>0</v>
      </c>
    </row>
    <row r="462" spans="1:12" x14ac:dyDescent="0.25">
      <c r="A462" s="16" t="s">
        <v>146</v>
      </c>
      <c r="B462" s="36" t="s">
        <v>890</v>
      </c>
      <c r="C462" s="18">
        <v>1</v>
      </c>
      <c r="D462" s="19" t="s">
        <v>155</v>
      </c>
      <c r="E462" s="20">
        <v>1614611.28</v>
      </c>
      <c r="F462" s="21">
        <v>1614611</v>
      </c>
      <c r="G462" s="22">
        <v>1</v>
      </c>
      <c r="H462" s="21">
        <f>ROUND(G462*E462,0)</f>
        <v>1614611</v>
      </c>
      <c r="I462" s="21">
        <f>H462-F462</f>
        <v>0</v>
      </c>
      <c r="J462" s="23"/>
      <c r="K462" s="24" t="s">
        <v>891</v>
      </c>
      <c r="L462" s="35">
        <v>0</v>
      </c>
    </row>
    <row r="463" spans="1:12" s="26" customFormat="1" x14ac:dyDescent="0.25">
      <c r="A463" s="27" t="s">
        <v>150</v>
      </c>
      <c r="B463" s="33" t="s">
        <v>892</v>
      </c>
      <c r="C463" s="29"/>
      <c r="D463" s="30"/>
      <c r="E463" s="30"/>
      <c r="F463" s="31">
        <v>5480518</v>
      </c>
      <c r="G463" s="30"/>
      <c r="H463" s="29"/>
      <c r="I463" s="29"/>
      <c r="J463" s="30"/>
      <c r="K463" s="32" t="s">
        <v>893</v>
      </c>
      <c r="L463" s="29"/>
    </row>
    <row r="464" spans="1:12" x14ac:dyDescent="0.25">
      <c r="A464" s="16" t="s">
        <v>153</v>
      </c>
      <c r="B464" s="34" t="s">
        <v>894</v>
      </c>
      <c r="C464" s="18">
        <v>1</v>
      </c>
      <c r="D464" s="19" t="s">
        <v>155</v>
      </c>
      <c r="E464" s="20">
        <v>1263303.87</v>
      </c>
      <c r="F464" s="21">
        <v>1263304</v>
      </c>
      <c r="G464" s="22">
        <v>1</v>
      </c>
      <c r="H464" s="21">
        <f>ROUND(G464*E464,0)</f>
        <v>1263304</v>
      </c>
      <c r="I464" s="21">
        <f>H464-F464</f>
        <v>0</v>
      </c>
      <c r="J464" s="23"/>
      <c r="K464" s="24" t="s">
        <v>895</v>
      </c>
      <c r="L464" s="35">
        <v>0</v>
      </c>
    </row>
    <row r="465" spans="1:12" x14ac:dyDescent="0.25">
      <c r="A465" s="16" t="s">
        <v>157</v>
      </c>
      <c r="B465" s="34" t="s">
        <v>896</v>
      </c>
      <c r="C465" s="18">
        <v>1</v>
      </c>
      <c r="D465" s="19" t="s">
        <v>155</v>
      </c>
      <c r="E465" s="20">
        <v>1151545.01</v>
      </c>
      <c r="F465" s="21">
        <v>1151545</v>
      </c>
      <c r="G465" s="22">
        <v>1</v>
      </c>
      <c r="H465" s="21">
        <f>ROUND(G465*E465,0)</f>
        <v>1151545</v>
      </c>
      <c r="I465" s="21">
        <f>H465-F465</f>
        <v>0</v>
      </c>
      <c r="J465" s="23"/>
      <c r="K465" s="24" t="s">
        <v>897</v>
      </c>
      <c r="L465" s="35">
        <v>0</v>
      </c>
    </row>
    <row r="466" spans="1:12" x14ac:dyDescent="0.25">
      <c r="A466" s="16" t="s">
        <v>160</v>
      </c>
      <c r="B466" s="34" t="s">
        <v>898</v>
      </c>
      <c r="C466" s="18">
        <v>0</v>
      </c>
      <c r="D466" s="19" t="s">
        <v>836</v>
      </c>
      <c r="E466" s="20">
        <v>0</v>
      </c>
      <c r="F466" s="21">
        <v>0</v>
      </c>
      <c r="G466" s="22">
        <v>0</v>
      </c>
      <c r="H466" s="21">
        <f>ROUND(G466*E466,0)</f>
        <v>0</v>
      </c>
      <c r="I466" s="21">
        <f>H466-F466</f>
        <v>0</v>
      </c>
      <c r="J466" s="23"/>
      <c r="K466" s="24" t="s">
        <v>899</v>
      </c>
      <c r="L466" s="35">
        <v>0</v>
      </c>
    </row>
    <row r="467" spans="1:12" x14ac:dyDescent="0.25">
      <c r="A467" s="16" t="s">
        <v>900</v>
      </c>
      <c r="B467" s="34" t="s">
        <v>901</v>
      </c>
      <c r="C467" s="18">
        <v>2.304</v>
      </c>
      <c r="D467" s="19" t="s">
        <v>214</v>
      </c>
      <c r="E467" s="20">
        <v>120211.9</v>
      </c>
      <c r="F467" s="21">
        <v>276968</v>
      </c>
      <c r="G467" s="22">
        <v>2.304</v>
      </c>
      <c r="H467" s="21">
        <f>ROUND(G467*E467,0)</f>
        <v>276968</v>
      </c>
      <c r="I467" s="21">
        <f>H467-F467</f>
        <v>0</v>
      </c>
      <c r="J467" s="23"/>
      <c r="K467" s="24" t="s">
        <v>902</v>
      </c>
      <c r="L467" s="35">
        <v>0</v>
      </c>
    </row>
    <row r="468" spans="1:12" x14ac:dyDescent="0.25">
      <c r="A468" s="16" t="s">
        <v>903</v>
      </c>
      <c r="B468" s="34" t="s">
        <v>904</v>
      </c>
      <c r="C468" s="18">
        <v>2.88</v>
      </c>
      <c r="D468" s="19" t="s">
        <v>23</v>
      </c>
      <c r="E468" s="20">
        <v>130392.01</v>
      </c>
      <c r="F468" s="21">
        <v>375529</v>
      </c>
      <c r="G468" s="22">
        <v>2.88</v>
      </c>
      <c r="H468" s="21">
        <f>ROUND(G468*E468,0)</f>
        <v>375529</v>
      </c>
      <c r="I468" s="21">
        <f>H468-F468</f>
        <v>0</v>
      </c>
      <c r="J468" s="23"/>
      <c r="K468" s="24" t="s">
        <v>905</v>
      </c>
      <c r="L468" s="35">
        <v>0</v>
      </c>
    </row>
    <row r="469" spans="1:12" x14ac:dyDescent="0.25">
      <c r="A469" s="16" t="s">
        <v>906</v>
      </c>
      <c r="B469" s="34" t="s">
        <v>907</v>
      </c>
      <c r="C469" s="18">
        <v>12.503</v>
      </c>
      <c r="D469" s="19" t="s">
        <v>229</v>
      </c>
      <c r="E469" s="20">
        <v>19248.5</v>
      </c>
      <c r="F469" s="21">
        <v>240657</v>
      </c>
      <c r="G469" s="22">
        <v>12.503</v>
      </c>
      <c r="H469" s="21">
        <f>ROUND(G469*E469,0)</f>
        <v>240657</v>
      </c>
      <c r="I469" s="21">
        <f>H469-F469</f>
        <v>0</v>
      </c>
      <c r="J469" s="23"/>
      <c r="K469" s="24" t="s">
        <v>908</v>
      </c>
      <c r="L469" s="35">
        <v>0</v>
      </c>
    </row>
    <row r="470" spans="1:12" x14ac:dyDescent="0.25">
      <c r="A470" s="16" t="s">
        <v>909</v>
      </c>
      <c r="B470" s="34" t="s">
        <v>910</v>
      </c>
      <c r="C470" s="18">
        <v>0.432</v>
      </c>
      <c r="D470" s="19" t="s">
        <v>214</v>
      </c>
      <c r="E470" s="20">
        <v>1151545.01</v>
      </c>
      <c r="F470" s="21">
        <v>497468</v>
      </c>
      <c r="G470" s="22">
        <v>0.432</v>
      </c>
      <c r="H470" s="21">
        <f>ROUND(G470*E470,0)</f>
        <v>497468</v>
      </c>
      <c r="I470" s="21">
        <f>H470-F470</f>
        <v>0</v>
      </c>
      <c r="J470" s="23"/>
      <c r="K470" s="24" t="s">
        <v>911</v>
      </c>
      <c r="L470" s="35">
        <v>0</v>
      </c>
    </row>
    <row r="471" spans="1:12" x14ac:dyDescent="0.25">
      <c r="A471" s="16" t="s">
        <v>163</v>
      </c>
      <c r="B471" s="34" t="s">
        <v>912</v>
      </c>
      <c r="C471" s="18">
        <v>0</v>
      </c>
      <c r="D471" s="19" t="s">
        <v>836</v>
      </c>
      <c r="E471" s="20">
        <v>0</v>
      </c>
      <c r="F471" s="21">
        <v>0</v>
      </c>
      <c r="G471" s="22">
        <v>0</v>
      </c>
      <c r="H471" s="21">
        <f>ROUND(G471*E471,0)</f>
        <v>0</v>
      </c>
      <c r="I471" s="21">
        <f>H471-F471</f>
        <v>0</v>
      </c>
      <c r="J471" s="23"/>
      <c r="K471" s="24" t="s">
        <v>913</v>
      </c>
      <c r="L471" s="35">
        <v>0</v>
      </c>
    </row>
    <row r="472" spans="1:12" x14ac:dyDescent="0.25">
      <c r="A472" s="16" t="s">
        <v>914</v>
      </c>
      <c r="B472" s="34" t="s">
        <v>915</v>
      </c>
      <c r="C472" s="18">
        <v>3.2</v>
      </c>
      <c r="D472" s="19" t="s">
        <v>23</v>
      </c>
      <c r="E472" s="20">
        <v>208190.98</v>
      </c>
      <c r="F472" s="21">
        <v>666211</v>
      </c>
      <c r="G472" s="22">
        <v>3.2</v>
      </c>
      <c r="H472" s="21">
        <f>ROUND(G472*E472,0)</f>
        <v>666211</v>
      </c>
      <c r="I472" s="21">
        <f>H472-F472</f>
        <v>0</v>
      </c>
      <c r="J472" s="23"/>
      <c r="K472" s="24" t="s">
        <v>916</v>
      </c>
      <c r="L472" s="35">
        <v>0</v>
      </c>
    </row>
    <row r="473" spans="1:12" x14ac:dyDescent="0.25">
      <c r="A473" s="16" t="s">
        <v>917</v>
      </c>
      <c r="B473" s="34" t="s">
        <v>918</v>
      </c>
      <c r="C473" s="18">
        <v>22.505</v>
      </c>
      <c r="D473" s="19" t="s">
        <v>229</v>
      </c>
      <c r="E473" s="20">
        <v>19248.5</v>
      </c>
      <c r="F473" s="21">
        <v>433182</v>
      </c>
      <c r="G473" s="22">
        <v>22.505</v>
      </c>
      <c r="H473" s="21">
        <f>ROUND(G473*E473,0)</f>
        <v>433182</v>
      </c>
      <c r="I473" s="21">
        <f>H473-F473</f>
        <v>0</v>
      </c>
      <c r="J473" s="23"/>
      <c r="K473" s="24" t="s">
        <v>919</v>
      </c>
      <c r="L473" s="35">
        <v>0</v>
      </c>
    </row>
    <row r="474" spans="1:12" x14ac:dyDescent="0.25">
      <c r="A474" s="16" t="s">
        <v>920</v>
      </c>
      <c r="B474" s="34" t="s">
        <v>921</v>
      </c>
      <c r="C474" s="18">
        <v>9.848</v>
      </c>
      <c r="D474" s="19" t="s">
        <v>229</v>
      </c>
      <c r="E474" s="20">
        <v>13176.23</v>
      </c>
      <c r="F474" s="21">
        <v>129762</v>
      </c>
      <c r="G474" s="22">
        <v>9.848</v>
      </c>
      <c r="H474" s="21">
        <f>ROUND(G474*E474,0)</f>
        <v>129762</v>
      </c>
      <c r="I474" s="21">
        <f>H474-F474</f>
        <v>0</v>
      </c>
      <c r="J474" s="23"/>
      <c r="K474" s="24" t="s">
        <v>922</v>
      </c>
      <c r="L474" s="35">
        <v>0</v>
      </c>
    </row>
    <row r="475" spans="1:12" x14ac:dyDescent="0.25">
      <c r="A475" s="16" t="s">
        <v>923</v>
      </c>
      <c r="B475" s="34" t="s">
        <v>910</v>
      </c>
      <c r="C475" s="18">
        <v>0.2</v>
      </c>
      <c r="D475" s="19" t="s">
        <v>214</v>
      </c>
      <c r="E475" s="20">
        <v>1151545.01</v>
      </c>
      <c r="F475" s="21">
        <v>230309</v>
      </c>
      <c r="G475" s="22">
        <v>0.2</v>
      </c>
      <c r="H475" s="21">
        <f>ROUND(G475*E475,0)</f>
        <v>230309</v>
      </c>
      <c r="I475" s="21">
        <f>H475-F475</f>
        <v>0</v>
      </c>
      <c r="J475" s="23"/>
      <c r="K475" s="24" t="s">
        <v>924</v>
      </c>
      <c r="L475" s="35">
        <v>0</v>
      </c>
    </row>
    <row r="476" spans="1:12" x14ac:dyDescent="0.25">
      <c r="A476" s="16" t="s">
        <v>925</v>
      </c>
      <c r="B476" s="34" t="s">
        <v>926</v>
      </c>
      <c r="C476" s="18">
        <v>11.2</v>
      </c>
      <c r="D476" s="19" t="s">
        <v>229</v>
      </c>
      <c r="E476" s="20">
        <v>19248.5</v>
      </c>
      <c r="F476" s="21">
        <v>215583</v>
      </c>
      <c r="G476" s="22">
        <v>11.2</v>
      </c>
      <c r="H476" s="21">
        <f>ROUND(G476*E476,0)</f>
        <v>215583</v>
      </c>
      <c r="I476" s="21">
        <f>H476-F476</f>
        <v>0</v>
      </c>
      <c r="J476" s="23"/>
      <c r="K476" s="24" t="s">
        <v>927</v>
      </c>
      <c r="L476" s="35">
        <v>0</v>
      </c>
    </row>
    <row r="477" spans="1:12" x14ac:dyDescent="0.25">
      <c r="A477" s="16" t="s">
        <v>175</v>
      </c>
      <c r="B477" s="36" t="s">
        <v>928</v>
      </c>
      <c r="C477" s="18">
        <v>1</v>
      </c>
      <c r="D477" s="19" t="s">
        <v>155</v>
      </c>
      <c r="E477" s="20">
        <v>2900000</v>
      </c>
      <c r="F477" s="21">
        <v>2900000</v>
      </c>
      <c r="G477" s="22">
        <v>1</v>
      </c>
      <c r="H477" s="21">
        <f>ROUND(G477*E477,0)</f>
        <v>2900000</v>
      </c>
      <c r="I477" s="21">
        <f>H477-F477</f>
        <v>0</v>
      </c>
      <c r="J477" s="23"/>
      <c r="K477" s="24" t="s">
        <v>929</v>
      </c>
      <c r="L477" s="35">
        <v>0</v>
      </c>
    </row>
    <row r="478" spans="1:12" s="26" customFormat="1" x14ac:dyDescent="0.25">
      <c r="A478" s="27" t="s">
        <v>184</v>
      </c>
      <c r="B478" s="33" t="s">
        <v>930</v>
      </c>
      <c r="C478" s="29"/>
      <c r="D478" s="30"/>
      <c r="E478" s="30"/>
      <c r="F478" s="31">
        <v>8701133</v>
      </c>
      <c r="G478" s="30"/>
      <c r="H478" s="29"/>
      <c r="I478" s="29"/>
      <c r="J478" s="30"/>
      <c r="K478" s="32" t="s">
        <v>931</v>
      </c>
      <c r="L478" s="29"/>
    </row>
    <row r="479" spans="1:12" x14ac:dyDescent="0.25">
      <c r="A479" s="16" t="s">
        <v>187</v>
      </c>
      <c r="B479" s="34" t="s">
        <v>932</v>
      </c>
      <c r="C479" s="18">
        <v>3.938</v>
      </c>
      <c r="D479" s="19" t="s">
        <v>214</v>
      </c>
      <c r="E479" s="20">
        <v>103880.83</v>
      </c>
      <c r="F479" s="21">
        <v>409031</v>
      </c>
      <c r="G479" s="22">
        <v>3.938</v>
      </c>
      <c r="H479" s="21">
        <f>ROUND(G479*E479,0)</f>
        <v>409031</v>
      </c>
      <c r="I479" s="21">
        <f>H479-F479</f>
        <v>0</v>
      </c>
      <c r="J479" s="23"/>
      <c r="K479" s="24" t="s">
        <v>933</v>
      </c>
      <c r="L479" s="35">
        <v>0</v>
      </c>
    </row>
    <row r="480" spans="1:12" x14ac:dyDescent="0.25">
      <c r="A480" s="16" t="s">
        <v>190</v>
      </c>
      <c r="B480" s="34" t="s">
        <v>934</v>
      </c>
      <c r="C480" s="18">
        <v>0.225</v>
      </c>
      <c r="D480" s="19" t="s">
        <v>214</v>
      </c>
      <c r="E480" s="20">
        <v>345522.98</v>
      </c>
      <c r="F480" s="21">
        <v>77742</v>
      </c>
      <c r="G480" s="22">
        <v>0.225</v>
      </c>
      <c r="H480" s="21">
        <f>ROUND(G480*E480,0)</f>
        <v>77742</v>
      </c>
      <c r="I480" s="21">
        <f>H480-F480</f>
        <v>0</v>
      </c>
      <c r="J480" s="23"/>
      <c r="K480" s="24" t="s">
        <v>935</v>
      </c>
      <c r="L480" s="35">
        <v>0</v>
      </c>
    </row>
    <row r="481" spans="1:12" x14ac:dyDescent="0.25">
      <c r="A481" s="16" t="s">
        <v>826</v>
      </c>
      <c r="B481" s="34" t="s">
        <v>640</v>
      </c>
      <c r="C481" s="18">
        <v>0.113</v>
      </c>
      <c r="D481" s="19" t="s">
        <v>214</v>
      </c>
      <c r="E481" s="20">
        <v>1016530.97</v>
      </c>
      <c r="F481" s="21">
        <v>114360</v>
      </c>
      <c r="G481" s="22">
        <v>0.113</v>
      </c>
      <c r="H481" s="21">
        <f>ROUND(G481*E481,0)</f>
        <v>114360</v>
      </c>
      <c r="I481" s="21">
        <f>H481-F481</f>
        <v>0</v>
      </c>
      <c r="J481" s="23"/>
      <c r="K481" s="24" t="s">
        <v>936</v>
      </c>
      <c r="L481" s="35">
        <v>0</v>
      </c>
    </row>
    <row r="482" spans="1:12" x14ac:dyDescent="0.25">
      <c r="A482" s="16" t="s">
        <v>829</v>
      </c>
      <c r="B482" s="34" t="s">
        <v>937</v>
      </c>
      <c r="C482" s="18">
        <v>1</v>
      </c>
      <c r="D482" s="19" t="s">
        <v>155</v>
      </c>
      <c r="E482" s="20">
        <v>8100000</v>
      </c>
      <c r="F482" s="21">
        <v>8100000</v>
      </c>
      <c r="G482" s="22">
        <v>1</v>
      </c>
      <c r="H482" s="21">
        <f>ROUND(G482*E482,0)</f>
        <v>8100000</v>
      </c>
      <c r="I482" s="21">
        <f>H482-F482</f>
        <v>0</v>
      </c>
      <c r="J482" s="23"/>
      <c r="K482" s="24" t="s">
        <v>938</v>
      </c>
      <c r="L482" s="35">
        <v>0</v>
      </c>
    </row>
    <row r="483" spans="1:12" x14ac:dyDescent="0.25">
      <c r="A483" s="16" t="s">
        <v>193</v>
      </c>
      <c r="B483" s="36" t="s">
        <v>939</v>
      </c>
      <c r="C483" s="18">
        <v>4</v>
      </c>
      <c r="D483" s="19" t="s">
        <v>148</v>
      </c>
      <c r="E483" s="20">
        <v>424608.39</v>
      </c>
      <c r="F483" s="21">
        <v>1698433</v>
      </c>
      <c r="G483" s="22">
        <v>4</v>
      </c>
      <c r="H483" s="21">
        <f>ROUND(G483*E483,0)</f>
        <v>1698433</v>
      </c>
      <c r="I483" s="21">
        <f>H483-F483</f>
        <v>0</v>
      </c>
      <c r="J483" s="23"/>
      <c r="K483" s="24" t="s">
        <v>940</v>
      </c>
      <c r="L483" s="35">
        <v>0</v>
      </c>
    </row>
    <row r="484" spans="1:12" x14ac:dyDescent="0.25">
      <c r="A484" s="16" t="s">
        <v>202</v>
      </c>
      <c r="B484" s="36" t="s">
        <v>499</v>
      </c>
      <c r="C484" s="18">
        <v>2</v>
      </c>
      <c r="D484" s="19" t="s">
        <v>148</v>
      </c>
      <c r="E484" s="20">
        <v>534274.39</v>
      </c>
      <c r="F484" s="21">
        <v>1068549</v>
      </c>
      <c r="G484" s="22">
        <v>2</v>
      </c>
      <c r="H484" s="21">
        <f>ROUND(G484*E484,0)</f>
        <v>1068549</v>
      </c>
      <c r="I484" s="21">
        <f>H484-F484</f>
        <v>0</v>
      </c>
      <c r="J484" s="23"/>
      <c r="K484" s="24" t="s">
        <v>941</v>
      </c>
      <c r="L484" s="35">
        <v>0</v>
      </c>
    </row>
    <row r="485" spans="1:12" x14ac:dyDescent="0.25">
      <c r="A485" s="16" t="s">
        <v>205</v>
      </c>
      <c r="B485" s="36" t="s">
        <v>942</v>
      </c>
      <c r="C485" s="18">
        <v>4</v>
      </c>
      <c r="D485" s="19" t="s">
        <v>31</v>
      </c>
      <c r="E485" s="20">
        <v>160506.41</v>
      </c>
      <c r="F485" s="21">
        <v>642026</v>
      </c>
      <c r="G485" s="22">
        <v>4</v>
      </c>
      <c r="H485" s="21">
        <f>ROUND(G485*E485,0)</f>
        <v>642026</v>
      </c>
      <c r="I485" s="21">
        <f>H485-F485</f>
        <v>0</v>
      </c>
      <c r="J485" s="23"/>
      <c r="K485" s="24" t="s">
        <v>943</v>
      </c>
      <c r="L485" s="35">
        <v>0</v>
      </c>
    </row>
    <row r="486" spans="1:12" x14ac:dyDescent="0.25">
      <c r="A486" s="16" t="s">
        <v>858</v>
      </c>
      <c r="B486" s="36" t="s">
        <v>944</v>
      </c>
      <c r="C486" s="18">
        <v>1</v>
      </c>
      <c r="D486" s="19" t="s">
        <v>31</v>
      </c>
      <c r="E486" s="20">
        <v>66848.01</v>
      </c>
      <c r="F486" s="21">
        <v>66848</v>
      </c>
      <c r="G486" s="22">
        <v>1</v>
      </c>
      <c r="H486" s="21">
        <f>ROUND(G486*E486,0)</f>
        <v>66848</v>
      </c>
      <c r="I486" s="21">
        <f>H486-F486</f>
        <v>0</v>
      </c>
      <c r="J486" s="23"/>
      <c r="K486" s="24" t="s">
        <v>945</v>
      </c>
      <c r="L486" s="35">
        <v>0</v>
      </c>
    </row>
    <row r="487" spans="1:12" x14ac:dyDescent="0.25">
      <c r="A487" s="16" t="s">
        <v>861</v>
      </c>
      <c r="B487" s="36" t="s">
        <v>946</v>
      </c>
      <c r="C487" s="18">
        <v>1</v>
      </c>
      <c r="D487" s="19" t="s">
        <v>31</v>
      </c>
      <c r="E487" s="20">
        <v>69831.65</v>
      </c>
      <c r="F487" s="21">
        <v>69832</v>
      </c>
      <c r="G487" s="22">
        <v>1</v>
      </c>
      <c r="H487" s="21">
        <f>ROUND(G487*E487,0)</f>
        <v>69832</v>
      </c>
      <c r="I487" s="21">
        <f>H487-F487</f>
        <v>0</v>
      </c>
      <c r="J487" s="23"/>
      <c r="K487" s="24" t="s">
        <v>947</v>
      </c>
      <c r="L487" s="35">
        <v>0</v>
      </c>
    </row>
    <row r="488" spans="1:12" x14ac:dyDescent="0.25">
      <c r="A488" s="16" t="s">
        <v>863</v>
      </c>
      <c r="B488" s="36" t="s">
        <v>948</v>
      </c>
      <c r="C488" s="18">
        <v>2</v>
      </c>
      <c r="D488" s="19" t="s">
        <v>31</v>
      </c>
      <c r="E488" s="20">
        <v>55282.67</v>
      </c>
      <c r="F488" s="21">
        <v>110565</v>
      </c>
      <c r="G488" s="22">
        <v>2</v>
      </c>
      <c r="H488" s="21">
        <f>ROUND(G488*E488,0)</f>
        <v>110565</v>
      </c>
      <c r="I488" s="21">
        <f>H488-F488</f>
        <v>0</v>
      </c>
      <c r="J488" s="23"/>
      <c r="K488" s="24" t="s">
        <v>949</v>
      </c>
      <c r="L488" s="35">
        <v>0</v>
      </c>
    </row>
    <row r="489" spans="1:12" x14ac:dyDescent="0.25">
      <c r="A489" s="16" t="s">
        <v>950</v>
      </c>
      <c r="B489" s="36" t="s">
        <v>951</v>
      </c>
      <c r="C489" s="18">
        <v>1</v>
      </c>
      <c r="D489" s="19" t="s">
        <v>31</v>
      </c>
      <c r="E489" s="20">
        <v>1142445.29</v>
      </c>
      <c r="F489" s="21">
        <v>1142445</v>
      </c>
      <c r="G489" s="22">
        <v>1</v>
      </c>
      <c r="H489" s="21">
        <f>ROUND(G489*E489,0)</f>
        <v>1142445</v>
      </c>
      <c r="I489" s="21">
        <f>H489-F489</f>
        <v>0</v>
      </c>
      <c r="J489" s="23"/>
      <c r="K489" s="24" t="s">
        <v>952</v>
      </c>
      <c r="L489" s="35">
        <v>0</v>
      </c>
    </row>
    <row r="490" spans="1:12" x14ac:dyDescent="0.25">
      <c r="A490" s="16" t="s">
        <v>953</v>
      </c>
      <c r="B490" s="36" t="s">
        <v>507</v>
      </c>
      <c r="C490" s="18">
        <v>1</v>
      </c>
      <c r="D490" s="19" t="s">
        <v>155</v>
      </c>
      <c r="E490" s="20">
        <v>2548083.11</v>
      </c>
      <c r="F490" s="21">
        <v>2548083</v>
      </c>
      <c r="G490" s="22">
        <v>1</v>
      </c>
      <c r="H490" s="21">
        <f>ROUND(G490*E490,0)</f>
        <v>2548083</v>
      </c>
      <c r="I490" s="21">
        <f>H490-F490</f>
        <v>0</v>
      </c>
      <c r="J490" s="23"/>
      <c r="K490" s="24" t="s">
        <v>954</v>
      </c>
      <c r="L490" s="35">
        <v>0</v>
      </c>
    </row>
    <row r="491" spans="1:12" s="8" customFormat="1" x14ac:dyDescent="0.25">
      <c r="A491" s="9" t="s">
        <v>955</v>
      </c>
      <c r="B491" s="10" t="s">
        <v>956</v>
      </c>
      <c r="C491" s="11"/>
      <c r="D491" s="12"/>
      <c r="E491" s="12"/>
      <c r="F491" s="13">
        <v>302274828</v>
      </c>
      <c r="G491" s="12"/>
      <c r="H491" s="11"/>
      <c r="I491" s="11"/>
      <c r="J491" s="12"/>
      <c r="K491" s="14" t="s">
        <v>955</v>
      </c>
      <c r="L491" s="15"/>
    </row>
    <row r="492" spans="1:12" s="26" customFormat="1" x14ac:dyDescent="0.25">
      <c r="A492" s="27" t="s">
        <v>957</v>
      </c>
      <c r="B492" s="28" t="s">
        <v>317</v>
      </c>
      <c r="C492" s="29"/>
      <c r="D492" s="30"/>
      <c r="E492" s="30"/>
      <c r="F492" s="31">
        <v>93784616</v>
      </c>
      <c r="G492" s="30"/>
      <c r="H492" s="29"/>
      <c r="I492" s="29"/>
      <c r="J492" s="30"/>
      <c r="K492" s="32" t="s">
        <v>958</v>
      </c>
      <c r="L492" s="29"/>
    </row>
    <row r="493" spans="1:12" x14ac:dyDescent="0.25">
      <c r="A493" s="16" t="s">
        <v>21</v>
      </c>
      <c r="B493" s="36" t="s">
        <v>319</v>
      </c>
      <c r="C493" s="18">
        <v>28</v>
      </c>
      <c r="D493" s="19" t="s">
        <v>38</v>
      </c>
      <c r="E493" s="20">
        <v>147990.68</v>
      </c>
      <c r="F493" s="21">
        <v>4143739</v>
      </c>
      <c r="G493" s="22">
        <v>28</v>
      </c>
      <c r="H493" s="21">
        <f>ROUND(G493*E493,0)</f>
        <v>4143739</v>
      </c>
      <c r="I493" s="21">
        <f>H493-F493</f>
        <v>0</v>
      </c>
      <c r="J493" s="23"/>
      <c r="K493" s="24" t="s">
        <v>959</v>
      </c>
      <c r="L493" s="25">
        <v>28</v>
      </c>
    </row>
    <row r="494" spans="1:12" s="26" customFormat="1" x14ac:dyDescent="0.25">
      <c r="A494" s="27" t="s">
        <v>25</v>
      </c>
      <c r="B494" s="33" t="s">
        <v>321</v>
      </c>
      <c r="C494" s="29"/>
      <c r="D494" s="30"/>
      <c r="E494" s="30"/>
      <c r="F494" s="31">
        <v>13279081</v>
      </c>
      <c r="G494" s="30"/>
      <c r="H494" s="29"/>
      <c r="I494" s="29"/>
      <c r="J494" s="30"/>
      <c r="K494" s="32" t="s">
        <v>960</v>
      </c>
      <c r="L494" s="29"/>
    </row>
    <row r="495" spans="1:12" x14ac:dyDescent="0.25">
      <c r="A495" s="16" t="s">
        <v>224</v>
      </c>
      <c r="B495" s="34" t="s">
        <v>213</v>
      </c>
      <c r="C495" s="18">
        <v>14.4</v>
      </c>
      <c r="D495" s="19" t="s">
        <v>214</v>
      </c>
      <c r="E495" s="20">
        <v>56660.36</v>
      </c>
      <c r="F495" s="21">
        <v>815909</v>
      </c>
      <c r="G495" s="22">
        <v>14.4</v>
      </c>
      <c r="H495" s="21">
        <f>ROUND(G495*E495,0)</f>
        <v>815909</v>
      </c>
      <c r="I495" s="21">
        <f>H495-F495</f>
        <v>0</v>
      </c>
      <c r="J495" s="23"/>
      <c r="K495" s="24" t="s">
        <v>961</v>
      </c>
      <c r="L495" s="25">
        <v>14.4</v>
      </c>
    </row>
    <row r="496" spans="1:12" x14ac:dyDescent="0.25">
      <c r="A496" s="16" t="s">
        <v>227</v>
      </c>
      <c r="B496" s="34" t="s">
        <v>324</v>
      </c>
      <c r="C496" s="18">
        <v>0.84</v>
      </c>
      <c r="D496" s="19" t="s">
        <v>214</v>
      </c>
      <c r="E496" s="20">
        <v>345522.98</v>
      </c>
      <c r="F496" s="21">
        <v>290239</v>
      </c>
      <c r="G496" s="22">
        <v>0.84</v>
      </c>
      <c r="H496" s="21">
        <f>ROUND(G496*E496,0)</f>
        <v>290239</v>
      </c>
      <c r="I496" s="21">
        <f>H496-F496</f>
        <v>0</v>
      </c>
      <c r="J496" s="23"/>
      <c r="K496" s="24" t="s">
        <v>962</v>
      </c>
      <c r="L496" s="25">
        <v>0.84</v>
      </c>
    </row>
    <row r="497" spans="1:12" x14ac:dyDescent="0.25">
      <c r="A497" s="16" t="s">
        <v>231</v>
      </c>
      <c r="B497" s="34" t="s">
        <v>326</v>
      </c>
      <c r="C497" s="18">
        <v>0.36</v>
      </c>
      <c r="D497" s="19" t="s">
        <v>214</v>
      </c>
      <c r="E497" s="20">
        <v>1016530.97</v>
      </c>
      <c r="F497" s="21">
        <v>365951</v>
      </c>
      <c r="G497" s="22">
        <v>0.36</v>
      </c>
      <c r="H497" s="21">
        <f>ROUND(G497*E497,0)</f>
        <v>365951</v>
      </c>
      <c r="I497" s="21">
        <f>H497-F497</f>
        <v>0</v>
      </c>
      <c r="J497" s="23"/>
      <c r="K497" s="24" t="s">
        <v>963</v>
      </c>
      <c r="L497" s="25">
        <v>0.36</v>
      </c>
    </row>
    <row r="498" spans="1:12" x14ac:dyDescent="0.25">
      <c r="A498" s="16" t="s">
        <v>234</v>
      </c>
      <c r="B498" s="34" t="s">
        <v>328</v>
      </c>
      <c r="C498" s="18">
        <v>14.4</v>
      </c>
      <c r="D498" s="19" t="s">
        <v>23</v>
      </c>
      <c r="E498" s="20">
        <v>130392.01</v>
      </c>
      <c r="F498" s="21">
        <v>1877645</v>
      </c>
      <c r="G498" s="22">
        <v>14.4</v>
      </c>
      <c r="H498" s="21">
        <f>ROUND(G498*E498,0)</f>
        <v>1877645</v>
      </c>
      <c r="I498" s="21">
        <f>H498-F498</f>
        <v>0</v>
      </c>
      <c r="J498" s="23"/>
      <c r="K498" s="24" t="s">
        <v>964</v>
      </c>
      <c r="L498" s="25">
        <v>14.4</v>
      </c>
    </row>
    <row r="499" spans="1:12" x14ac:dyDescent="0.25">
      <c r="A499" s="16" t="s">
        <v>330</v>
      </c>
      <c r="B499" s="34" t="s">
        <v>666</v>
      </c>
      <c r="C499" s="18">
        <v>66.58</v>
      </c>
      <c r="D499" s="19" t="s">
        <v>229</v>
      </c>
      <c r="E499" s="20">
        <v>13176.23</v>
      </c>
      <c r="F499" s="21">
        <v>877273</v>
      </c>
      <c r="G499" s="22">
        <v>66.58</v>
      </c>
      <c r="H499" s="21">
        <f>ROUND(G499*E499,0)</f>
        <v>877273</v>
      </c>
      <c r="I499" s="21">
        <f>H499-F499</f>
        <v>0</v>
      </c>
      <c r="J499" s="23"/>
      <c r="K499" s="24" t="s">
        <v>965</v>
      </c>
      <c r="L499" s="25">
        <v>66.58</v>
      </c>
    </row>
    <row r="500" spans="1:12" x14ac:dyDescent="0.25">
      <c r="A500" s="16" t="s">
        <v>333</v>
      </c>
      <c r="B500" s="34" t="s">
        <v>334</v>
      </c>
      <c r="C500" s="18">
        <v>2.3</v>
      </c>
      <c r="D500" s="19" t="s">
        <v>214</v>
      </c>
      <c r="E500" s="20">
        <v>1151545.01</v>
      </c>
      <c r="F500" s="21">
        <v>2648554</v>
      </c>
      <c r="G500" s="22">
        <v>2.3</v>
      </c>
      <c r="H500" s="21">
        <f>ROUND(G500*E500,0)</f>
        <v>2648554</v>
      </c>
      <c r="I500" s="21">
        <f>H500-F500</f>
        <v>0</v>
      </c>
      <c r="J500" s="23"/>
      <c r="K500" s="24" t="s">
        <v>966</v>
      </c>
      <c r="L500" s="25">
        <v>2.3</v>
      </c>
    </row>
    <row r="501" spans="1:12" x14ac:dyDescent="0.25">
      <c r="A501" s="16" t="s">
        <v>336</v>
      </c>
      <c r="B501" s="34" t="s">
        <v>270</v>
      </c>
      <c r="C501" s="18">
        <v>240</v>
      </c>
      <c r="D501" s="19" t="s">
        <v>38</v>
      </c>
      <c r="E501" s="20">
        <v>26681.29</v>
      </c>
      <c r="F501" s="21">
        <v>6403510</v>
      </c>
      <c r="G501" s="22">
        <v>240</v>
      </c>
      <c r="H501" s="21">
        <f>ROUND(G501*E501,0)</f>
        <v>6403510</v>
      </c>
      <c r="I501" s="21">
        <f>H501-F501</f>
        <v>0</v>
      </c>
      <c r="J501" s="23"/>
      <c r="K501" s="24" t="s">
        <v>967</v>
      </c>
      <c r="L501" s="25">
        <v>240</v>
      </c>
    </row>
    <row r="502" spans="1:12" s="26" customFormat="1" x14ac:dyDescent="0.25">
      <c r="A502" s="27" t="s">
        <v>29</v>
      </c>
      <c r="B502" s="33" t="s">
        <v>718</v>
      </c>
      <c r="C502" s="29"/>
      <c r="D502" s="30"/>
      <c r="E502" s="30"/>
      <c r="F502" s="31">
        <v>16459393</v>
      </c>
      <c r="G502" s="30"/>
      <c r="H502" s="29"/>
      <c r="I502" s="29"/>
      <c r="J502" s="30"/>
      <c r="K502" s="32" t="s">
        <v>968</v>
      </c>
      <c r="L502" s="29"/>
    </row>
    <row r="503" spans="1:12" x14ac:dyDescent="0.25">
      <c r="A503" s="16" t="s">
        <v>239</v>
      </c>
      <c r="B503" s="34" t="s">
        <v>282</v>
      </c>
      <c r="C503" s="18">
        <v>28.19</v>
      </c>
      <c r="D503" s="19" t="s">
        <v>214</v>
      </c>
      <c r="E503" s="20">
        <v>56660.36</v>
      </c>
      <c r="F503" s="21">
        <v>1597256</v>
      </c>
      <c r="G503" s="22">
        <v>28.19</v>
      </c>
      <c r="H503" s="21">
        <f>ROUND(G503*E503,0)</f>
        <v>1597256</v>
      </c>
      <c r="I503" s="21">
        <f>H503-F503</f>
        <v>0</v>
      </c>
      <c r="J503" s="23"/>
      <c r="K503" s="24" t="s">
        <v>969</v>
      </c>
      <c r="L503" s="25">
        <v>28.19</v>
      </c>
    </row>
    <row r="504" spans="1:12" x14ac:dyDescent="0.25">
      <c r="A504" s="16" t="s">
        <v>241</v>
      </c>
      <c r="B504" s="34" t="s">
        <v>342</v>
      </c>
      <c r="C504" s="18">
        <v>0</v>
      </c>
      <c r="D504" s="19" t="s">
        <v>38</v>
      </c>
      <c r="E504" s="20">
        <v>26681.29</v>
      </c>
      <c r="F504" s="21">
        <v>0</v>
      </c>
      <c r="G504" s="22">
        <v>0</v>
      </c>
      <c r="H504" s="21">
        <f>ROUND(G504*E504,0)</f>
        <v>0</v>
      </c>
      <c r="I504" s="21">
        <f>H504-F504</f>
        <v>0</v>
      </c>
      <c r="J504" s="23"/>
      <c r="K504" s="24" t="s">
        <v>970</v>
      </c>
      <c r="L504" s="35">
        <v>0</v>
      </c>
    </row>
    <row r="505" spans="1:12" x14ac:dyDescent="0.25">
      <c r="A505" s="16" t="s">
        <v>244</v>
      </c>
      <c r="B505" s="34" t="s">
        <v>971</v>
      </c>
      <c r="C505" s="18">
        <v>2.27</v>
      </c>
      <c r="D505" s="19" t="s">
        <v>214</v>
      </c>
      <c r="E505" s="20">
        <v>345522.98</v>
      </c>
      <c r="F505" s="21">
        <v>784337</v>
      </c>
      <c r="G505" s="22">
        <v>2.27</v>
      </c>
      <c r="H505" s="21">
        <f>ROUND(G505*E505,0)</f>
        <v>784337</v>
      </c>
      <c r="I505" s="21">
        <f>H505-F505</f>
        <v>0</v>
      </c>
      <c r="J505" s="23"/>
      <c r="K505" s="24" t="s">
        <v>972</v>
      </c>
      <c r="L505" s="25">
        <v>2.27</v>
      </c>
    </row>
    <row r="506" spans="1:12" x14ac:dyDescent="0.25">
      <c r="A506" s="16" t="s">
        <v>247</v>
      </c>
      <c r="B506" s="34" t="s">
        <v>338</v>
      </c>
      <c r="C506" s="18">
        <v>17.82</v>
      </c>
      <c r="D506" s="19" t="s">
        <v>214</v>
      </c>
      <c r="E506" s="20">
        <v>790000</v>
      </c>
      <c r="F506" s="21">
        <v>14077800</v>
      </c>
      <c r="G506" s="22">
        <v>17.82</v>
      </c>
      <c r="H506" s="21">
        <f>ROUND(G506*E506,0)</f>
        <v>14077800</v>
      </c>
      <c r="I506" s="21">
        <f>H506-F506</f>
        <v>0</v>
      </c>
      <c r="J506" s="23"/>
      <c r="K506" s="24" t="s">
        <v>973</v>
      </c>
      <c r="L506" s="25">
        <v>17.82</v>
      </c>
    </row>
    <row r="507" spans="1:12" x14ac:dyDescent="0.25">
      <c r="A507" s="16" t="s">
        <v>33</v>
      </c>
      <c r="B507" s="36" t="s">
        <v>348</v>
      </c>
      <c r="C507" s="18">
        <v>12.48</v>
      </c>
      <c r="D507" s="19" t="s">
        <v>229</v>
      </c>
      <c r="E507" s="20">
        <v>13176.23</v>
      </c>
      <c r="F507" s="21">
        <v>164439</v>
      </c>
      <c r="G507" s="22">
        <v>12.48</v>
      </c>
      <c r="H507" s="21">
        <f>ROUND(G507*E507,0)</f>
        <v>164439</v>
      </c>
      <c r="I507" s="21">
        <f>H507-F507</f>
        <v>0</v>
      </c>
      <c r="J507" s="23"/>
      <c r="K507" s="24" t="s">
        <v>974</v>
      </c>
      <c r="L507" s="25">
        <v>12.48</v>
      </c>
    </row>
    <row r="508" spans="1:12" s="26" customFormat="1" x14ac:dyDescent="0.25">
      <c r="A508" s="27" t="s">
        <v>36</v>
      </c>
      <c r="B508" s="33" t="s">
        <v>350</v>
      </c>
      <c r="C508" s="29"/>
      <c r="D508" s="30"/>
      <c r="E508" s="30"/>
      <c r="F508" s="31">
        <v>12629470</v>
      </c>
      <c r="G508" s="30"/>
      <c r="H508" s="29"/>
      <c r="I508" s="29"/>
      <c r="J508" s="30"/>
      <c r="K508" s="32" t="s">
        <v>975</v>
      </c>
      <c r="L508" s="29"/>
    </row>
    <row r="509" spans="1:12" x14ac:dyDescent="0.25">
      <c r="A509" s="16" t="s">
        <v>269</v>
      </c>
      <c r="B509" s="34" t="s">
        <v>258</v>
      </c>
      <c r="C509" s="18">
        <v>24.3</v>
      </c>
      <c r="D509" s="19" t="s">
        <v>23</v>
      </c>
      <c r="E509" s="20">
        <v>246976.42</v>
      </c>
      <c r="F509" s="21">
        <v>6001527</v>
      </c>
      <c r="G509" s="22">
        <v>24.3</v>
      </c>
      <c r="H509" s="21">
        <f>ROUND(G509*E509,0)</f>
        <v>6001527</v>
      </c>
      <c r="I509" s="21">
        <f>H509-F509</f>
        <v>0</v>
      </c>
      <c r="J509" s="23"/>
      <c r="K509" s="24" t="s">
        <v>976</v>
      </c>
      <c r="L509" s="25">
        <v>24.3</v>
      </c>
    </row>
    <row r="510" spans="1:12" x14ac:dyDescent="0.25">
      <c r="A510" s="16" t="s">
        <v>272</v>
      </c>
      <c r="B510" s="34" t="s">
        <v>353</v>
      </c>
      <c r="C510" s="18">
        <v>124.84</v>
      </c>
      <c r="D510" s="19" t="s">
        <v>229</v>
      </c>
      <c r="E510" s="20">
        <v>13176.23</v>
      </c>
      <c r="F510" s="21">
        <v>1644920</v>
      </c>
      <c r="G510" s="22">
        <v>124.84</v>
      </c>
      <c r="H510" s="21">
        <f>ROUND(G510*E510,0)</f>
        <v>1644920</v>
      </c>
      <c r="I510" s="21">
        <f>H510-F510</f>
        <v>0</v>
      </c>
      <c r="J510" s="23"/>
      <c r="K510" s="24" t="s">
        <v>977</v>
      </c>
      <c r="L510" s="25">
        <v>124.84</v>
      </c>
    </row>
    <row r="511" spans="1:12" x14ac:dyDescent="0.25">
      <c r="A511" s="16" t="s">
        <v>275</v>
      </c>
      <c r="B511" s="34" t="s">
        <v>355</v>
      </c>
      <c r="C511" s="18">
        <v>112.5</v>
      </c>
      <c r="D511" s="19" t="s">
        <v>229</v>
      </c>
      <c r="E511" s="20">
        <v>13176.23</v>
      </c>
      <c r="F511" s="21">
        <v>1482326</v>
      </c>
      <c r="G511" s="22">
        <v>112.5</v>
      </c>
      <c r="H511" s="21">
        <f>ROUND(G511*E511,0)</f>
        <v>1482326</v>
      </c>
      <c r="I511" s="21">
        <f>H511-F511</f>
        <v>0</v>
      </c>
      <c r="J511" s="23"/>
      <c r="K511" s="24" t="s">
        <v>978</v>
      </c>
      <c r="L511" s="25">
        <v>112.5</v>
      </c>
    </row>
    <row r="512" spans="1:12" x14ac:dyDescent="0.25">
      <c r="A512" s="16" t="s">
        <v>277</v>
      </c>
      <c r="B512" s="34" t="s">
        <v>334</v>
      </c>
      <c r="C512" s="18">
        <v>3.04</v>
      </c>
      <c r="D512" s="19" t="s">
        <v>214</v>
      </c>
      <c r="E512" s="20">
        <v>1151545.01</v>
      </c>
      <c r="F512" s="21">
        <v>3500697</v>
      </c>
      <c r="G512" s="22">
        <v>3.04</v>
      </c>
      <c r="H512" s="21">
        <f>ROUND(G512*E512,0)</f>
        <v>3500697</v>
      </c>
      <c r="I512" s="21">
        <f>H512-F512</f>
        <v>0</v>
      </c>
      <c r="J512" s="23"/>
      <c r="K512" s="24" t="s">
        <v>979</v>
      </c>
      <c r="L512" s="25">
        <v>3.04</v>
      </c>
    </row>
    <row r="513" spans="1:12" s="26" customFormat="1" x14ac:dyDescent="0.25">
      <c r="A513" s="27" t="s">
        <v>40</v>
      </c>
      <c r="B513" s="33" t="s">
        <v>369</v>
      </c>
      <c r="C513" s="29"/>
      <c r="D513" s="30"/>
      <c r="E513" s="30"/>
      <c r="F513" s="31">
        <v>3800317</v>
      </c>
      <c r="G513" s="30"/>
      <c r="H513" s="29"/>
      <c r="I513" s="29"/>
      <c r="J513" s="30"/>
      <c r="K513" s="32" t="s">
        <v>980</v>
      </c>
      <c r="L513" s="29"/>
    </row>
    <row r="514" spans="1:12" x14ac:dyDescent="0.25">
      <c r="A514" s="16" t="s">
        <v>281</v>
      </c>
      <c r="B514" s="34" t="s">
        <v>371</v>
      </c>
      <c r="C514" s="18">
        <v>9.6</v>
      </c>
      <c r="D514" s="19" t="s">
        <v>23</v>
      </c>
      <c r="E514" s="20">
        <v>208190.98</v>
      </c>
      <c r="F514" s="21">
        <v>1998634</v>
      </c>
      <c r="G514" s="22">
        <v>9.6</v>
      </c>
      <c r="H514" s="21">
        <f>ROUND(G514*E514,0)</f>
        <v>1998634</v>
      </c>
      <c r="I514" s="21">
        <f>H514-F514</f>
        <v>0</v>
      </c>
      <c r="J514" s="23"/>
      <c r="K514" s="24" t="s">
        <v>981</v>
      </c>
      <c r="L514" s="25">
        <v>9.6</v>
      </c>
    </row>
    <row r="515" spans="1:12" x14ac:dyDescent="0.25">
      <c r="A515" s="16" t="s">
        <v>284</v>
      </c>
      <c r="B515" s="34" t="s">
        <v>373</v>
      </c>
      <c r="C515" s="18">
        <v>62.14</v>
      </c>
      <c r="D515" s="19" t="s">
        <v>229</v>
      </c>
      <c r="E515" s="20">
        <v>13176.23</v>
      </c>
      <c r="F515" s="21">
        <v>818771</v>
      </c>
      <c r="G515" s="22">
        <v>62.14</v>
      </c>
      <c r="H515" s="21">
        <f>ROUND(G515*E515,0)</f>
        <v>818771</v>
      </c>
      <c r="I515" s="21">
        <f>H515-F515</f>
        <v>0</v>
      </c>
      <c r="J515" s="23"/>
      <c r="K515" s="24" t="s">
        <v>982</v>
      </c>
      <c r="L515" s="25">
        <v>62.14</v>
      </c>
    </row>
    <row r="516" spans="1:12" x14ac:dyDescent="0.25">
      <c r="A516" s="16" t="s">
        <v>286</v>
      </c>
      <c r="B516" s="34" t="s">
        <v>375</v>
      </c>
      <c r="C516" s="18">
        <v>22.16</v>
      </c>
      <c r="D516" s="19" t="s">
        <v>229</v>
      </c>
      <c r="E516" s="20">
        <v>13176.23</v>
      </c>
      <c r="F516" s="21">
        <v>291985</v>
      </c>
      <c r="G516" s="22">
        <v>22.16</v>
      </c>
      <c r="H516" s="21">
        <f>ROUND(G516*E516,0)</f>
        <v>291985</v>
      </c>
      <c r="I516" s="21">
        <f>H516-F516</f>
        <v>0</v>
      </c>
      <c r="J516" s="23"/>
      <c r="K516" s="24" t="s">
        <v>983</v>
      </c>
      <c r="L516" s="25">
        <v>22.16</v>
      </c>
    </row>
    <row r="517" spans="1:12" x14ac:dyDescent="0.25">
      <c r="A517" s="16" t="s">
        <v>288</v>
      </c>
      <c r="B517" s="34" t="s">
        <v>377</v>
      </c>
      <c r="C517" s="18">
        <v>0.6</v>
      </c>
      <c r="D517" s="19" t="s">
        <v>214</v>
      </c>
      <c r="E517" s="20">
        <v>1151545.01</v>
      </c>
      <c r="F517" s="21">
        <v>690927</v>
      </c>
      <c r="G517" s="22">
        <v>0.6</v>
      </c>
      <c r="H517" s="21">
        <f>ROUND(G517*E517,0)</f>
        <v>690927</v>
      </c>
      <c r="I517" s="21">
        <f>H517-F517</f>
        <v>0</v>
      </c>
      <c r="J517" s="23"/>
      <c r="K517" s="24" t="s">
        <v>984</v>
      </c>
      <c r="L517" s="25">
        <v>0.6</v>
      </c>
    </row>
    <row r="518" spans="1:12" s="26" customFormat="1" x14ac:dyDescent="0.25">
      <c r="A518" s="27" t="s">
        <v>140</v>
      </c>
      <c r="B518" s="33" t="s">
        <v>379</v>
      </c>
      <c r="C518" s="29"/>
      <c r="D518" s="30"/>
      <c r="E518" s="30"/>
      <c r="F518" s="31">
        <v>14856894</v>
      </c>
      <c r="G518" s="30"/>
      <c r="H518" s="29"/>
      <c r="I518" s="29"/>
      <c r="J518" s="30"/>
      <c r="K518" s="32" t="s">
        <v>985</v>
      </c>
      <c r="L518" s="29"/>
    </row>
    <row r="519" spans="1:12" x14ac:dyDescent="0.25">
      <c r="A519" s="16" t="s">
        <v>301</v>
      </c>
      <c r="B519" s="34" t="s">
        <v>371</v>
      </c>
      <c r="C519" s="18">
        <v>40.2</v>
      </c>
      <c r="D519" s="19" t="s">
        <v>23</v>
      </c>
      <c r="E519" s="20">
        <v>200000</v>
      </c>
      <c r="F519" s="21">
        <v>8040000</v>
      </c>
      <c r="G519" s="22">
        <v>40.2</v>
      </c>
      <c r="H519" s="21">
        <f>ROUND(G519*E519,0)</f>
        <v>8040000</v>
      </c>
      <c r="I519" s="21">
        <f>H519-F519</f>
        <v>0</v>
      </c>
      <c r="J519" s="23"/>
      <c r="K519" s="24" t="s">
        <v>986</v>
      </c>
      <c r="L519" s="25">
        <v>30.2</v>
      </c>
    </row>
    <row r="520" spans="1:12" x14ac:dyDescent="0.25">
      <c r="A520" s="16" t="s">
        <v>304</v>
      </c>
      <c r="B520" s="34" t="s">
        <v>373</v>
      </c>
      <c r="C520" s="18">
        <v>213.06</v>
      </c>
      <c r="D520" s="19" t="s">
        <v>229</v>
      </c>
      <c r="E520" s="20">
        <v>13176.23</v>
      </c>
      <c r="F520" s="21">
        <v>2807327</v>
      </c>
      <c r="G520" s="22">
        <v>213.06</v>
      </c>
      <c r="H520" s="21">
        <f>ROUND(G520*E520,0)</f>
        <v>2807327</v>
      </c>
      <c r="I520" s="21">
        <f>H520-F520</f>
        <v>0</v>
      </c>
      <c r="J520" s="23"/>
      <c r="K520" s="24" t="s">
        <v>987</v>
      </c>
      <c r="L520" s="25">
        <v>213.06</v>
      </c>
    </row>
    <row r="521" spans="1:12" x14ac:dyDescent="0.25">
      <c r="A521" s="16" t="s">
        <v>307</v>
      </c>
      <c r="B521" s="34" t="s">
        <v>375</v>
      </c>
      <c r="C521" s="18">
        <v>84.94</v>
      </c>
      <c r="D521" s="19" t="s">
        <v>229</v>
      </c>
      <c r="E521" s="20">
        <v>13176.23</v>
      </c>
      <c r="F521" s="21">
        <v>1119189</v>
      </c>
      <c r="G521" s="22">
        <v>84.94</v>
      </c>
      <c r="H521" s="21">
        <f>ROUND(G521*E521,0)</f>
        <v>1119189</v>
      </c>
      <c r="I521" s="21">
        <f>H521-F521</f>
        <v>0</v>
      </c>
      <c r="J521" s="23"/>
      <c r="K521" s="24" t="s">
        <v>988</v>
      </c>
      <c r="L521" s="25">
        <v>84.94</v>
      </c>
    </row>
    <row r="522" spans="1:12" x14ac:dyDescent="0.25">
      <c r="A522" s="16" t="s">
        <v>310</v>
      </c>
      <c r="B522" s="34" t="s">
        <v>377</v>
      </c>
      <c r="C522" s="18">
        <v>2.51</v>
      </c>
      <c r="D522" s="19" t="s">
        <v>214</v>
      </c>
      <c r="E522" s="20">
        <v>1151545.01</v>
      </c>
      <c r="F522" s="21">
        <v>2890378</v>
      </c>
      <c r="G522" s="22">
        <v>2.51</v>
      </c>
      <c r="H522" s="21">
        <f>ROUND(G522*E522,0)</f>
        <v>2890378</v>
      </c>
      <c r="I522" s="21">
        <f>H522-F522</f>
        <v>0</v>
      </c>
      <c r="J522" s="23"/>
      <c r="K522" s="24" t="s">
        <v>989</v>
      </c>
      <c r="L522" s="25">
        <v>2</v>
      </c>
    </row>
    <row r="523" spans="1:12" s="26" customFormat="1" x14ac:dyDescent="0.25">
      <c r="A523" s="27" t="s">
        <v>143</v>
      </c>
      <c r="B523" s="33" t="s">
        <v>741</v>
      </c>
      <c r="C523" s="29"/>
      <c r="D523" s="30"/>
      <c r="E523" s="30"/>
      <c r="F523" s="31">
        <v>1555425</v>
      </c>
      <c r="G523" s="30"/>
      <c r="H523" s="29"/>
      <c r="I523" s="29"/>
      <c r="J523" s="30"/>
      <c r="K523" s="32" t="s">
        <v>990</v>
      </c>
      <c r="L523" s="29"/>
    </row>
    <row r="524" spans="1:12" x14ac:dyDescent="0.25">
      <c r="A524" s="16" t="s">
        <v>381</v>
      </c>
      <c r="B524" s="34" t="s">
        <v>736</v>
      </c>
      <c r="C524" s="18">
        <v>3.35</v>
      </c>
      <c r="D524" s="19" t="s">
        <v>23</v>
      </c>
      <c r="E524" s="20">
        <v>208190.98</v>
      </c>
      <c r="F524" s="21">
        <v>697439</v>
      </c>
      <c r="G524" s="22">
        <v>3.35</v>
      </c>
      <c r="H524" s="21">
        <f>ROUND(G524*E524,0)</f>
        <v>697439</v>
      </c>
      <c r="I524" s="21">
        <f>H524-F524</f>
        <v>0</v>
      </c>
      <c r="J524" s="23"/>
      <c r="K524" s="24" t="s">
        <v>991</v>
      </c>
      <c r="L524" s="35">
        <v>0</v>
      </c>
    </row>
    <row r="525" spans="1:12" x14ac:dyDescent="0.25">
      <c r="A525" s="16" t="s">
        <v>383</v>
      </c>
      <c r="B525" s="34" t="s">
        <v>409</v>
      </c>
      <c r="C525" s="18">
        <v>17.76</v>
      </c>
      <c r="D525" s="19" t="s">
        <v>229</v>
      </c>
      <c r="E525" s="20">
        <v>13176.23</v>
      </c>
      <c r="F525" s="21">
        <v>234010</v>
      </c>
      <c r="G525" s="22">
        <v>17.76</v>
      </c>
      <c r="H525" s="21">
        <f>ROUND(G525*E525,0)</f>
        <v>234010</v>
      </c>
      <c r="I525" s="21">
        <f>H525-F525</f>
        <v>0</v>
      </c>
      <c r="J525" s="23"/>
      <c r="K525" s="24" t="s">
        <v>992</v>
      </c>
      <c r="L525" s="35">
        <v>0</v>
      </c>
    </row>
    <row r="526" spans="1:12" x14ac:dyDescent="0.25">
      <c r="A526" s="16" t="s">
        <v>385</v>
      </c>
      <c r="B526" s="34" t="s">
        <v>355</v>
      </c>
      <c r="C526" s="18">
        <v>10.65</v>
      </c>
      <c r="D526" s="19" t="s">
        <v>229</v>
      </c>
      <c r="E526" s="20">
        <v>13176.23</v>
      </c>
      <c r="F526" s="21">
        <v>140327</v>
      </c>
      <c r="G526" s="22">
        <v>10.65</v>
      </c>
      <c r="H526" s="21">
        <f>ROUND(G526*E526,0)</f>
        <v>140327</v>
      </c>
      <c r="I526" s="21">
        <f>H526-F526</f>
        <v>0</v>
      </c>
      <c r="J526" s="23"/>
      <c r="K526" s="24" t="s">
        <v>993</v>
      </c>
      <c r="L526" s="35">
        <v>0</v>
      </c>
    </row>
    <row r="527" spans="1:12" x14ac:dyDescent="0.25">
      <c r="A527" s="16" t="s">
        <v>387</v>
      </c>
      <c r="B527" s="34" t="s">
        <v>377</v>
      </c>
      <c r="C527" s="18">
        <v>0.42</v>
      </c>
      <c r="D527" s="19" t="s">
        <v>214</v>
      </c>
      <c r="E527" s="20">
        <v>1151545.01</v>
      </c>
      <c r="F527" s="21">
        <v>483649</v>
      </c>
      <c r="G527" s="22">
        <v>0.42</v>
      </c>
      <c r="H527" s="21">
        <f>ROUND(G527*E527,0)</f>
        <v>483649</v>
      </c>
      <c r="I527" s="21">
        <f>H527-F527</f>
        <v>0</v>
      </c>
      <c r="J527" s="23"/>
      <c r="K527" s="24" t="s">
        <v>994</v>
      </c>
      <c r="L527" s="35">
        <v>0</v>
      </c>
    </row>
    <row r="528" spans="1:12" s="26" customFormat="1" x14ac:dyDescent="0.25">
      <c r="A528" s="27" t="s">
        <v>146</v>
      </c>
      <c r="B528" s="33" t="s">
        <v>389</v>
      </c>
      <c r="C528" s="29"/>
      <c r="D528" s="30"/>
      <c r="E528" s="30"/>
      <c r="F528" s="31">
        <v>8430091</v>
      </c>
      <c r="G528" s="30"/>
      <c r="H528" s="29"/>
      <c r="I528" s="29"/>
      <c r="J528" s="30"/>
      <c r="K528" s="32" t="s">
        <v>995</v>
      </c>
      <c r="L528" s="29"/>
    </row>
    <row r="529" spans="1:12" x14ac:dyDescent="0.25">
      <c r="A529" s="16" t="s">
        <v>391</v>
      </c>
      <c r="B529" s="34" t="s">
        <v>748</v>
      </c>
      <c r="C529" s="18">
        <v>21.6</v>
      </c>
      <c r="D529" s="19" t="s">
        <v>23</v>
      </c>
      <c r="E529" s="20">
        <v>214925.5</v>
      </c>
      <c r="F529" s="21">
        <v>4642391</v>
      </c>
      <c r="G529" s="22">
        <v>21.6</v>
      </c>
      <c r="H529" s="21">
        <f>ROUND(G529*E529,0)</f>
        <v>4642391</v>
      </c>
      <c r="I529" s="21">
        <f>H529-F529</f>
        <v>0</v>
      </c>
      <c r="J529" s="23"/>
      <c r="K529" s="24" t="s">
        <v>996</v>
      </c>
      <c r="L529" s="35">
        <v>0</v>
      </c>
    </row>
    <row r="530" spans="1:12" x14ac:dyDescent="0.25">
      <c r="A530" s="16" t="s">
        <v>394</v>
      </c>
      <c r="B530" s="34" t="s">
        <v>353</v>
      </c>
      <c r="C530" s="18">
        <v>73.98</v>
      </c>
      <c r="D530" s="19" t="s">
        <v>229</v>
      </c>
      <c r="E530" s="20">
        <v>13176.23</v>
      </c>
      <c r="F530" s="21">
        <v>974777</v>
      </c>
      <c r="G530" s="22">
        <v>73.98</v>
      </c>
      <c r="H530" s="21">
        <f>ROUND(G530*E530,0)</f>
        <v>974777</v>
      </c>
      <c r="I530" s="21">
        <f>H530-F530</f>
        <v>0</v>
      </c>
      <c r="J530" s="23"/>
      <c r="K530" s="24" t="s">
        <v>997</v>
      </c>
      <c r="L530" s="35">
        <v>0</v>
      </c>
    </row>
    <row r="531" spans="1:12" x14ac:dyDescent="0.25">
      <c r="A531" s="16" t="s">
        <v>396</v>
      </c>
      <c r="B531" s="34" t="s">
        <v>355</v>
      </c>
      <c r="C531" s="18">
        <v>66.66</v>
      </c>
      <c r="D531" s="19" t="s">
        <v>229</v>
      </c>
      <c r="E531" s="20">
        <v>13176.23</v>
      </c>
      <c r="F531" s="21">
        <v>878327</v>
      </c>
      <c r="G531" s="22">
        <v>66.66</v>
      </c>
      <c r="H531" s="21">
        <f>ROUND(G531*E531,0)</f>
        <v>878327</v>
      </c>
      <c r="I531" s="21">
        <f>H531-F531</f>
        <v>0</v>
      </c>
      <c r="J531" s="23"/>
      <c r="K531" s="24" t="s">
        <v>998</v>
      </c>
      <c r="L531" s="35">
        <v>0</v>
      </c>
    </row>
    <row r="532" spans="1:12" x14ac:dyDescent="0.25">
      <c r="A532" s="16" t="s">
        <v>398</v>
      </c>
      <c r="B532" s="34" t="s">
        <v>999</v>
      </c>
      <c r="C532" s="18">
        <v>1.68</v>
      </c>
      <c r="D532" s="19" t="s">
        <v>214</v>
      </c>
      <c r="E532" s="20">
        <v>1151545.01</v>
      </c>
      <c r="F532" s="21">
        <v>1934596</v>
      </c>
      <c r="G532" s="22">
        <v>1.68</v>
      </c>
      <c r="H532" s="21">
        <f>ROUND(G532*E532,0)</f>
        <v>1934596</v>
      </c>
      <c r="I532" s="21">
        <f>H532-F532</f>
        <v>0</v>
      </c>
      <c r="J532" s="23"/>
      <c r="K532" s="24" t="s">
        <v>1000</v>
      </c>
      <c r="L532" s="35">
        <v>0</v>
      </c>
    </row>
    <row r="533" spans="1:12" s="26" customFormat="1" x14ac:dyDescent="0.25">
      <c r="A533" s="27" t="s">
        <v>150</v>
      </c>
      <c r="B533" s="33" t="s">
        <v>400</v>
      </c>
      <c r="C533" s="29"/>
      <c r="D533" s="30"/>
      <c r="E533" s="30"/>
      <c r="F533" s="31">
        <v>5801446</v>
      </c>
      <c r="G533" s="30"/>
      <c r="H533" s="29"/>
      <c r="I533" s="29"/>
      <c r="J533" s="30"/>
      <c r="K533" s="32" t="s">
        <v>1001</v>
      </c>
      <c r="L533" s="29"/>
    </row>
    <row r="534" spans="1:12" x14ac:dyDescent="0.25">
      <c r="A534" s="16" t="s">
        <v>153</v>
      </c>
      <c r="B534" s="34" t="s">
        <v>748</v>
      </c>
      <c r="C534" s="18">
        <v>14.85</v>
      </c>
      <c r="D534" s="19" t="s">
        <v>23</v>
      </c>
      <c r="E534" s="20">
        <v>214925.5</v>
      </c>
      <c r="F534" s="21">
        <v>3191644</v>
      </c>
      <c r="G534" s="22">
        <v>14.85</v>
      </c>
      <c r="H534" s="21">
        <f>ROUND(G534*E534,0)</f>
        <v>3191644</v>
      </c>
      <c r="I534" s="21">
        <f>H534-F534</f>
        <v>0</v>
      </c>
      <c r="J534" s="23"/>
      <c r="K534" s="24" t="s">
        <v>1002</v>
      </c>
      <c r="L534" s="35">
        <v>0</v>
      </c>
    </row>
    <row r="535" spans="1:12" x14ac:dyDescent="0.25">
      <c r="A535" s="16" t="s">
        <v>157</v>
      </c>
      <c r="B535" s="34" t="s">
        <v>353</v>
      </c>
      <c r="C535" s="18">
        <v>50.86</v>
      </c>
      <c r="D535" s="19" t="s">
        <v>229</v>
      </c>
      <c r="E535" s="20">
        <v>13176.23</v>
      </c>
      <c r="F535" s="21">
        <v>670143</v>
      </c>
      <c r="G535" s="22">
        <v>50.86</v>
      </c>
      <c r="H535" s="21">
        <f>ROUND(G535*E535,0)</f>
        <v>670143</v>
      </c>
      <c r="I535" s="21">
        <f>H535-F535</f>
        <v>0</v>
      </c>
      <c r="J535" s="23"/>
      <c r="K535" s="24" t="s">
        <v>1003</v>
      </c>
      <c r="L535" s="35">
        <v>0</v>
      </c>
    </row>
    <row r="536" spans="1:12" x14ac:dyDescent="0.25">
      <c r="A536" s="16" t="s">
        <v>160</v>
      </c>
      <c r="B536" s="34" t="s">
        <v>355</v>
      </c>
      <c r="C536" s="18">
        <v>45.83</v>
      </c>
      <c r="D536" s="19" t="s">
        <v>229</v>
      </c>
      <c r="E536" s="20">
        <v>13176.23</v>
      </c>
      <c r="F536" s="21">
        <v>603867</v>
      </c>
      <c r="G536" s="22">
        <v>45.83</v>
      </c>
      <c r="H536" s="21">
        <f>ROUND(G536*E536,0)</f>
        <v>603867</v>
      </c>
      <c r="I536" s="21">
        <f>H536-F536</f>
        <v>0</v>
      </c>
      <c r="J536" s="23"/>
      <c r="K536" s="24" t="s">
        <v>1004</v>
      </c>
      <c r="L536" s="35">
        <v>0</v>
      </c>
    </row>
    <row r="537" spans="1:12" x14ac:dyDescent="0.25">
      <c r="A537" s="16" t="s">
        <v>163</v>
      </c>
      <c r="B537" s="34" t="s">
        <v>999</v>
      </c>
      <c r="C537" s="18">
        <v>1.16</v>
      </c>
      <c r="D537" s="19" t="s">
        <v>214</v>
      </c>
      <c r="E537" s="20">
        <v>1151545.01</v>
      </c>
      <c r="F537" s="21">
        <v>1335792</v>
      </c>
      <c r="G537" s="22">
        <v>1.16</v>
      </c>
      <c r="H537" s="21">
        <f>ROUND(G537*E537,0)</f>
        <v>1335792</v>
      </c>
      <c r="I537" s="21">
        <f>H537-F537</f>
        <v>0</v>
      </c>
      <c r="J537" s="23"/>
      <c r="K537" s="24" t="s">
        <v>1005</v>
      </c>
      <c r="L537" s="35">
        <v>0</v>
      </c>
    </row>
    <row r="538" spans="1:12" s="26" customFormat="1" x14ac:dyDescent="0.25">
      <c r="A538" s="27" t="s">
        <v>175</v>
      </c>
      <c r="B538" s="33" t="s">
        <v>406</v>
      </c>
      <c r="C538" s="29"/>
      <c r="D538" s="30"/>
      <c r="E538" s="30"/>
      <c r="F538" s="31">
        <v>3172260</v>
      </c>
      <c r="G538" s="30"/>
      <c r="H538" s="29"/>
      <c r="I538" s="29"/>
      <c r="J538" s="30"/>
      <c r="K538" s="32" t="s">
        <v>1006</v>
      </c>
      <c r="L538" s="29"/>
    </row>
    <row r="539" spans="1:12" x14ac:dyDescent="0.25">
      <c r="A539" s="16" t="s">
        <v>178</v>
      </c>
      <c r="B539" s="34" t="s">
        <v>748</v>
      </c>
      <c r="C539" s="18">
        <v>8.1</v>
      </c>
      <c r="D539" s="19" t="s">
        <v>23</v>
      </c>
      <c r="E539" s="20">
        <v>214925.5</v>
      </c>
      <c r="F539" s="21">
        <v>1740897</v>
      </c>
      <c r="G539" s="22">
        <v>8.1</v>
      </c>
      <c r="H539" s="21">
        <f>ROUND(G539*E539,0)</f>
        <v>1740897</v>
      </c>
      <c r="I539" s="21">
        <f>H539-F539</f>
        <v>0</v>
      </c>
      <c r="J539" s="23"/>
      <c r="K539" s="24" t="s">
        <v>1007</v>
      </c>
      <c r="L539" s="35">
        <v>0</v>
      </c>
    </row>
    <row r="540" spans="1:12" x14ac:dyDescent="0.25">
      <c r="A540" s="16" t="s">
        <v>181</v>
      </c>
      <c r="B540" s="34" t="s">
        <v>353</v>
      </c>
      <c r="C540" s="18">
        <v>44.39</v>
      </c>
      <c r="D540" s="19" t="s">
        <v>229</v>
      </c>
      <c r="E540" s="20">
        <v>13176.23</v>
      </c>
      <c r="F540" s="21">
        <v>584893</v>
      </c>
      <c r="G540" s="22">
        <v>44.39</v>
      </c>
      <c r="H540" s="21">
        <f>ROUND(G540*E540,0)</f>
        <v>584893</v>
      </c>
      <c r="I540" s="21">
        <f>H540-F540</f>
        <v>0</v>
      </c>
      <c r="J540" s="23"/>
      <c r="K540" s="24" t="s">
        <v>1008</v>
      </c>
      <c r="L540" s="35">
        <v>0</v>
      </c>
    </row>
    <row r="541" spans="1:12" x14ac:dyDescent="0.25">
      <c r="A541" s="16" t="s">
        <v>411</v>
      </c>
      <c r="B541" s="34" t="s">
        <v>355</v>
      </c>
      <c r="C541" s="18">
        <v>28.41</v>
      </c>
      <c r="D541" s="19" t="s">
        <v>229</v>
      </c>
      <c r="E541" s="20">
        <v>13176.23</v>
      </c>
      <c r="F541" s="21">
        <v>374337</v>
      </c>
      <c r="G541" s="22">
        <v>28.41</v>
      </c>
      <c r="H541" s="21">
        <f>ROUND(G541*E541,0)</f>
        <v>374337</v>
      </c>
      <c r="I541" s="21">
        <f>H541-F541</f>
        <v>0</v>
      </c>
      <c r="J541" s="23"/>
      <c r="K541" s="24" t="s">
        <v>1009</v>
      </c>
      <c r="L541" s="35">
        <v>0</v>
      </c>
    </row>
    <row r="542" spans="1:12" x14ac:dyDescent="0.25">
      <c r="A542" s="16" t="s">
        <v>413</v>
      </c>
      <c r="B542" s="34" t="s">
        <v>999</v>
      </c>
      <c r="C542" s="18">
        <v>0.41</v>
      </c>
      <c r="D542" s="19" t="s">
        <v>214</v>
      </c>
      <c r="E542" s="20">
        <v>1151545.01</v>
      </c>
      <c r="F542" s="21">
        <v>472133</v>
      </c>
      <c r="G542" s="22">
        <v>0.41</v>
      </c>
      <c r="H542" s="21">
        <f>ROUND(G542*E542,0)</f>
        <v>472133</v>
      </c>
      <c r="I542" s="21">
        <f>H542-F542</f>
        <v>0</v>
      </c>
      <c r="J542" s="23"/>
      <c r="K542" s="24" t="s">
        <v>1010</v>
      </c>
      <c r="L542" s="35">
        <v>0</v>
      </c>
    </row>
    <row r="543" spans="1:12" s="26" customFormat="1" x14ac:dyDescent="0.25">
      <c r="A543" s="27" t="s">
        <v>184</v>
      </c>
      <c r="B543" s="33" t="s">
        <v>358</v>
      </c>
      <c r="C543" s="29"/>
      <c r="D543" s="30"/>
      <c r="E543" s="30"/>
      <c r="F543" s="31">
        <v>3332875</v>
      </c>
      <c r="G543" s="30"/>
      <c r="H543" s="29"/>
      <c r="I543" s="29"/>
      <c r="J543" s="30"/>
      <c r="K543" s="32" t="s">
        <v>1011</v>
      </c>
      <c r="L543" s="29"/>
    </row>
    <row r="544" spans="1:12" x14ac:dyDescent="0.25">
      <c r="A544" s="16" t="s">
        <v>187</v>
      </c>
      <c r="B544" s="34" t="s">
        <v>360</v>
      </c>
      <c r="C544" s="18">
        <v>4.95</v>
      </c>
      <c r="D544" s="19" t="s">
        <v>214</v>
      </c>
      <c r="E544" s="20">
        <v>124258.76</v>
      </c>
      <c r="F544" s="21">
        <v>615081</v>
      </c>
      <c r="G544" s="22">
        <v>4.95</v>
      </c>
      <c r="H544" s="21">
        <f>ROUND(G544*E544,0)</f>
        <v>615081</v>
      </c>
      <c r="I544" s="21">
        <f>H544-F544</f>
        <v>0</v>
      </c>
      <c r="J544" s="23"/>
      <c r="K544" s="24" t="s">
        <v>1012</v>
      </c>
      <c r="L544" s="35">
        <v>0</v>
      </c>
    </row>
    <row r="545" spans="1:12" x14ac:dyDescent="0.25">
      <c r="A545" s="16" t="s">
        <v>190</v>
      </c>
      <c r="B545" s="34" t="s">
        <v>362</v>
      </c>
      <c r="C545" s="18">
        <v>4.95</v>
      </c>
      <c r="D545" s="19" t="s">
        <v>214</v>
      </c>
      <c r="E545" s="20">
        <v>53756.99</v>
      </c>
      <c r="F545" s="21">
        <v>266097</v>
      </c>
      <c r="G545" s="22">
        <v>4.95</v>
      </c>
      <c r="H545" s="21">
        <f>ROUND(G545*E545,0)</f>
        <v>266097</v>
      </c>
      <c r="I545" s="21">
        <f>H545-F545</f>
        <v>0</v>
      </c>
      <c r="J545" s="23"/>
      <c r="K545" s="24" t="s">
        <v>1013</v>
      </c>
      <c r="L545" s="35">
        <v>0</v>
      </c>
    </row>
    <row r="546" spans="1:12" x14ac:dyDescent="0.25">
      <c r="A546" s="16" t="s">
        <v>826</v>
      </c>
      <c r="B546" s="34" t="s">
        <v>364</v>
      </c>
      <c r="C546" s="18">
        <v>1.8</v>
      </c>
      <c r="D546" s="19" t="s">
        <v>214</v>
      </c>
      <c r="E546" s="20">
        <v>345522.98</v>
      </c>
      <c r="F546" s="21">
        <v>621941</v>
      </c>
      <c r="G546" s="22">
        <v>1.8</v>
      </c>
      <c r="H546" s="21">
        <f>ROUND(G546*E546,0)</f>
        <v>621941</v>
      </c>
      <c r="I546" s="21">
        <f>H546-F546</f>
        <v>0</v>
      </c>
      <c r="J546" s="23"/>
      <c r="K546" s="24" t="s">
        <v>1014</v>
      </c>
      <c r="L546" s="35">
        <v>0</v>
      </c>
    </row>
    <row r="547" spans="1:12" x14ac:dyDescent="0.25">
      <c r="A547" s="16" t="s">
        <v>829</v>
      </c>
      <c r="B547" s="34" t="s">
        <v>640</v>
      </c>
      <c r="C547" s="18">
        <v>1.8</v>
      </c>
      <c r="D547" s="19" t="s">
        <v>214</v>
      </c>
      <c r="E547" s="20">
        <v>1016530.97</v>
      </c>
      <c r="F547" s="21">
        <v>1829756</v>
      </c>
      <c r="G547" s="22">
        <v>1.8</v>
      </c>
      <c r="H547" s="21">
        <f>ROUND(G547*E547,0)</f>
        <v>1829756</v>
      </c>
      <c r="I547" s="21">
        <f>H547-F547</f>
        <v>0</v>
      </c>
      <c r="J547" s="23"/>
      <c r="K547" s="24" t="s">
        <v>1015</v>
      </c>
      <c r="L547" s="35">
        <v>0</v>
      </c>
    </row>
    <row r="548" spans="1:12" s="26" customFormat="1" x14ac:dyDescent="0.25">
      <c r="A548" s="27" t="s">
        <v>193</v>
      </c>
      <c r="B548" s="33" t="s">
        <v>1016</v>
      </c>
      <c r="C548" s="29"/>
      <c r="D548" s="30"/>
      <c r="E548" s="30"/>
      <c r="F548" s="31">
        <v>3947120</v>
      </c>
      <c r="G548" s="30"/>
      <c r="H548" s="29"/>
      <c r="I548" s="29"/>
      <c r="J548" s="30"/>
      <c r="K548" s="32" t="s">
        <v>1017</v>
      </c>
      <c r="L548" s="29"/>
    </row>
    <row r="549" spans="1:12" x14ac:dyDescent="0.25">
      <c r="A549" s="16" t="s">
        <v>196</v>
      </c>
      <c r="B549" s="34" t="s">
        <v>456</v>
      </c>
      <c r="C549" s="18">
        <v>0.77</v>
      </c>
      <c r="D549" s="19" t="s">
        <v>214</v>
      </c>
      <c r="E549" s="20">
        <v>56660.36</v>
      </c>
      <c r="F549" s="21">
        <v>43629</v>
      </c>
      <c r="G549" s="22">
        <v>0.77</v>
      </c>
      <c r="H549" s="21">
        <f>ROUND(G549*E549,0)</f>
        <v>43629</v>
      </c>
      <c r="I549" s="21">
        <f>H549-F549</f>
        <v>0</v>
      </c>
      <c r="J549" s="23"/>
      <c r="K549" s="24" t="s">
        <v>1018</v>
      </c>
      <c r="L549" s="35">
        <v>0</v>
      </c>
    </row>
    <row r="550" spans="1:12" x14ac:dyDescent="0.25">
      <c r="A550" s="16" t="s">
        <v>199</v>
      </c>
      <c r="B550" s="34" t="s">
        <v>458</v>
      </c>
      <c r="C550" s="18">
        <v>11.2</v>
      </c>
      <c r="D550" s="19" t="s">
        <v>23</v>
      </c>
      <c r="E550" s="20">
        <v>122466.89</v>
      </c>
      <c r="F550" s="21">
        <v>1371629</v>
      </c>
      <c r="G550" s="22">
        <v>11.2</v>
      </c>
      <c r="H550" s="21">
        <f>ROUND(G550*E550,0)</f>
        <v>1371629</v>
      </c>
      <c r="I550" s="21">
        <f>H550-F550</f>
        <v>0</v>
      </c>
      <c r="J550" s="23"/>
      <c r="K550" s="24" t="s">
        <v>1019</v>
      </c>
      <c r="L550" s="35">
        <v>0</v>
      </c>
    </row>
    <row r="551" spans="1:12" x14ac:dyDescent="0.25">
      <c r="A551" s="16" t="s">
        <v>779</v>
      </c>
      <c r="B551" s="34" t="s">
        <v>360</v>
      </c>
      <c r="C551" s="18">
        <v>1.4</v>
      </c>
      <c r="D551" s="19" t="s">
        <v>214</v>
      </c>
      <c r="E551" s="20">
        <v>124258.76</v>
      </c>
      <c r="F551" s="21">
        <v>173962</v>
      </c>
      <c r="G551" s="22">
        <v>1.4</v>
      </c>
      <c r="H551" s="21">
        <f>ROUND(G551*E551,0)</f>
        <v>173962</v>
      </c>
      <c r="I551" s="21">
        <f>H551-F551</f>
        <v>0</v>
      </c>
      <c r="J551" s="23"/>
      <c r="K551" s="24" t="s">
        <v>1020</v>
      </c>
      <c r="L551" s="35">
        <v>0</v>
      </c>
    </row>
    <row r="552" spans="1:12" x14ac:dyDescent="0.25">
      <c r="A552" s="16" t="s">
        <v>781</v>
      </c>
      <c r="B552" s="34" t="s">
        <v>362</v>
      </c>
      <c r="C552" s="18">
        <v>1.4</v>
      </c>
      <c r="D552" s="19" t="s">
        <v>214</v>
      </c>
      <c r="E552" s="20">
        <v>53756.99</v>
      </c>
      <c r="F552" s="21">
        <v>75260</v>
      </c>
      <c r="G552" s="22">
        <v>1.4</v>
      </c>
      <c r="H552" s="21">
        <f>ROUND(G552*E552,0)</f>
        <v>75260</v>
      </c>
      <c r="I552" s="21">
        <f>H552-F552</f>
        <v>0</v>
      </c>
      <c r="J552" s="23"/>
      <c r="K552" s="24" t="s">
        <v>1021</v>
      </c>
      <c r="L552" s="35">
        <v>0</v>
      </c>
    </row>
    <row r="553" spans="1:12" x14ac:dyDescent="0.25">
      <c r="A553" s="16" t="s">
        <v>783</v>
      </c>
      <c r="B553" s="34" t="s">
        <v>462</v>
      </c>
      <c r="C553" s="18">
        <v>0.84</v>
      </c>
      <c r="D553" s="19" t="s">
        <v>214</v>
      </c>
      <c r="E553" s="20">
        <v>345522.98</v>
      </c>
      <c r="F553" s="21">
        <v>290239</v>
      </c>
      <c r="G553" s="22">
        <v>0.84</v>
      </c>
      <c r="H553" s="21">
        <f>ROUND(G553*E553,0)</f>
        <v>290239</v>
      </c>
      <c r="I553" s="21">
        <f>H553-F553</f>
        <v>0</v>
      </c>
      <c r="J553" s="23"/>
      <c r="K553" s="24" t="s">
        <v>1022</v>
      </c>
      <c r="L553" s="35">
        <v>0</v>
      </c>
    </row>
    <row r="554" spans="1:12" x14ac:dyDescent="0.25">
      <c r="A554" s="16" t="s">
        <v>785</v>
      </c>
      <c r="B554" s="34" t="s">
        <v>1023</v>
      </c>
      <c r="C554" s="18">
        <v>1.96</v>
      </c>
      <c r="D554" s="19" t="s">
        <v>214</v>
      </c>
      <c r="E554" s="20">
        <v>1016530.97</v>
      </c>
      <c r="F554" s="21">
        <v>1992401</v>
      </c>
      <c r="G554" s="22">
        <v>1.96</v>
      </c>
      <c r="H554" s="21">
        <f>ROUND(G554*E554,0)</f>
        <v>1992401</v>
      </c>
      <c r="I554" s="21">
        <f>H554-F554</f>
        <v>0</v>
      </c>
      <c r="J554" s="23"/>
      <c r="K554" s="24" t="s">
        <v>1024</v>
      </c>
      <c r="L554" s="35">
        <v>0</v>
      </c>
    </row>
    <row r="555" spans="1:12" s="26" customFormat="1" x14ac:dyDescent="0.25">
      <c r="A555" s="27" t="s">
        <v>1025</v>
      </c>
      <c r="B555" s="33" t="s">
        <v>1026</v>
      </c>
      <c r="C555" s="29"/>
      <c r="D555" s="30"/>
      <c r="E555" s="30"/>
      <c r="F555" s="31">
        <v>2212066</v>
      </c>
      <c r="G555" s="30"/>
      <c r="H555" s="29"/>
      <c r="I555" s="29"/>
      <c r="J555" s="30"/>
      <c r="K555" s="32" t="s">
        <v>1027</v>
      </c>
      <c r="L555" s="29"/>
    </row>
    <row r="556" spans="1:12" x14ac:dyDescent="0.25">
      <c r="A556" s="16" t="s">
        <v>196</v>
      </c>
      <c r="B556" s="34" t="s">
        <v>671</v>
      </c>
      <c r="C556" s="18">
        <v>4.46</v>
      </c>
      <c r="D556" s="19" t="s">
        <v>23</v>
      </c>
      <c r="E556" s="20">
        <v>222495.38</v>
      </c>
      <c r="F556" s="21">
        <v>992329</v>
      </c>
      <c r="G556" s="22">
        <v>4.46</v>
      </c>
      <c r="H556" s="21">
        <f>ROUND(G556*E556,0)</f>
        <v>992329</v>
      </c>
      <c r="I556" s="21">
        <f>H556-F556</f>
        <v>0</v>
      </c>
      <c r="J556" s="23"/>
      <c r="K556" s="24" t="s">
        <v>1028</v>
      </c>
      <c r="L556" s="35">
        <v>0</v>
      </c>
    </row>
    <row r="557" spans="1:12" x14ac:dyDescent="0.25">
      <c r="A557" s="16" t="s">
        <v>199</v>
      </c>
      <c r="B557" s="34" t="s">
        <v>375</v>
      </c>
      <c r="C557" s="18">
        <v>22.23</v>
      </c>
      <c r="D557" s="19" t="s">
        <v>229</v>
      </c>
      <c r="E557" s="20">
        <v>13176.23</v>
      </c>
      <c r="F557" s="21">
        <v>292908</v>
      </c>
      <c r="G557" s="22">
        <v>22.23</v>
      </c>
      <c r="H557" s="21">
        <f>ROUND(G557*E557,0)</f>
        <v>292908</v>
      </c>
      <c r="I557" s="21">
        <f>H557-F557</f>
        <v>0</v>
      </c>
      <c r="J557" s="23"/>
      <c r="K557" s="24" t="s">
        <v>1029</v>
      </c>
      <c r="L557" s="35">
        <v>0</v>
      </c>
    </row>
    <row r="558" spans="1:12" x14ac:dyDescent="0.25">
      <c r="A558" s="16" t="s">
        <v>779</v>
      </c>
      <c r="B558" s="34" t="s">
        <v>377</v>
      </c>
      <c r="C558" s="18">
        <v>0.32</v>
      </c>
      <c r="D558" s="19" t="s">
        <v>214</v>
      </c>
      <c r="E558" s="20">
        <v>1151545.01</v>
      </c>
      <c r="F558" s="21">
        <v>368495</v>
      </c>
      <c r="G558" s="22">
        <v>0.32</v>
      </c>
      <c r="H558" s="21">
        <f>ROUND(G558*E558,0)</f>
        <v>368495</v>
      </c>
      <c r="I558" s="21">
        <f>H558-F558</f>
        <v>0</v>
      </c>
      <c r="J558" s="23"/>
      <c r="K558" s="24" t="s">
        <v>1030</v>
      </c>
      <c r="L558" s="35">
        <v>0</v>
      </c>
    </row>
    <row r="559" spans="1:12" x14ac:dyDescent="0.25">
      <c r="A559" s="16" t="s">
        <v>781</v>
      </c>
      <c r="B559" s="34" t="s">
        <v>585</v>
      </c>
      <c r="C559" s="18">
        <v>3.23</v>
      </c>
      <c r="D559" s="19" t="s">
        <v>23</v>
      </c>
      <c r="E559" s="20">
        <v>54647.67</v>
      </c>
      <c r="F559" s="21">
        <v>176512</v>
      </c>
      <c r="G559" s="22">
        <v>3.23</v>
      </c>
      <c r="H559" s="21">
        <f>ROUND(G559*E559,0)</f>
        <v>176512</v>
      </c>
      <c r="I559" s="21">
        <f>H559-F559</f>
        <v>0</v>
      </c>
      <c r="J559" s="23"/>
      <c r="K559" s="24" t="s">
        <v>1031</v>
      </c>
      <c r="L559" s="35">
        <v>0</v>
      </c>
    </row>
    <row r="560" spans="1:12" x14ac:dyDescent="0.25">
      <c r="A560" s="16" t="s">
        <v>783</v>
      </c>
      <c r="B560" s="34" t="s">
        <v>1032</v>
      </c>
      <c r="C560" s="18">
        <v>3.23</v>
      </c>
      <c r="D560" s="19" t="s">
        <v>23</v>
      </c>
      <c r="E560" s="20">
        <v>118211.25</v>
      </c>
      <c r="F560" s="21">
        <v>381822</v>
      </c>
      <c r="G560" s="22">
        <v>3.23</v>
      </c>
      <c r="H560" s="21">
        <f>ROUND(G560*E560,0)</f>
        <v>381822</v>
      </c>
      <c r="I560" s="21">
        <f>H560-F560</f>
        <v>0</v>
      </c>
      <c r="J560" s="23"/>
      <c r="K560" s="24" t="s">
        <v>1033</v>
      </c>
      <c r="L560" s="35">
        <v>0</v>
      </c>
    </row>
    <row r="561" spans="1:12" s="26" customFormat="1" x14ac:dyDescent="0.25">
      <c r="A561" s="27" t="s">
        <v>1034</v>
      </c>
      <c r="B561" s="28" t="s">
        <v>1035</v>
      </c>
      <c r="C561" s="29"/>
      <c r="D561" s="30"/>
      <c r="E561" s="30"/>
      <c r="F561" s="31">
        <v>208490212</v>
      </c>
      <c r="G561" s="30"/>
      <c r="H561" s="29"/>
      <c r="I561" s="29"/>
      <c r="J561" s="30"/>
      <c r="K561" s="32" t="s">
        <v>1036</v>
      </c>
      <c r="L561" s="29"/>
    </row>
    <row r="562" spans="1:12" x14ac:dyDescent="0.25">
      <c r="A562" s="16" t="s">
        <v>21</v>
      </c>
      <c r="B562" s="36" t="s">
        <v>1037</v>
      </c>
      <c r="C562" s="18">
        <v>61.65</v>
      </c>
      <c r="D562" s="19" t="s">
        <v>23</v>
      </c>
      <c r="E562" s="20">
        <v>122466.89</v>
      </c>
      <c r="F562" s="21">
        <v>7550084</v>
      </c>
      <c r="G562" s="22">
        <v>61.65</v>
      </c>
      <c r="H562" s="21">
        <f>ROUND(G562*E562,0)</f>
        <v>7550084</v>
      </c>
      <c r="I562" s="21">
        <f>H562-F562</f>
        <v>0</v>
      </c>
      <c r="J562" s="23"/>
      <c r="K562" s="24" t="s">
        <v>1038</v>
      </c>
      <c r="L562" s="35">
        <v>0</v>
      </c>
    </row>
    <row r="563" spans="1:12" x14ac:dyDescent="0.25">
      <c r="A563" s="16" t="s">
        <v>25</v>
      </c>
      <c r="B563" s="36" t="s">
        <v>1039</v>
      </c>
      <c r="C563" s="18">
        <v>123.3</v>
      </c>
      <c r="D563" s="19" t="s">
        <v>23</v>
      </c>
      <c r="E563" s="20">
        <v>54647.67</v>
      </c>
      <c r="F563" s="21">
        <v>6738058</v>
      </c>
      <c r="G563" s="22">
        <v>123.3</v>
      </c>
      <c r="H563" s="21">
        <f>ROUND(G563*E563,0)</f>
        <v>6738058</v>
      </c>
      <c r="I563" s="21">
        <f>H563-F563</f>
        <v>0</v>
      </c>
      <c r="J563" s="23"/>
      <c r="K563" s="24" t="s">
        <v>1040</v>
      </c>
      <c r="L563" s="35">
        <v>0</v>
      </c>
    </row>
    <row r="564" spans="1:12" x14ac:dyDescent="0.25">
      <c r="A564" s="16" t="s">
        <v>29</v>
      </c>
      <c r="B564" s="36" t="s">
        <v>1041</v>
      </c>
      <c r="C564" s="18">
        <v>107.57</v>
      </c>
      <c r="D564" s="19" t="s">
        <v>23</v>
      </c>
      <c r="E564" s="20">
        <v>45520.53</v>
      </c>
      <c r="F564" s="21">
        <v>4896643</v>
      </c>
      <c r="G564" s="22">
        <v>107.57</v>
      </c>
      <c r="H564" s="21">
        <f>ROUND(G564*E564,0)</f>
        <v>4896643</v>
      </c>
      <c r="I564" s="21">
        <f>H564-F564</f>
        <v>0</v>
      </c>
      <c r="J564" s="23"/>
      <c r="K564" s="24" t="s">
        <v>1042</v>
      </c>
      <c r="L564" s="35">
        <v>0</v>
      </c>
    </row>
    <row r="565" spans="1:12" s="26" customFormat="1" x14ac:dyDescent="0.25">
      <c r="A565" s="27" t="s">
        <v>33</v>
      </c>
      <c r="B565" s="33" t="s">
        <v>1043</v>
      </c>
      <c r="C565" s="29"/>
      <c r="D565" s="30"/>
      <c r="E565" s="30"/>
      <c r="F565" s="31">
        <v>68342916</v>
      </c>
      <c r="G565" s="30"/>
      <c r="H565" s="29"/>
      <c r="I565" s="29"/>
      <c r="J565" s="30"/>
      <c r="K565" s="32" t="s">
        <v>1044</v>
      </c>
      <c r="L565" s="29"/>
    </row>
    <row r="566" spans="1:12" s="26" customFormat="1" x14ac:dyDescent="0.25">
      <c r="A566" s="27" t="s">
        <v>1045</v>
      </c>
      <c r="B566" s="37" t="s">
        <v>1046</v>
      </c>
      <c r="C566" s="29"/>
      <c r="D566" s="30"/>
      <c r="E566" s="30"/>
      <c r="F566" s="31">
        <v>3535565</v>
      </c>
      <c r="G566" s="30"/>
      <c r="H566" s="29"/>
      <c r="I566" s="29"/>
      <c r="J566" s="30"/>
      <c r="K566" s="32" t="s">
        <v>1047</v>
      </c>
      <c r="L566" s="29"/>
    </row>
    <row r="567" spans="1:12" x14ac:dyDescent="0.25">
      <c r="A567" s="16" t="s">
        <v>1048</v>
      </c>
      <c r="B567" s="38" t="s">
        <v>803</v>
      </c>
      <c r="C567" s="18">
        <v>5.16</v>
      </c>
      <c r="D567" s="19" t="s">
        <v>38</v>
      </c>
      <c r="E567" s="20">
        <v>184770.05</v>
      </c>
      <c r="F567" s="21">
        <v>953414</v>
      </c>
      <c r="G567" s="22">
        <v>5.16</v>
      </c>
      <c r="H567" s="21">
        <f>ROUND(G567*E567,0)</f>
        <v>953414</v>
      </c>
      <c r="I567" s="21">
        <f>H567-F567</f>
        <v>0</v>
      </c>
      <c r="J567" s="23"/>
      <c r="K567" s="24" t="s">
        <v>1049</v>
      </c>
      <c r="L567" s="35">
        <v>0</v>
      </c>
    </row>
    <row r="568" spans="1:12" x14ac:dyDescent="0.25">
      <c r="A568" s="16" t="s">
        <v>1050</v>
      </c>
      <c r="B568" s="38" t="s">
        <v>1051</v>
      </c>
      <c r="C568" s="18">
        <v>2</v>
      </c>
      <c r="D568" s="19" t="s">
        <v>23</v>
      </c>
      <c r="E568" s="20">
        <v>903954.55</v>
      </c>
      <c r="F568" s="21">
        <v>1807909</v>
      </c>
      <c r="G568" s="22">
        <v>2</v>
      </c>
      <c r="H568" s="21">
        <f>ROUND(G568*E568,0)</f>
        <v>1807909</v>
      </c>
      <c r="I568" s="21">
        <f>H568-F568</f>
        <v>0</v>
      </c>
      <c r="J568" s="23"/>
      <c r="K568" s="24" t="s">
        <v>1052</v>
      </c>
      <c r="L568" s="35">
        <v>0</v>
      </c>
    </row>
    <row r="569" spans="1:12" x14ac:dyDescent="0.25">
      <c r="A569" s="16" t="s">
        <v>1053</v>
      </c>
      <c r="B569" s="38" t="s">
        <v>1054</v>
      </c>
      <c r="C569" s="18">
        <v>1.5</v>
      </c>
      <c r="D569" s="19" t="s">
        <v>81</v>
      </c>
      <c r="E569" s="20">
        <v>53024.44</v>
      </c>
      <c r="F569" s="21">
        <v>79537</v>
      </c>
      <c r="G569" s="22">
        <v>1.5</v>
      </c>
      <c r="H569" s="21">
        <f>ROUND(G569*E569,0)</f>
        <v>79537</v>
      </c>
      <c r="I569" s="21">
        <f>H569-F569</f>
        <v>0</v>
      </c>
      <c r="J569" s="23"/>
      <c r="K569" s="24" t="s">
        <v>1055</v>
      </c>
      <c r="L569" s="35">
        <v>0</v>
      </c>
    </row>
    <row r="570" spans="1:12" x14ac:dyDescent="0.25">
      <c r="A570" s="16" t="s">
        <v>1056</v>
      </c>
      <c r="B570" s="38" t="s">
        <v>1057</v>
      </c>
      <c r="C570" s="18">
        <v>1</v>
      </c>
      <c r="D570" s="19" t="s">
        <v>48</v>
      </c>
      <c r="E570" s="20">
        <v>366875.19</v>
      </c>
      <c r="F570" s="21">
        <v>366875</v>
      </c>
      <c r="G570" s="22">
        <v>1</v>
      </c>
      <c r="H570" s="21">
        <f>ROUND(G570*E570,0)</f>
        <v>366875</v>
      </c>
      <c r="I570" s="21">
        <f>H570-F570</f>
        <v>0</v>
      </c>
      <c r="J570" s="23"/>
      <c r="K570" s="24" t="s">
        <v>1058</v>
      </c>
      <c r="L570" s="35">
        <v>0</v>
      </c>
    </row>
    <row r="571" spans="1:12" x14ac:dyDescent="0.25">
      <c r="A571" s="16" t="s">
        <v>1059</v>
      </c>
      <c r="B571" s="38" t="s">
        <v>1060</v>
      </c>
      <c r="C571" s="18">
        <v>1</v>
      </c>
      <c r="D571" s="19" t="s">
        <v>48</v>
      </c>
      <c r="E571" s="20">
        <v>327830.33</v>
      </c>
      <c r="F571" s="21">
        <v>327830</v>
      </c>
      <c r="G571" s="22">
        <v>1</v>
      </c>
      <c r="H571" s="21">
        <f>ROUND(G571*E571,0)</f>
        <v>327830</v>
      </c>
      <c r="I571" s="21">
        <f>H571-F571</f>
        <v>0</v>
      </c>
      <c r="J571" s="23"/>
      <c r="K571" s="24" t="s">
        <v>1061</v>
      </c>
      <c r="L571" s="35">
        <v>0</v>
      </c>
    </row>
    <row r="572" spans="1:12" x14ac:dyDescent="0.25">
      <c r="A572" s="16" t="s">
        <v>1062</v>
      </c>
      <c r="B572" s="34" t="s">
        <v>799</v>
      </c>
      <c r="C572" s="18">
        <v>2</v>
      </c>
      <c r="D572" s="19" t="s">
        <v>155</v>
      </c>
      <c r="E572" s="20">
        <v>1048511.96</v>
      </c>
      <c r="F572" s="21">
        <v>2097024</v>
      </c>
      <c r="G572" s="22">
        <v>2</v>
      </c>
      <c r="H572" s="21">
        <f>ROUND(G572*E572,0)</f>
        <v>2097024</v>
      </c>
      <c r="I572" s="21">
        <f>H572-F572</f>
        <v>0</v>
      </c>
      <c r="J572" s="23"/>
      <c r="K572" s="24" t="s">
        <v>1063</v>
      </c>
      <c r="L572" s="35">
        <v>0</v>
      </c>
    </row>
    <row r="573" spans="1:12" s="26" customFormat="1" x14ac:dyDescent="0.25">
      <c r="A573" s="27" t="s">
        <v>1064</v>
      </c>
      <c r="B573" s="37" t="s">
        <v>1065</v>
      </c>
      <c r="C573" s="29"/>
      <c r="D573" s="30"/>
      <c r="E573" s="30"/>
      <c r="F573" s="31">
        <v>20589433</v>
      </c>
      <c r="G573" s="30"/>
      <c r="H573" s="29"/>
      <c r="I573" s="29"/>
      <c r="J573" s="30"/>
      <c r="K573" s="32" t="s">
        <v>1066</v>
      </c>
      <c r="L573" s="29"/>
    </row>
    <row r="574" spans="1:12" x14ac:dyDescent="0.25">
      <c r="A574" s="16" t="s">
        <v>1067</v>
      </c>
      <c r="B574" s="38" t="s">
        <v>803</v>
      </c>
      <c r="C574" s="18">
        <v>16.24</v>
      </c>
      <c r="D574" s="19" t="s">
        <v>38</v>
      </c>
      <c r="E574" s="20">
        <v>184770.05</v>
      </c>
      <c r="F574" s="21">
        <v>3000665</v>
      </c>
      <c r="G574" s="22">
        <v>16.24</v>
      </c>
      <c r="H574" s="21">
        <f>ROUND(G574*E574,0)</f>
        <v>3000665</v>
      </c>
      <c r="I574" s="21">
        <f>H574-F574</f>
        <v>0</v>
      </c>
      <c r="J574" s="23"/>
      <c r="K574" s="24" t="s">
        <v>1068</v>
      </c>
      <c r="L574" s="35">
        <v>0</v>
      </c>
    </row>
    <row r="575" spans="1:12" x14ac:dyDescent="0.25">
      <c r="A575" s="16" t="s">
        <v>1069</v>
      </c>
      <c r="B575" s="38" t="s">
        <v>1070</v>
      </c>
      <c r="C575" s="18">
        <v>4.15</v>
      </c>
      <c r="D575" s="19" t="s">
        <v>23</v>
      </c>
      <c r="E575" s="20">
        <v>4000000</v>
      </c>
      <c r="F575" s="21">
        <v>16600000</v>
      </c>
      <c r="G575" s="22">
        <v>4.15</v>
      </c>
      <c r="H575" s="21">
        <f>ROUND(G575*E575,0)</f>
        <v>16600000</v>
      </c>
      <c r="I575" s="21">
        <f>H575-F575</f>
        <v>0</v>
      </c>
      <c r="J575" s="23"/>
      <c r="K575" s="24" t="s">
        <v>1071</v>
      </c>
      <c r="L575" s="35">
        <v>0</v>
      </c>
    </row>
    <row r="576" spans="1:12" x14ac:dyDescent="0.25">
      <c r="A576" s="16" t="s">
        <v>1072</v>
      </c>
      <c r="B576" s="38" t="s">
        <v>1073</v>
      </c>
      <c r="C576" s="18">
        <v>2.75</v>
      </c>
      <c r="D576" s="19" t="s">
        <v>23</v>
      </c>
      <c r="E576" s="20">
        <v>199633.19</v>
      </c>
      <c r="F576" s="21">
        <v>548991</v>
      </c>
      <c r="G576" s="22">
        <v>2.75</v>
      </c>
      <c r="H576" s="21">
        <f>ROUND(G576*E576,0)</f>
        <v>548991</v>
      </c>
      <c r="I576" s="21">
        <f>H576-F576</f>
        <v>0</v>
      </c>
      <c r="J576" s="23"/>
      <c r="K576" s="24" t="s">
        <v>1074</v>
      </c>
      <c r="L576" s="35">
        <v>0</v>
      </c>
    </row>
    <row r="577" spans="1:12" x14ac:dyDescent="0.25">
      <c r="A577" s="16" t="s">
        <v>1075</v>
      </c>
      <c r="B577" s="38" t="s">
        <v>1076</v>
      </c>
      <c r="C577" s="18">
        <v>4</v>
      </c>
      <c r="D577" s="19" t="s">
        <v>81</v>
      </c>
      <c r="E577" s="20">
        <v>33339.23</v>
      </c>
      <c r="F577" s="21">
        <v>133357</v>
      </c>
      <c r="G577" s="22">
        <v>4</v>
      </c>
      <c r="H577" s="21">
        <f>ROUND(G577*E577,0)</f>
        <v>133357</v>
      </c>
      <c r="I577" s="21">
        <f>H577-F577</f>
        <v>0</v>
      </c>
      <c r="J577" s="23"/>
      <c r="K577" s="24" t="s">
        <v>1077</v>
      </c>
      <c r="L577" s="35">
        <v>0</v>
      </c>
    </row>
    <row r="578" spans="1:12" x14ac:dyDescent="0.25">
      <c r="A578" s="16" t="s">
        <v>1078</v>
      </c>
      <c r="B578" s="38" t="s">
        <v>1079</v>
      </c>
      <c r="C578" s="18">
        <v>4</v>
      </c>
      <c r="D578" s="19" t="s">
        <v>81</v>
      </c>
      <c r="E578" s="20">
        <v>43328.49</v>
      </c>
      <c r="F578" s="21">
        <v>173314</v>
      </c>
      <c r="G578" s="22">
        <v>4</v>
      </c>
      <c r="H578" s="21">
        <f>ROUND(G578*E578,0)</f>
        <v>173314</v>
      </c>
      <c r="I578" s="21">
        <f>H578-F578</f>
        <v>0</v>
      </c>
      <c r="J578" s="23"/>
      <c r="K578" s="24" t="s">
        <v>1080</v>
      </c>
      <c r="L578" s="35">
        <v>0</v>
      </c>
    </row>
    <row r="579" spans="1:12" x14ac:dyDescent="0.25">
      <c r="A579" s="16" t="s">
        <v>1081</v>
      </c>
      <c r="B579" s="38" t="s">
        <v>1082</v>
      </c>
      <c r="C579" s="18">
        <v>2</v>
      </c>
      <c r="D579" s="19" t="s">
        <v>31</v>
      </c>
      <c r="E579" s="20">
        <v>66552.84</v>
      </c>
      <c r="F579" s="21">
        <v>133106</v>
      </c>
      <c r="G579" s="22">
        <v>2</v>
      </c>
      <c r="H579" s="21">
        <f>ROUND(G579*E579,0)</f>
        <v>133106</v>
      </c>
      <c r="I579" s="21">
        <f>H579-F579</f>
        <v>0</v>
      </c>
      <c r="J579" s="23"/>
      <c r="K579" s="24" t="s">
        <v>1083</v>
      </c>
      <c r="L579" s="35">
        <v>0</v>
      </c>
    </row>
    <row r="580" spans="1:12" s="26" customFormat="1" x14ac:dyDescent="0.25">
      <c r="A580" s="27" t="s">
        <v>1084</v>
      </c>
      <c r="B580" s="37" t="s">
        <v>1085</v>
      </c>
      <c r="C580" s="29"/>
      <c r="D580" s="30"/>
      <c r="E580" s="30"/>
      <c r="F580" s="31">
        <v>41302835</v>
      </c>
      <c r="G580" s="30"/>
      <c r="H580" s="29"/>
      <c r="I580" s="29"/>
      <c r="J580" s="30"/>
      <c r="K580" s="32" t="s">
        <v>1086</v>
      </c>
      <c r="L580" s="29"/>
    </row>
    <row r="581" spans="1:12" x14ac:dyDescent="0.25">
      <c r="A581" s="16" t="s">
        <v>1087</v>
      </c>
      <c r="B581" s="38" t="s">
        <v>803</v>
      </c>
      <c r="C581" s="18">
        <v>48.12</v>
      </c>
      <c r="D581" s="19" t="s">
        <v>38</v>
      </c>
      <c r="E581" s="20">
        <v>184770.05</v>
      </c>
      <c r="F581" s="21">
        <v>8891135</v>
      </c>
      <c r="G581" s="22">
        <v>48.12</v>
      </c>
      <c r="H581" s="21">
        <f>ROUND(G581*E581,0)</f>
        <v>8891135</v>
      </c>
      <c r="I581" s="21">
        <f>H581-F581</f>
        <v>0</v>
      </c>
      <c r="J581" s="23"/>
      <c r="K581" s="24" t="s">
        <v>1088</v>
      </c>
      <c r="L581" s="35">
        <v>0</v>
      </c>
    </row>
    <row r="582" spans="1:12" x14ac:dyDescent="0.25">
      <c r="A582" s="16" t="s">
        <v>1089</v>
      </c>
      <c r="B582" s="38" t="s">
        <v>1070</v>
      </c>
      <c r="C582" s="18">
        <v>7.16</v>
      </c>
      <c r="D582" s="19" t="s">
        <v>23</v>
      </c>
      <c r="E582" s="20">
        <v>4000000</v>
      </c>
      <c r="F582" s="21">
        <v>28640000</v>
      </c>
      <c r="G582" s="22">
        <v>7.16</v>
      </c>
      <c r="H582" s="21">
        <f>ROUND(G582*E582,0)</f>
        <v>28640000</v>
      </c>
      <c r="I582" s="21">
        <f>H582-F582</f>
        <v>0</v>
      </c>
      <c r="J582" s="23"/>
      <c r="K582" s="24" t="s">
        <v>1090</v>
      </c>
      <c r="L582" s="35">
        <v>0</v>
      </c>
    </row>
    <row r="583" spans="1:12" x14ac:dyDescent="0.25">
      <c r="A583" s="16" t="s">
        <v>1091</v>
      </c>
      <c r="B583" s="38" t="s">
        <v>1073</v>
      </c>
      <c r="C583" s="18">
        <v>8.98</v>
      </c>
      <c r="D583" s="19" t="s">
        <v>23</v>
      </c>
      <c r="E583" s="20">
        <v>199633.19</v>
      </c>
      <c r="F583" s="21">
        <v>1792706</v>
      </c>
      <c r="G583" s="22">
        <v>8.98</v>
      </c>
      <c r="H583" s="21">
        <f>ROUND(G583*E583,0)</f>
        <v>1792706</v>
      </c>
      <c r="I583" s="21">
        <f>H583-F583</f>
        <v>0</v>
      </c>
      <c r="J583" s="23"/>
      <c r="K583" s="24" t="s">
        <v>1092</v>
      </c>
      <c r="L583" s="35">
        <v>0</v>
      </c>
    </row>
    <row r="584" spans="1:12" x14ac:dyDescent="0.25">
      <c r="A584" s="16" t="s">
        <v>1093</v>
      </c>
      <c r="B584" s="38" t="s">
        <v>1076</v>
      </c>
      <c r="C584" s="18">
        <v>18</v>
      </c>
      <c r="D584" s="19" t="s">
        <v>81</v>
      </c>
      <c r="E584" s="20">
        <v>33339.23</v>
      </c>
      <c r="F584" s="21">
        <v>600106</v>
      </c>
      <c r="G584" s="22">
        <v>18</v>
      </c>
      <c r="H584" s="21">
        <f>ROUND(G584*E584,0)</f>
        <v>600106</v>
      </c>
      <c r="I584" s="21">
        <f>H584-F584</f>
        <v>0</v>
      </c>
      <c r="J584" s="23"/>
      <c r="K584" s="24" t="s">
        <v>1094</v>
      </c>
      <c r="L584" s="35">
        <v>0</v>
      </c>
    </row>
    <row r="585" spans="1:12" x14ac:dyDescent="0.25">
      <c r="A585" s="16" t="s">
        <v>1095</v>
      </c>
      <c r="B585" s="38" t="s">
        <v>1079</v>
      </c>
      <c r="C585" s="18">
        <v>18</v>
      </c>
      <c r="D585" s="19" t="s">
        <v>81</v>
      </c>
      <c r="E585" s="20">
        <v>43328.49</v>
      </c>
      <c r="F585" s="21">
        <v>779913</v>
      </c>
      <c r="G585" s="22">
        <v>18</v>
      </c>
      <c r="H585" s="21">
        <f>ROUND(G585*E585,0)</f>
        <v>779913</v>
      </c>
      <c r="I585" s="21">
        <f>H585-F585</f>
        <v>0</v>
      </c>
      <c r="J585" s="23"/>
      <c r="K585" s="24" t="s">
        <v>1096</v>
      </c>
      <c r="L585" s="35">
        <v>0</v>
      </c>
    </row>
    <row r="586" spans="1:12" x14ac:dyDescent="0.25">
      <c r="A586" s="16" t="s">
        <v>1097</v>
      </c>
      <c r="B586" s="38" t="s">
        <v>1082</v>
      </c>
      <c r="C586" s="18">
        <v>9</v>
      </c>
      <c r="D586" s="19" t="s">
        <v>31</v>
      </c>
      <c r="E586" s="20">
        <v>66552.84</v>
      </c>
      <c r="F586" s="21">
        <v>598975</v>
      </c>
      <c r="G586" s="22">
        <v>9</v>
      </c>
      <c r="H586" s="21">
        <f>ROUND(G586*E586,0)</f>
        <v>598975</v>
      </c>
      <c r="I586" s="21">
        <f>H586-F586</f>
        <v>0</v>
      </c>
      <c r="J586" s="23"/>
      <c r="K586" s="24" t="s">
        <v>1098</v>
      </c>
      <c r="L586" s="35">
        <v>0</v>
      </c>
    </row>
    <row r="587" spans="1:12" s="26" customFormat="1" x14ac:dyDescent="0.25">
      <c r="A587" s="27" t="s">
        <v>1099</v>
      </c>
      <c r="B587" s="37" t="s">
        <v>1100</v>
      </c>
      <c r="C587" s="29"/>
      <c r="D587" s="30"/>
      <c r="E587" s="30"/>
      <c r="F587" s="31">
        <v>818059</v>
      </c>
      <c r="G587" s="30"/>
      <c r="H587" s="29"/>
      <c r="I587" s="29"/>
      <c r="J587" s="30"/>
      <c r="K587" s="32" t="s">
        <v>1101</v>
      </c>
      <c r="L587" s="29"/>
    </row>
    <row r="588" spans="1:12" x14ac:dyDescent="0.25">
      <c r="A588" s="16" t="s">
        <v>1102</v>
      </c>
      <c r="B588" s="38" t="s">
        <v>803</v>
      </c>
      <c r="C588" s="18">
        <v>3.52</v>
      </c>
      <c r="D588" s="19" t="s">
        <v>38</v>
      </c>
      <c r="E588" s="20">
        <v>184770.05</v>
      </c>
      <c r="F588" s="21">
        <v>650391</v>
      </c>
      <c r="G588" s="22">
        <v>3.52</v>
      </c>
      <c r="H588" s="21">
        <f>ROUND(G588*E588,0)</f>
        <v>650391</v>
      </c>
      <c r="I588" s="21">
        <f>H588-F588</f>
        <v>0</v>
      </c>
      <c r="J588" s="23"/>
      <c r="K588" s="24" t="s">
        <v>1103</v>
      </c>
      <c r="L588" s="35">
        <v>0</v>
      </c>
    </row>
    <row r="589" spans="1:12" x14ac:dyDescent="0.25">
      <c r="A589" s="16" t="s">
        <v>1104</v>
      </c>
      <c r="B589" s="38" t="s">
        <v>805</v>
      </c>
      <c r="C589" s="18">
        <v>0.65</v>
      </c>
      <c r="D589" s="19" t="s">
        <v>23</v>
      </c>
      <c r="E589" s="20">
        <v>257951.45</v>
      </c>
      <c r="F589" s="21">
        <v>167668</v>
      </c>
      <c r="G589" s="22">
        <v>0.65</v>
      </c>
      <c r="H589" s="21">
        <f>ROUND(G589*E589,0)</f>
        <v>167668</v>
      </c>
      <c r="I589" s="21">
        <f>H589-F589</f>
        <v>0</v>
      </c>
      <c r="J589" s="23"/>
      <c r="K589" s="24" t="s">
        <v>1105</v>
      </c>
      <c r="L589" s="35">
        <v>0</v>
      </c>
    </row>
    <row r="590" spans="1:12" x14ac:dyDescent="0.25">
      <c r="A590" s="16" t="s">
        <v>36</v>
      </c>
      <c r="B590" s="36" t="s">
        <v>817</v>
      </c>
      <c r="C590" s="18">
        <v>27</v>
      </c>
      <c r="D590" s="19" t="s">
        <v>23</v>
      </c>
      <c r="E590" s="20">
        <v>276722.58</v>
      </c>
      <c r="F590" s="21">
        <v>7471510</v>
      </c>
      <c r="G590" s="22">
        <v>27</v>
      </c>
      <c r="H590" s="21">
        <f>ROUND(G590*E590,0)</f>
        <v>7471510</v>
      </c>
      <c r="I590" s="21">
        <f>H590-F590</f>
        <v>0</v>
      </c>
      <c r="J590" s="23"/>
      <c r="K590" s="24" t="s">
        <v>1106</v>
      </c>
      <c r="L590" s="35">
        <v>0</v>
      </c>
    </row>
    <row r="591" spans="1:12" x14ac:dyDescent="0.25">
      <c r="A591" s="16" t="s">
        <v>40</v>
      </c>
      <c r="B591" s="36" t="s">
        <v>819</v>
      </c>
      <c r="C591" s="18">
        <v>4.5</v>
      </c>
      <c r="D591" s="19" t="s">
        <v>23</v>
      </c>
      <c r="E591" s="20">
        <v>276722.58</v>
      </c>
      <c r="F591" s="21">
        <v>1245252</v>
      </c>
      <c r="G591" s="22">
        <v>4.5</v>
      </c>
      <c r="H591" s="21">
        <f>ROUND(G591*E591,0)</f>
        <v>1245252</v>
      </c>
      <c r="I591" s="21">
        <f>H591-F591</f>
        <v>0</v>
      </c>
      <c r="J591" s="23"/>
      <c r="K591" s="24" t="s">
        <v>1107</v>
      </c>
      <c r="L591" s="35">
        <v>0</v>
      </c>
    </row>
    <row r="592" spans="1:12" x14ac:dyDescent="0.25">
      <c r="A592" s="16" t="s">
        <v>140</v>
      </c>
      <c r="B592" s="36" t="s">
        <v>821</v>
      </c>
      <c r="C592" s="18">
        <v>21.83</v>
      </c>
      <c r="D592" s="19" t="s">
        <v>23</v>
      </c>
      <c r="E592" s="20">
        <v>230693.18</v>
      </c>
      <c r="F592" s="21">
        <v>5036032</v>
      </c>
      <c r="G592" s="22">
        <v>21.83</v>
      </c>
      <c r="H592" s="21">
        <f>ROUND(G592*E592,0)</f>
        <v>5036032</v>
      </c>
      <c r="I592" s="21">
        <f>H592-F592</f>
        <v>0</v>
      </c>
      <c r="J592" s="23"/>
      <c r="K592" s="24" t="s">
        <v>1108</v>
      </c>
      <c r="L592" s="35">
        <v>0</v>
      </c>
    </row>
    <row r="593" spans="1:12" x14ac:dyDescent="0.25">
      <c r="A593" s="16" t="s">
        <v>143</v>
      </c>
      <c r="B593" s="36" t="s">
        <v>478</v>
      </c>
      <c r="C593" s="18">
        <v>55.3</v>
      </c>
      <c r="D593" s="19" t="s">
        <v>23</v>
      </c>
      <c r="E593" s="20">
        <v>241006.97</v>
      </c>
      <c r="F593" s="21">
        <v>13327685</v>
      </c>
      <c r="G593" s="22">
        <v>55.3</v>
      </c>
      <c r="H593" s="21">
        <f>ROUND(G593*E593,0)</f>
        <v>13327685</v>
      </c>
      <c r="I593" s="21">
        <f>H593-F593</f>
        <v>0</v>
      </c>
      <c r="J593" s="23"/>
      <c r="K593" s="24" t="s">
        <v>1109</v>
      </c>
      <c r="L593" s="35">
        <v>0</v>
      </c>
    </row>
    <row r="594" spans="1:12" s="26" customFormat="1" x14ac:dyDescent="0.25">
      <c r="A594" s="27" t="s">
        <v>146</v>
      </c>
      <c r="B594" s="33" t="s">
        <v>1110</v>
      </c>
      <c r="C594" s="29"/>
      <c r="D594" s="30"/>
      <c r="E594" s="30"/>
      <c r="F594" s="31">
        <v>11696274</v>
      </c>
      <c r="G594" s="30"/>
      <c r="H594" s="29"/>
      <c r="I594" s="29"/>
      <c r="J594" s="30"/>
      <c r="K594" s="32" t="s">
        <v>1111</v>
      </c>
      <c r="L594" s="29"/>
    </row>
    <row r="595" spans="1:12" x14ac:dyDescent="0.25">
      <c r="A595" s="16" t="s">
        <v>391</v>
      </c>
      <c r="B595" s="34" t="s">
        <v>1112</v>
      </c>
      <c r="C595" s="18">
        <v>99.29</v>
      </c>
      <c r="D595" s="19" t="s">
        <v>23</v>
      </c>
      <c r="E595" s="20">
        <v>100014.84</v>
      </c>
      <c r="F595" s="21">
        <v>9930474</v>
      </c>
      <c r="G595" s="22">
        <v>99.29</v>
      </c>
      <c r="H595" s="21">
        <f>ROUND(G595*E595,0)</f>
        <v>9930474</v>
      </c>
      <c r="I595" s="21">
        <f>H595-F595</f>
        <v>0</v>
      </c>
      <c r="J595" s="23"/>
      <c r="K595" s="24" t="s">
        <v>1113</v>
      </c>
      <c r="L595" s="35">
        <v>0</v>
      </c>
    </row>
    <row r="596" spans="1:12" x14ac:dyDescent="0.25">
      <c r="A596" s="16" t="s">
        <v>394</v>
      </c>
      <c r="B596" s="34" t="s">
        <v>1114</v>
      </c>
      <c r="C596" s="18">
        <v>39.12</v>
      </c>
      <c r="D596" s="19" t="s">
        <v>23</v>
      </c>
      <c r="E596" s="20">
        <v>45138.04</v>
      </c>
      <c r="F596" s="21">
        <v>1765800</v>
      </c>
      <c r="G596" s="22">
        <v>39.12</v>
      </c>
      <c r="H596" s="21">
        <f>ROUND(G596*E596,0)</f>
        <v>1765800</v>
      </c>
      <c r="I596" s="21">
        <f>H596-F596</f>
        <v>0</v>
      </c>
      <c r="J596" s="23"/>
      <c r="K596" s="24" t="s">
        <v>1115</v>
      </c>
      <c r="L596" s="35">
        <v>0</v>
      </c>
    </row>
    <row r="597" spans="1:12" x14ac:dyDescent="0.25">
      <c r="A597" s="16" t="s">
        <v>150</v>
      </c>
      <c r="B597" s="36" t="s">
        <v>859</v>
      </c>
      <c r="C597" s="18">
        <v>55.3</v>
      </c>
      <c r="D597" s="19" t="s">
        <v>23</v>
      </c>
      <c r="E597" s="20">
        <v>35591.98</v>
      </c>
      <c r="F597" s="21">
        <v>1968236</v>
      </c>
      <c r="G597" s="22">
        <v>55.3</v>
      </c>
      <c r="H597" s="21">
        <f>ROUND(G597*E597,0)</f>
        <v>1968236</v>
      </c>
      <c r="I597" s="21">
        <f>H597-F597</f>
        <v>0</v>
      </c>
      <c r="J597" s="23"/>
      <c r="K597" s="24" t="s">
        <v>1116</v>
      </c>
      <c r="L597" s="35">
        <v>0</v>
      </c>
    </row>
    <row r="598" spans="1:12" x14ac:dyDescent="0.25">
      <c r="A598" s="16" t="s">
        <v>175</v>
      </c>
      <c r="B598" s="36" t="s">
        <v>1117</v>
      </c>
      <c r="C598" s="18">
        <v>9.18</v>
      </c>
      <c r="D598" s="19" t="s">
        <v>23</v>
      </c>
      <c r="E598" s="20">
        <v>99462.99</v>
      </c>
      <c r="F598" s="21">
        <v>913070</v>
      </c>
      <c r="G598" s="22">
        <v>9.18</v>
      </c>
      <c r="H598" s="21">
        <f>ROUND(G598*E598,0)</f>
        <v>913070</v>
      </c>
      <c r="I598" s="21">
        <f>H598-F598</f>
        <v>0</v>
      </c>
      <c r="J598" s="23"/>
      <c r="K598" s="24" t="s">
        <v>1118</v>
      </c>
      <c r="L598" s="35">
        <v>0</v>
      </c>
    </row>
    <row r="599" spans="1:12" s="26" customFormat="1" x14ac:dyDescent="0.25">
      <c r="A599" s="27" t="s">
        <v>184</v>
      </c>
      <c r="B599" s="33" t="s">
        <v>468</v>
      </c>
      <c r="C599" s="29"/>
      <c r="D599" s="30"/>
      <c r="E599" s="30"/>
      <c r="F599" s="31">
        <v>27816521</v>
      </c>
      <c r="G599" s="30"/>
      <c r="H599" s="29"/>
      <c r="I599" s="29"/>
      <c r="J599" s="30"/>
      <c r="K599" s="32" t="s">
        <v>1119</v>
      </c>
      <c r="L599" s="29"/>
    </row>
    <row r="600" spans="1:12" x14ac:dyDescent="0.25">
      <c r="A600" s="16" t="s">
        <v>187</v>
      </c>
      <c r="B600" s="34" t="s">
        <v>1120</v>
      </c>
      <c r="C600" s="18">
        <v>55.12</v>
      </c>
      <c r="D600" s="19" t="s">
        <v>23</v>
      </c>
      <c r="E600" s="20">
        <v>200000</v>
      </c>
      <c r="F600" s="21">
        <v>11024000</v>
      </c>
      <c r="G600" s="22">
        <v>55.12</v>
      </c>
      <c r="H600" s="21">
        <f>ROUND(G600*E600,0)</f>
        <v>11024000</v>
      </c>
      <c r="I600" s="21">
        <f>H600-F600</f>
        <v>0</v>
      </c>
      <c r="J600" s="23"/>
      <c r="K600" s="24" t="s">
        <v>1121</v>
      </c>
      <c r="L600" s="35">
        <v>0</v>
      </c>
    </row>
    <row r="601" spans="1:12" x14ac:dyDescent="0.25">
      <c r="A601" s="16" t="s">
        <v>190</v>
      </c>
      <c r="B601" s="34" t="s">
        <v>472</v>
      </c>
      <c r="C601" s="18">
        <v>152.87</v>
      </c>
      <c r="D601" s="19" t="s">
        <v>38</v>
      </c>
      <c r="E601" s="20">
        <v>19268.19</v>
      </c>
      <c r="F601" s="21">
        <v>2945528</v>
      </c>
      <c r="G601" s="22">
        <v>152.87</v>
      </c>
      <c r="H601" s="21">
        <f>ROUND(G601*E601,0)</f>
        <v>2945528</v>
      </c>
      <c r="I601" s="21">
        <f>H601-F601</f>
        <v>0</v>
      </c>
      <c r="J601" s="23"/>
      <c r="K601" s="24" t="s">
        <v>1122</v>
      </c>
      <c r="L601" s="35">
        <v>0</v>
      </c>
    </row>
    <row r="602" spans="1:12" x14ac:dyDescent="0.25">
      <c r="A602" s="16" t="s">
        <v>826</v>
      </c>
      <c r="B602" s="34" t="s">
        <v>827</v>
      </c>
      <c r="C602" s="18">
        <v>103.76</v>
      </c>
      <c r="D602" s="19" t="s">
        <v>23</v>
      </c>
      <c r="E602" s="20">
        <v>110928.31</v>
      </c>
      <c r="F602" s="21">
        <v>11509922</v>
      </c>
      <c r="G602" s="22">
        <v>103.76</v>
      </c>
      <c r="H602" s="21">
        <f>ROUND(G602*E602,0)</f>
        <v>11509922</v>
      </c>
      <c r="I602" s="21">
        <f>H602-F602</f>
        <v>0</v>
      </c>
      <c r="J602" s="23"/>
      <c r="K602" s="24" t="s">
        <v>1123</v>
      </c>
      <c r="L602" s="35">
        <v>0</v>
      </c>
    </row>
    <row r="603" spans="1:12" x14ac:dyDescent="0.25">
      <c r="A603" s="16" t="s">
        <v>829</v>
      </c>
      <c r="B603" s="34" t="s">
        <v>476</v>
      </c>
      <c r="C603" s="18">
        <v>25.51</v>
      </c>
      <c r="D603" s="19" t="s">
        <v>38</v>
      </c>
      <c r="E603" s="20">
        <v>91613.93</v>
      </c>
      <c r="F603" s="21">
        <v>2337071</v>
      </c>
      <c r="G603" s="22">
        <v>25.51</v>
      </c>
      <c r="H603" s="21">
        <f>ROUND(G603*E603,0)</f>
        <v>2337071</v>
      </c>
      <c r="I603" s="21">
        <f>H603-F603</f>
        <v>0</v>
      </c>
      <c r="J603" s="23"/>
      <c r="K603" s="24" t="s">
        <v>1124</v>
      </c>
      <c r="L603" s="35">
        <v>0</v>
      </c>
    </row>
    <row r="604" spans="1:12" x14ac:dyDescent="0.25">
      <c r="A604" s="16" t="s">
        <v>193</v>
      </c>
      <c r="B604" s="36" t="s">
        <v>486</v>
      </c>
      <c r="C604" s="18">
        <v>30.6</v>
      </c>
      <c r="D604" s="19" t="s">
        <v>38</v>
      </c>
      <c r="E604" s="20">
        <v>200000</v>
      </c>
      <c r="F604" s="21">
        <v>6120000</v>
      </c>
      <c r="G604" s="22">
        <v>30.6</v>
      </c>
      <c r="H604" s="21">
        <f>ROUND(G604*E604,0)</f>
        <v>6120000</v>
      </c>
      <c r="I604" s="21">
        <f>H604-F604</f>
        <v>0</v>
      </c>
      <c r="J604" s="23"/>
      <c r="K604" s="24" t="s">
        <v>1125</v>
      </c>
      <c r="L604" s="35">
        <v>0</v>
      </c>
    </row>
    <row r="605" spans="1:12" x14ac:dyDescent="0.25">
      <c r="A605" s="16" t="s">
        <v>202</v>
      </c>
      <c r="B605" s="36" t="s">
        <v>1126</v>
      </c>
      <c r="C605" s="18">
        <v>1</v>
      </c>
      <c r="D605" s="19" t="s">
        <v>155</v>
      </c>
      <c r="E605" s="20">
        <v>386714.63</v>
      </c>
      <c r="F605" s="21">
        <v>386715</v>
      </c>
      <c r="G605" s="22">
        <v>1</v>
      </c>
      <c r="H605" s="21">
        <f>ROUND(G605*E605,0)</f>
        <v>386715</v>
      </c>
      <c r="I605" s="21">
        <f>H605-F605</f>
        <v>0</v>
      </c>
      <c r="J605" s="23"/>
      <c r="K605" s="24" t="s">
        <v>1127</v>
      </c>
      <c r="L605" s="35">
        <v>0</v>
      </c>
    </row>
    <row r="606" spans="1:12" x14ac:dyDescent="0.25">
      <c r="A606" s="16" t="s">
        <v>205</v>
      </c>
      <c r="B606" s="36" t="s">
        <v>1128</v>
      </c>
      <c r="C606" s="18">
        <v>15</v>
      </c>
      <c r="D606" s="19" t="s">
        <v>31</v>
      </c>
      <c r="E606" s="20">
        <v>156785.85</v>
      </c>
      <c r="F606" s="21">
        <v>2351788</v>
      </c>
      <c r="G606" s="22">
        <v>15</v>
      </c>
      <c r="H606" s="21">
        <f>ROUND(G606*E606,0)</f>
        <v>2351788</v>
      </c>
      <c r="I606" s="21">
        <f>H606-F606</f>
        <v>0</v>
      </c>
      <c r="J606" s="23"/>
      <c r="K606" s="24" t="s">
        <v>1129</v>
      </c>
      <c r="L606" s="35">
        <v>0</v>
      </c>
    </row>
    <row r="607" spans="1:12" x14ac:dyDescent="0.25">
      <c r="A607" s="16" t="s">
        <v>858</v>
      </c>
      <c r="B607" s="36" t="s">
        <v>882</v>
      </c>
      <c r="C607" s="18">
        <v>2</v>
      </c>
      <c r="D607" s="19" t="s">
        <v>31</v>
      </c>
      <c r="E607" s="20">
        <v>2723029.35</v>
      </c>
      <c r="F607" s="21">
        <v>5446059</v>
      </c>
      <c r="G607" s="22">
        <v>2</v>
      </c>
      <c r="H607" s="21">
        <f>ROUND(G607*E607,0)</f>
        <v>5446059</v>
      </c>
      <c r="I607" s="21">
        <f>H607-F607</f>
        <v>0</v>
      </c>
      <c r="J607" s="23"/>
      <c r="K607" s="24" t="s">
        <v>1130</v>
      </c>
      <c r="L607" s="35">
        <v>0</v>
      </c>
    </row>
    <row r="608" spans="1:12" x14ac:dyDescent="0.25">
      <c r="A608" s="16" t="s">
        <v>861</v>
      </c>
      <c r="B608" s="36" t="s">
        <v>884</v>
      </c>
      <c r="C608" s="18">
        <v>2</v>
      </c>
      <c r="D608" s="19" t="s">
        <v>31</v>
      </c>
      <c r="E608" s="20">
        <v>190300.21</v>
      </c>
      <c r="F608" s="21">
        <v>380600</v>
      </c>
      <c r="G608" s="22">
        <v>2</v>
      </c>
      <c r="H608" s="21">
        <f>ROUND(G608*E608,0)</f>
        <v>380600</v>
      </c>
      <c r="I608" s="21">
        <f>H608-F608</f>
        <v>0</v>
      </c>
      <c r="J608" s="23"/>
      <c r="K608" s="24" t="s">
        <v>1131</v>
      </c>
      <c r="L608" s="35">
        <v>0</v>
      </c>
    </row>
    <row r="609" spans="1:12" x14ac:dyDescent="0.25">
      <c r="A609" s="16" t="s">
        <v>863</v>
      </c>
      <c r="B609" s="36" t="s">
        <v>886</v>
      </c>
      <c r="C609" s="18">
        <v>2</v>
      </c>
      <c r="D609" s="19" t="s">
        <v>31</v>
      </c>
      <c r="E609" s="20">
        <v>82795.66</v>
      </c>
      <c r="F609" s="21">
        <v>165591</v>
      </c>
      <c r="G609" s="22">
        <v>2</v>
      </c>
      <c r="H609" s="21">
        <f>ROUND(G609*E609,0)</f>
        <v>165591</v>
      </c>
      <c r="I609" s="21">
        <f>H609-F609</f>
        <v>0</v>
      </c>
      <c r="J609" s="23"/>
      <c r="K609" s="24" t="s">
        <v>1132</v>
      </c>
      <c r="L609" s="35">
        <v>0</v>
      </c>
    </row>
    <row r="610" spans="1:12" x14ac:dyDescent="0.25">
      <c r="A610" s="16" t="s">
        <v>950</v>
      </c>
      <c r="B610" s="36" t="s">
        <v>888</v>
      </c>
      <c r="C610" s="18">
        <v>2</v>
      </c>
      <c r="D610" s="19" t="s">
        <v>31</v>
      </c>
      <c r="E610" s="20">
        <v>34114.81</v>
      </c>
      <c r="F610" s="21">
        <v>68230</v>
      </c>
      <c r="G610" s="22">
        <v>2</v>
      </c>
      <c r="H610" s="21">
        <f>ROUND(G610*E610,0)</f>
        <v>68230</v>
      </c>
      <c r="I610" s="21">
        <f>H610-F610</f>
        <v>0</v>
      </c>
      <c r="J610" s="23"/>
      <c r="K610" s="24" t="s">
        <v>1133</v>
      </c>
      <c r="L610" s="35">
        <v>0</v>
      </c>
    </row>
    <row r="611" spans="1:12" x14ac:dyDescent="0.25">
      <c r="A611" s="16" t="s">
        <v>953</v>
      </c>
      <c r="B611" s="36" t="s">
        <v>874</v>
      </c>
      <c r="C611" s="18">
        <v>2.4</v>
      </c>
      <c r="D611" s="19" t="s">
        <v>38</v>
      </c>
      <c r="E611" s="20">
        <v>40510.12</v>
      </c>
      <c r="F611" s="21">
        <v>97224</v>
      </c>
      <c r="G611" s="22">
        <v>2.4</v>
      </c>
      <c r="H611" s="21">
        <f>ROUND(G611*E611,0)</f>
        <v>97224</v>
      </c>
      <c r="I611" s="21">
        <f>H611-F611</f>
        <v>0</v>
      </c>
      <c r="J611" s="23"/>
      <c r="K611" s="24" t="s">
        <v>1134</v>
      </c>
      <c r="L611" s="35">
        <v>0</v>
      </c>
    </row>
    <row r="612" spans="1:12" x14ac:dyDescent="0.25">
      <c r="A612" s="16" t="s">
        <v>1135</v>
      </c>
      <c r="B612" s="36" t="s">
        <v>876</v>
      </c>
      <c r="C612" s="18">
        <v>8</v>
      </c>
      <c r="D612" s="19" t="s">
        <v>38</v>
      </c>
      <c r="E612" s="20">
        <v>51497.56</v>
      </c>
      <c r="F612" s="21">
        <v>411980</v>
      </c>
      <c r="G612" s="22">
        <v>8</v>
      </c>
      <c r="H612" s="21">
        <f>ROUND(G612*E612,0)</f>
        <v>411980</v>
      </c>
      <c r="I612" s="21">
        <f>H612-F612</f>
        <v>0</v>
      </c>
      <c r="J612" s="23"/>
      <c r="K612" s="24" t="s">
        <v>1136</v>
      </c>
      <c r="L612" s="35">
        <v>0</v>
      </c>
    </row>
    <row r="613" spans="1:12" x14ac:dyDescent="0.25">
      <c r="A613" s="16" t="s">
        <v>1137</v>
      </c>
      <c r="B613" s="36" t="s">
        <v>878</v>
      </c>
      <c r="C613" s="18">
        <v>3.8</v>
      </c>
      <c r="D613" s="19" t="s">
        <v>38</v>
      </c>
      <c r="E613" s="20">
        <v>168759.32</v>
      </c>
      <c r="F613" s="21">
        <v>641285</v>
      </c>
      <c r="G613" s="22">
        <v>3.8</v>
      </c>
      <c r="H613" s="21">
        <f>ROUND(G613*E613,0)</f>
        <v>641285</v>
      </c>
      <c r="I613" s="21">
        <f>H613-F613</f>
        <v>0</v>
      </c>
      <c r="J613" s="23"/>
      <c r="K613" s="24" t="s">
        <v>1138</v>
      </c>
      <c r="L613" s="35">
        <v>0</v>
      </c>
    </row>
    <row r="614" spans="1:12" x14ac:dyDescent="0.25">
      <c r="A614" s="16" t="s">
        <v>1139</v>
      </c>
      <c r="B614" s="36" t="s">
        <v>880</v>
      </c>
      <c r="C614" s="18">
        <v>3.5</v>
      </c>
      <c r="D614" s="19" t="s">
        <v>38</v>
      </c>
      <c r="E614" s="20">
        <v>233097.83</v>
      </c>
      <c r="F614" s="21">
        <v>815842</v>
      </c>
      <c r="G614" s="22">
        <v>3.5</v>
      </c>
      <c r="H614" s="21">
        <f>ROUND(G614*E614,0)</f>
        <v>815842</v>
      </c>
      <c r="I614" s="21">
        <f>H614-F614</f>
        <v>0</v>
      </c>
      <c r="J614" s="23"/>
      <c r="K614" s="24" t="s">
        <v>1140</v>
      </c>
      <c r="L614" s="35">
        <v>0</v>
      </c>
    </row>
    <row r="615" spans="1:12" x14ac:dyDescent="0.25">
      <c r="A615" s="16" t="s">
        <v>1141</v>
      </c>
      <c r="B615" s="36" t="s">
        <v>890</v>
      </c>
      <c r="C615" s="18">
        <v>1</v>
      </c>
      <c r="D615" s="19" t="s">
        <v>31</v>
      </c>
      <c r="E615" s="20">
        <v>1614611.28</v>
      </c>
      <c r="F615" s="21">
        <v>1614611</v>
      </c>
      <c r="G615" s="22">
        <v>1</v>
      </c>
      <c r="H615" s="21">
        <f>ROUND(G615*E615,0)</f>
        <v>1614611</v>
      </c>
      <c r="I615" s="21">
        <f>H615-F615</f>
        <v>0</v>
      </c>
      <c r="J615" s="23"/>
      <c r="K615" s="24" t="s">
        <v>1142</v>
      </c>
      <c r="L615" s="35">
        <v>0</v>
      </c>
    </row>
    <row r="616" spans="1:12" x14ac:dyDescent="0.25">
      <c r="A616" s="16" t="s">
        <v>1143</v>
      </c>
      <c r="B616" s="36" t="s">
        <v>928</v>
      </c>
      <c r="C616" s="18">
        <v>1</v>
      </c>
      <c r="D616" s="19" t="s">
        <v>155</v>
      </c>
      <c r="E616" s="20">
        <v>3340831.69</v>
      </c>
      <c r="F616" s="21">
        <v>3340832</v>
      </c>
      <c r="G616" s="22">
        <v>1</v>
      </c>
      <c r="H616" s="21">
        <f>ROUND(G616*E616,0)</f>
        <v>3340832</v>
      </c>
      <c r="I616" s="21">
        <f>H616-F616</f>
        <v>0</v>
      </c>
      <c r="J616" s="23"/>
      <c r="K616" s="24" t="s">
        <v>1144</v>
      </c>
      <c r="L616" s="35">
        <v>0</v>
      </c>
    </row>
    <row r="617" spans="1:12" s="26" customFormat="1" x14ac:dyDescent="0.25">
      <c r="A617" s="27" t="s">
        <v>1145</v>
      </c>
      <c r="B617" s="33" t="s">
        <v>892</v>
      </c>
      <c r="C617" s="29"/>
      <c r="D617" s="30"/>
      <c r="E617" s="30"/>
      <c r="F617" s="31">
        <v>4326071</v>
      </c>
      <c r="G617" s="30"/>
      <c r="H617" s="29"/>
      <c r="I617" s="29"/>
      <c r="J617" s="30"/>
      <c r="K617" s="32" t="s">
        <v>1146</v>
      </c>
      <c r="L617" s="29"/>
    </row>
    <row r="618" spans="1:12" x14ac:dyDescent="0.25">
      <c r="A618" s="16" t="s">
        <v>1147</v>
      </c>
      <c r="B618" s="34" t="s">
        <v>894</v>
      </c>
      <c r="C618" s="18">
        <v>1</v>
      </c>
      <c r="D618" s="19" t="s">
        <v>155</v>
      </c>
      <c r="E618" s="20">
        <v>1263303.87</v>
      </c>
      <c r="F618" s="21">
        <v>1263304</v>
      </c>
      <c r="G618" s="22">
        <v>1</v>
      </c>
      <c r="H618" s="21">
        <f>ROUND(G618*E618,0)</f>
        <v>1263304</v>
      </c>
      <c r="I618" s="21">
        <f>H618-F618</f>
        <v>0</v>
      </c>
      <c r="J618" s="23"/>
      <c r="K618" s="24" t="s">
        <v>1148</v>
      </c>
      <c r="L618" s="35">
        <v>0</v>
      </c>
    </row>
    <row r="619" spans="1:12" x14ac:dyDescent="0.25">
      <c r="A619" s="16" t="s">
        <v>1149</v>
      </c>
      <c r="B619" s="34" t="s">
        <v>896</v>
      </c>
      <c r="C619" s="18">
        <v>1</v>
      </c>
      <c r="D619" s="19" t="s">
        <v>155</v>
      </c>
      <c r="E619" s="20">
        <v>0</v>
      </c>
      <c r="F619" s="21">
        <v>0</v>
      </c>
      <c r="G619" s="22">
        <v>1</v>
      </c>
      <c r="H619" s="21">
        <f>ROUND(G619*E619,0)</f>
        <v>0</v>
      </c>
      <c r="I619" s="21">
        <f>H619-F619</f>
        <v>0</v>
      </c>
      <c r="J619" s="23"/>
      <c r="K619" s="24" t="s">
        <v>1150</v>
      </c>
      <c r="L619" s="35">
        <v>0</v>
      </c>
    </row>
    <row r="620" spans="1:12" x14ac:dyDescent="0.25">
      <c r="A620" s="16" t="s">
        <v>1151</v>
      </c>
      <c r="B620" s="34" t="s">
        <v>898</v>
      </c>
      <c r="C620" s="18">
        <v>0</v>
      </c>
      <c r="D620" s="19" t="s">
        <v>836</v>
      </c>
      <c r="E620" s="20">
        <v>0</v>
      </c>
      <c r="F620" s="21">
        <v>0</v>
      </c>
      <c r="G620" s="22">
        <v>0</v>
      </c>
      <c r="H620" s="21">
        <f>ROUND(G620*E620,0)</f>
        <v>0</v>
      </c>
      <c r="I620" s="21">
        <f>H620-F620</f>
        <v>0</v>
      </c>
      <c r="J620" s="23"/>
      <c r="K620" s="24" t="s">
        <v>1152</v>
      </c>
      <c r="L620" s="35">
        <v>0</v>
      </c>
    </row>
    <row r="621" spans="1:12" x14ac:dyDescent="0.25">
      <c r="A621" s="16" t="s">
        <v>1153</v>
      </c>
      <c r="B621" s="34" t="s">
        <v>901</v>
      </c>
      <c r="C621" s="18">
        <v>2.3</v>
      </c>
      <c r="D621" s="19" t="s">
        <v>214</v>
      </c>
      <c r="E621" s="20">
        <v>120211.9</v>
      </c>
      <c r="F621" s="21">
        <v>276488</v>
      </c>
      <c r="G621" s="22">
        <v>2.3</v>
      </c>
      <c r="H621" s="21">
        <f>ROUND(G621*E621,0)</f>
        <v>276488</v>
      </c>
      <c r="I621" s="21">
        <f>H621-F621</f>
        <v>0</v>
      </c>
      <c r="J621" s="23"/>
      <c r="K621" s="24" t="s">
        <v>1154</v>
      </c>
      <c r="L621" s="35">
        <v>0</v>
      </c>
    </row>
    <row r="622" spans="1:12" x14ac:dyDescent="0.25">
      <c r="A622" s="16" t="s">
        <v>1155</v>
      </c>
      <c r="B622" s="34" t="s">
        <v>904</v>
      </c>
      <c r="C622" s="18">
        <v>2.88</v>
      </c>
      <c r="D622" s="19" t="s">
        <v>23</v>
      </c>
      <c r="E622" s="20">
        <v>130392.01</v>
      </c>
      <c r="F622" s="21">
        <v>375529</v>
      </c>
      <c r="G622" s="22">
        <v>2.88</v>
      </c>
      <c r="H622" s="21">
        <f>ROUND(G622*E622,0)</f>
        <v>375529</v>
      </c>
      <c r="I622" s="21">
        <f>H622-F622</f>
        <v>0</v>
      </c>
      <c r="J622" s="23"/>
      <c r="K622" s="24" t="s">
        <v>1156</v>
      </c>
      <c r="L622" s="35">
        <v>0</v>
      </c>
    </row>
    <row r="623" spans="1:12" x14ac:dyDescent="0.25">
      <c r="A623" s="16" t="s">
        <v>1157</v>
      </c>
      <c r="B623" s="34" t="s">
        <v>907</v>
      </c>
      <c r="C623" s="18">
        <v>12.5</v>
      </c>
      <c r="D623" s="19" t="s">
        <v>229</v>
      </c>
      <c r="E623" s="20">
        <v>19248.5</v>
      </c>
      <c r="F623" s="21">
        <v>240606</v>
      </c>
      <c r="G623" s="22">
        <v>12.5</v>
      </c>
      <c r="H623" s="21">
        <f>ROUND(G623*E623,0)</f>
        <v>240606</v>
      </c>
      <c r="I623" s="21">
        <f>H623-F623</f>
        <v>0</v>
      </c>
      <c r="J623" s="23"/>
      <c r="K623" s="24" t="s">
        <v>1158</v>
      </c>
      <c r="L623" s="35">
        <v>0</v>
      </c>
    </row>
    <row r="624" spans="1:12" x14ac:dyDescent="0.25">
      <c r="A624" s="16" t="s">
        <v>1159</v>
      </c>
      <c r="B624" s="34" t="s">
        <v>845</v>
      </c>
      <c r="C624" s="18">
        <v>0.43</v>
      </c>
      <c r="D624" s="19" t="s">
        <v>214</v>
      </c>
      <c r="E624" s="20">
        <v>1151545.01</v>
      </c>
      <c r="F624" s="21">
        <v>495164</v>
      </c>
      <c r="G624" s="22">
        <v>0.43</v>
      </c>
      <c r="H624" s="21">
        <f>ROUND(G624*E624,0)</f>
        <v>495164</v>
      </c>
      <c r="I624" s="21">
        <f>H624-F624</f>
        <v>0</v>
      </c>
      <c r="J624" s="23"/>
      <c r="K624" s="24" t="s">
        <v>1160</v>
      </c>
      <c r="L624" s="35">
        <v>0</v>
      </c>
    </row>
    <row r="625" spans="1:12" x14ac:dyDescent="0.25">
      <c r="A625" s="16" t="s">
        <v>1161</v>
      </c>
      <c r="B625" s="34" t="s">
        <v>912</v>
      </c>
      <c r="C625" s="18">
        <v>0</v>
      </c>
      <c r="D625" s="19" t="s">
        <v>836</v>
      </c>
      <c r="E625" s="20">
        <v>0</v>
      </c>
      <c r="F625" s="21">
        <v>0</v>
      </c>
      <c r="G625" s="22">
        <v>0</v>
      </c>
      <c r="H625" s="21">
        <f>ROUND(G625*E625,0)</f>
        <v>0</v>
      </c>
      <c r="I625" s="21">
        <f>H625-F625</f>
        <v>0</v>
      </c>
      <c r="J625" s="23"/>
      <c r="K625" s="24" t="s">
        <v>1162</v>
      </c>
      <c r="L625" s="35">
        <v>0</v>
      </c>
    </row>
    <row r="626" spans="1:12" x14ac:dyDescent="0.25">
      <c r="A626" s="16" t="s">
        <v>1163</v>
      </c>
      <c r="B626" s="34" t="s">
        <v>915</v>
      </c>
      <c r="C626" s="18">
        <v>3.2</v>
      </c>
      <c r="D626" s="19" t="s">
        <v>23</v>
      </c>
      <c r="E626" s="20">
        <v>208190.98</v>
      </c>
      <c r="F626" s="21">
        <v>666211</v>
      </c>
      <c r="G626" s="22">
        <v>3.2</v>
      </c>
      <c r="H626" s="21">
        <f>ROUND(G626*E626,0)</f>
        <v>666211</v>
      </c>
      <c r="I626" s="21">
        <f>H626-F626</f>
        <v>0</v>
      </c>
      <c r="J626" s="23"/>
      <c r="K626" s="24" t="s">
        <v>1164</v>
      </c>
      <c r="L626" s="35">
        <v>0</v>
      </c>
    </row>
    <row r="627" spans="1:12" x14ac:dyDescent="0.25">
      <c r="A627" s="16" t="s">
        <v>1165</v>
      </c>
      <c r="B627" s="34" t="s">
        <v>918</v>
      </c>
      <c r="C627" s="18">
        <v>22.5</v>
      </c>
      <c r="D627" s="19" t="s">
        <v>229</v>
      </c>
      <c r="E627" s="20">
        <v>19248.5</v>
      </c>
      <c r="F627" s="21">
        <v>433091</v>
      </c>
      <c r="G627" s="22">
        <v>22.5</v>
      </c>
      <c r="H627" s="21">
        <f>ROUND(G627*E627,0)</f>
        <v>433091</v>
      </c>
      <c r="I627" s="21">
        <f>H627-F627</f>
        <v>0</v>
      </c>
      <c r="J627" s="23"/>
      <c r="K627" s="24" t="s">
        <v>1166</v>
      </c>
      <c r="L627" s="35">
        <v>0</v>
      </c>
    </row>
    <row r="628" spans="1:12" x14ac:dyDescent="0.25">
      <c r="A628" s="16" t="s">
        <v>1167</v>
      </c>
      <c r="B628" s="34" t="s">
        <v>921</v>
      </c>
      <c r="C628" s="18">
        <v>9.85</v>
      </c>
      <c r="D628" s="19" t="s">
        <v>229</v>
      </c>
      <c r="E628" s="20">
        <v>13176.23</v>
      </c>
      <c r="F628" s="21">
        <v>129786</v>
      </c>
      <c r="G628" s="22">
        <v>9.85</v>
      </c>
      <c r="H628" s="21">
        <f>ROUND(G628*E628,0)</f>
        <v>129786</v>
      </c>
      <c r="I628" s="21">
        <f>H628-F628</f>
        <v>0</v>
      </c>
      <c r="J628" s="23"/>
      <c r="K628" s="24" t="s">
        <v>1168</v>
      </c>
      <c r="L628" s="35">
        <v>0</v>
      </c>
    </row>
    <row r="629" spans="1:12" x14ac:dyDescent="0.25">
      <c r="A629" s="16" t="s">
        <v>1169</v>
      </c>
      <c r="B629" s="34" t="s">
        <v>845</v>
      </c>
      <c r="C629" s="18">
        <v>0.2</v>
      </c>
      <c r="D629" s="19" t="s">
        <v>214</v>
      </c>
      <c r="E629" s="20">
        <v>1151545.01</v>
      </c>
      <c r="F629" s="21">
        <v>230309</v>
      </c>
      <c r="G629" s="22">
        <v>0.2</v>
      </c>
      <c r="H629" s="21">
        <f>ROUND(G629*E629,0)</f>
        <v>230309</v>
      </c>
      <c r="I629" s="21">
        <f>H629-F629</f>
        <v>0</v>
      </c>
      <c r="J629" s="23"/>
      <c r="K629" s="24" t="s">
        <v>1170</v>
      </c>
      <c r="L629" s="35">
        <v>0</v>
      </c>
    </row>
    <row r="630" spans="1:12" x14ac:dyDescent="0.25">
      <c r="A630" s="16" t="s">
        <v>1171</v>
      </c>
      <c r="B630" s="34" t="s">
        <v>926</v>
      </c>
      <c r="C630" s="18">
        <v>11.2</v>
      </c>
      <c r="D630" s="19" t="s">
        <v>229</v>
      </c>
      <c r="E630" s="20">
        <v>19248.5</v>
      </c>
      <c r="F630" s="21">
        <v>215583</v>
      </c>
      <c r="G630" s="22">
        <v>11.2</v>
      </c>
      <c r="H630" s="21">
        <f>ROUND(G630*E630,0)</f>
        <v>215583</v>
      </c>
      <c r="I630" s="21">
        <f>H630-F630</f>
        <v>0</v>
      </c>
      <c r="J630" s="23"/>
      <c r="K630" s="24" t="s">
        <v>1172</v>
      </c>
      <c r="L630" s="35">
        <v>0</v>
      </c>
    </row>
    <row r="631" spans="1:12" s="26" customFormat="1" x14ac:dyDescent="0.25">
      <c r="A631" s="27" t="s">
        <v>1173</v>
      </c>
      <c r="B631" s="33" t="s">
        <v>1174</v>
      </c>
      <c r="C631" s="29"/>
      <c r="D631" s="30"/>
      <c r="E631" s="30"/>
      <c r="F631" s="31">
        <v>4004103</v>
      </c>
      <c r="G631" s="30"/>
      <c r="H631" s="29"/>
      <c r="I631" s="29"/>
      <c r="J631" s="30"/>
      <c r="K631" s="32" t="s">
        <v>1175</v>
      </c>
      <c r="L631" s="29"/>
    </row>
    <row r="632" spans="1:12" x14ac:dyDescent="0.25">
      <c r="A632" s="16" t="s">
        <v>1176</v>
      </c>
      <c r="B632" s="34" t="s">
        <v>932</v>
      </c>
      <c r="C632" s="18">
        <v>3.94</v>
      </c>
      <c r="D632" s="19" t="s">
        <v>214</v>
      </c>
      <c r="E632" s="20">
        <v>103880.83</v>
      </c>
      <c r="F632" s="21">
        <v>409291</v>
      </c>
      <c r="G632" s="22">
        <v>3.94</v>
      </c>
      <c r="H632" s="21">
        <f>ROUND(G632*E632,0)</f>
        <v>409291</v>
      </c>
      <c r="I632" s="21">
        <f>H632-F632</f>
        <v>0</v>
      </c>
      <c r="J632" s="23"/>
      <c r="K632" s="24" t="s">
        <v>1177</v>
      </c>
      <c r="L632" s="35">
        <v>0</v>
      </c>
    </row>
    <row r="633" spans="1:12" x14ac:dyDescent="0.25">
      <c r="A633" s="16" t="s">
        <v>1178</v>
      </c>
      <c r="B633" s="34" t="s">
        <v>934</v>
      </c>
      <c r="C633" s="18">
        <v>0.23</v>
      </c>
      <c r="D633" s="19" t="s">
        <v>214</v>
      </c>
      <c r="E633" s="20">
        <v>345522.98</v>
      </c>
      <c r="F633" s="21">
        <v>79470</v>
      </c>
      <c r="G633" s="22">
        <v>0.23</v>
      </c>
      <c r="H633" s="21">
        <f>ROUND(G633*E633,0)</f>
        <v>79470</v>
      </c>
      <c r="I633" s="21">
        <f>H633-F633</f>
        <v>0</v>
      </c>
      <c r="J633" s="23"/>
      <c r="K633" s="24" t="s">
        <v>1179</v>
      </c>
      <c r="L633" s="35">
        <v>0</v>
      </c>
    </row>
    <row r="634" spans="1:12" x14ac:dyDescent="0.25">
      <c r="A634" s="16" t="s">
        <v>1180</v>
      </c>
      <c r="B634" s="34" t="s">
        <v>640</v>
      </c>
      <c r="C634" s="18">
        <v>0.11</v>
      </c>
      <c r="D634" s="19" t="s">
        <v>214</v>
      </c>
      <c r="E634" s="20">
        <v>1016530.97</v>
      </c>
      <c r="F634" s="21">
        <v>111818</v>
      </c>
      <c r="G634" s="22">
        <v>0.11</v>
      </c>
      <c r="H634" s="21">
        <f>ROUND(G634*E634,0)</f>
        <v>111818</v>
      </c>
      <c r="I634" s="21">
        <f>H634-F634</f>
        <v>0</v>
      </c>
      <c r="J634" s="23"/>
      <c r="K634" s="24" t="s">
        <v>1181</v>
      </c>
      <c r="L634" s="35">
        <v>0</v>
      </c>
    </row>
    <row r="635" spans="1:12" x14ac:dyDescent="0.25">
      <c r="A635" s="16" t="s">
        <v>1182</v>
      </c>
      <c r="B635" s="34" t="s">
        <v>937</v>
      </c>
      <c r="C635" s="18">
        <v>1</v>
      </c>
      <c r="D635" s="19" t="s">
        <v>155</v>
      </c>
      <c r="E635" s="20">
        <v>3403523.41</v>
      </c>
      <c r="F635" s="21">
        <v>3403524</v>
      </c>
      <c r="G635" s="22">
        <v>1</v>
      </c>
      <c r="H635" s="21">
        <f>ROUND(G635*E635,0)</f>
        <v>3403524</v>
      </c>
      <c r="I635" s="21">
        <f>H635-F635</f>
        <v>0</v>
      </c>
      <c r="J635" s="23"/>
      <c r="K635" s="24" t="s">
        <v>1183</v>
      </c>
      <c r="L635" s="35">
        <v>0</v>
      </c>
    </row>
    <row r="636" spans="1:12" x14ac:dyDescent="0.25">
      <c r="A636" s="16" t="s">
        <v>1184</v>
      </c>
      <c r="B636" s="36" t="s">
        <v>1185</v>
      </c>
      <c r="C636" s="18">
        <v>16</v>
      </c>
      <c r="D636" s="19" t="s">
        <v>148</v>
      </c>
      <c r="E636" s="20">
        <v>421873.56</v>
      </c>
      <c r="F636" s="21">
        <v>6749977</v>
      </c>
      <c r="G636" s="22">
        <v>16</v>
      </c>
      <c r="H636" s="21">
        <f>ROUND(G636*E636,0)</f>
        <v>6749977</v>
      </c>
      <c r="I636" s="21">
        <f>H636-F636</f>
        <v>0</v>
      </c>
      <c r="J636" s="23"/>
      <c r="K636" s="24" t="s">
        <v>1186</v>
      </c>
      <c r="L636" s="35">
        <v>0</v>
      </c>
    </row>
    <row r="637" spans="1:12" x14ac:dyDescent="0.25">
      <c r="A637" s="16" t="s">
        <v>1187</v>
      </c>
      <c r="B637" s="36" t="s">
        <v>1188</v>
      </c>
      <c r="C637" s="18">
        <v>9</v>
      </c>
      <c r="D637" s="19" t="s">
        <v>148</v>
      </c>
      <c r="E637" s="20">
        <v>534274.39</v>
      </c>
      <c r="F637" s="21">
        <v>4808469</v>
      </c>
      <c r="G637" s="22">
        <v>9</v>
      </c>
      <c r="H637" s="21">
        <f>ROUND(G637*E637,0)</f>
        <v>4808469</v>
      </c>
      <c r="I637" s="21">
        <f>H637-F637</f>
        <v>0</v>
      </c>
      <c r="J637" s="23"/>
      <c r="K637" s="24" t="s">
        <v>1189</v>
      </c>
      <c r="L637" s="35">
        <v>0</v>
      </c>
    </row>
    <row r="638" spans="1:12" x14ac:dyDescent="0.25">
      <c r="A638" s="16" t="s">
        <v>1190</v>
      </c>
      <c r="B638" s="36" t="s">
        <v>1191</v>
      </c>
      <c r="C638" s="18">
        <v>1</v>
      </c>
      <c r="D638" s="19" t="s">
        <v>148</v>
      </c>
      <c r="E638" s="20">
        <v>606888.15</v>
      </c>
      <c r="F638" s="21">
        <v>606888</v>
      </c>
      <c r="G638" s="22">
        <v>1</v>
      </c>
      <c r="H638" s="21">
        <f>ROUND(G638*E638,0)</f>
        <v>606888</v>
      </c>
      <c r="I638" s="21">
        <f>H638-F638</f>
        <v>0</v>
      </c>
      <c r="J638" s="23"/>
      <c r="K638" s="24" t="s">
        <v>1192</v>
      </c>
      <c r="L638" s="35">
        <v>0</v>
      </c>
    </row>
    <row r="639" spans="1:12" x14ac:dyDescent="0.25">
      <c r="A639" s="16" t="s">
        <v>1193</v>
      </c>
      <c r="B639" s="36" t="s">
        <v>946</v>
      </c>
      <c r="C639" s="18">
        <v>4</v>
      </c>
      <c r="D639" s="19" t="s">
        <v>31</v>
      </c>
      <c r="E639" s="20">
        <v>69831.65</v>
      </c>
      <c r="F639" s="21">
        <v>279327</v>
      </c>
      <c r="G639" s="22">
        <v>4</v>
      </c>
      <c r="H639" s="21">
        <f>ROUND(G639*E639,0)</f>
        <v>279327</v>
      </c>
      <c r="I639" s="21">
        <f>H639-F639</f>
        <v>0</v>
      </c>
      <c r="J639" s="23"/>
      <c r="K639" s="24" t="s">
        <v>1194</v>
      </c>
      <c r="L639" s="35">
        <v>0</v>
      </c>
    </row>
    <row r="640" spans="1:12" x14ac:dyDescent="0.25">
      <c r="A640" s="16" t="s">
        <v>1195</v>
      </c>
      <c r="B640" s="36" t="s">
        <v>1196</v>
      </c>
      <c r="C640" s="18">
        <v>1</v>
      </c>
      <c r="D640" s="19" t="s">
        <v>31</v>
      </c>
      <c r="E640" s="20">
        <v>66848.01</v>
      </c>
      <c r="F640" s="21">
        <v>66848</v>
      </c>
      <c r="G640" s="22">
        <v>1</v>
      </c>
      <c r="H640" s="21">
        <f>ROUND(G640*E640,0)</f>
        <v>66848</v>
      </c>
      <c r="I640" s="21">
        <f>H640-F640</f>
        <v>0</v>
      </c>
      <c r="J640" s="23"/>
      <c r="K640" s="24" t="s">
        <v>1197</v>
      </c>
      <c r="L640" s="35">
        <v>0</v>
      </c>
    </row>
    <row r="641" spans="1:12" x14ac:dyDescent="0.25">
      <c r="A641" s="16" t="s">
        <v>1198</v>
      </c>
      <c r="B641" s="36" t="s">
        <v>948</v>
      </c>
      <c r="C641" s="18">
        <v>7</v>
      </c>
      <c r="D641" s="19" t="s">
        <v>31</v>
      </c>
      <c r="E641" s="20">
        <v>55282.67</v>
      </c>
      <c r="F641" s="21">
        <v>386979</v>
      </c>
      <c r="G641" s="22">
        <v>7</v>
      </c>
      <c r="H641" s="21">
        <f>ROUND(G641*E641,0)</f>
        <v>386979</v>
      </c>
      <c r="I641" s="21">
        <f>H641-F641</f>
        <v>0</v>
      </c>
      <c r="J641" s="23"/>
      <c r="K641" s="24" t="s">
        <v>1199</v>
      </c>
      <c r="L641" s="35">
        <v>0</v>
      </c>
    </row>
    <row r="642" spans="1:12" x14ac:dyDescent="0.25">
      <c r="A642" s="16" t="s">
        <v>1200</v>
      </c>
      <c r="B642" s="36" t="s">
        <v>1201</v>
      </c>
      <c r="C642" s="18">
        <v>1</v>
      </c>
      <c r="D642" s="19" t="s">
        <v>31</v>
      </c>
      <c r="E642" s="20">
        <v>63292.81</v>
      </c>
      <c r="F642" s="21">
        <v>63293</v>
      </c>
      <c r="G642" s="22">
        <v>1</v>
      </c>
      <c r="H642" s="21">
        <f>ROUND(G642*E642,0)</f>
        <v>63293</v>
      </c>
      <c r="I642" s="21">
        <f>H642-F642</f>
        <v>0</v>
      </c>
      <c r="J642" s="23"/>
      <c r="K642" s="24" t="s">
        <v>1202</v>
      </c>
      <c r="L642" s="35">
        <v>0</v>
      </c>
    </row>
    <row r="643" spans="1:12" x14ac:dyDescent="0.25">
      <c r="A643" s="16" t="s">
        <v>1203</v>
      </c>
      <c r="B643" s="36" t="s">
        <v>1204</v>
      </c>
      <c r="C643" s="18">
        <v>1</v>
      </c>
      <c r="D643" s="19" t="s">
        <v>31</v>
      </c>
      <c r="E643" s="20">
        <v>58417.93</v>
      </c>
      <c r="F643" s="21">
        <v>58418</v>
      </c>
      <c r="G643" s="22">
        <v>1</v>
      </c>
      <c r="H643" s="21">
        <f>ROUND(G643*E643,0)</f>
        <v>58418</v>
      </c>
      <c r="I643" s="21">
        <f>H643-F643</f>
        <v>0</v>
      </c>
      <c r="J643" s="23"/>
      <c r="K643" s="24" t="s">
        <v>1205</v>
      </c>
      <c r="L643" s="35">
        <v>0</v>
      </c>
    </row>
    <row r="644" spans="1:12" x14ac:dyDescent="0.25">
      <c r="A644" s="16" t="s">
        <v>1206</v>
      </c>
      <c r="B644" s="36" t="s">
        <v>942</v>
      </c>
      <c r="C644" s="18">
        <v>16</v>
      </c>
      <c r="D644" s="19" t="s">
        <v>31</v>
      </c>
      <c r="E644" s="20">
        <v>160506.41</v>
      </c>
      <c r="F644" s="21">
        <v>2568103</v>
      </c>
      <c r="G644" s="22">
        <v>16</v>
      </c>
      <c r="H644" s="21">
        <f>ROUND(G644*E644,0)</f>
        <v>2568103</v>
      </c>
      <c r="I644" s="21">
        <f>H644-F644</f>
        <v>0</v>
      </c>
      <c r="J644" s="23"/>
      <c r="K644" s="24" t="s">
        <v>1207</v>
      </c>
      <c r="L644" s="35">
        <v>0</v>
      </c>
    </row>
    <row r="645" spans="1:12" x14ac:dyDescent="0.25">
      <c r="A645" s="16" t="s">
        <v>1208</v>
      </c>
      <c r="B645" s="36" t="s">
        <v>1209</v>
      </c>
      <c r="C645" s="18">
        <v>1</v>
      </c>
      <c r="D645" s="19" t="s">
        <v>155</v>
      </c>
      <c r="E645" s="20">
        <v>5687969.99</v>
      </c>
      <c r="F645" s="21">
        <v>5687970</v>
      </c>
      <c r="G645" s="22">
        <v>1</v>
      </c>
      <c r="H645" s="21">
        <f>ROUND(G645*E645,0)</f>
        <v>5687970</v>
      </c>
      <c r="I645" s="21">
        <f>H645-F645</f>
        <v>0</v>
      </c>
      <c r="J645" s="23"/>
      <c r="K645" s="24" t="s">
        <v>1210</v>
      </c>
      <c r="L645" s="35">
        <v>0</v>
      </c>
    </row>
    <row r="646" spans="1:12" x14ac:dyDescent="0.25">
      <c r="A646" s="16" t="s">
        <v>1211</v>
      </c>
      <c r="B646" s="36" t="s">
        <v>1212</v>
      </c>
      <c r="C646" s="18">
        <v>1</v>
      </c>
      <c r="D646" s="19" t="s">
        <v>155</v>
      </c>
      <c r="E646" s="20">
        <v>40727.6</v>
      </c>
      <c r="F646" s="21">
        <v>40728</v>
      </c>
      <c r="G646" s="22">
        <v>1</v>
      </c>
      <c r="H646" s="21">
        <f>ROUND(G646*E646,0)</f>
        <v>40728</v>
      </c>
      <c r="I646" s="21">
        <f>H646-F646</f>
        <v>0</v>
      </c>
      <c r="J646" s="23"/>
      <c r="K646" s="24" t="s">
        <v>1213</v>
      </c>
      <c r="L646" s="35">
        <v>0</v>
      </c>
    </row>
    <row r="647" spans="1:12" s="8" customFormat="1" x14ac:dyDescent="0.25">
      <c r="A647" s="9" t="s">
        <v>1214</v>
      </c>
      <c r="B647" s="10" t="s">
        <v>1215</v>
      </c>
      <c r="C647" s="11"/>
      <c r="D647" s="12"/>
      <c r="E647" s="12"/>
      <c r="F647" s="13">
        <v>454593106</v>
      </c>
      <c r="G647" s="12"/>
      <c r="H647" s="11"/>
      <c r="I647" s="11"/>
      <c r="J647" s="12"/>
      <c r="K647" s="14" t="s">
        <v>1214</v>
      </c>
      <c r="L647" s="15"/>
    </row>
    <row r="648" spans="1:12" s="26" customFormat="1" x14ac:dyDescent="0.25">
      <c r="A648" s="27" t="s">
        <v>1216</v>
      </c>
      <c r="B648" s="28" t="s">
        <v>317</v>
      </c>
      <c r="C648" s="29"/>
      <c r="D648" s="30"/>
      <c r="E648" s="30"/>
      <c r="F648" s="31">
        <v>75375931</v>
      </c>
      <c r="G648" s="30"/>
      <c r="H648" s="29"/>
      <c r="I648" s="29"/>
      <c r="J648" s="30"/>
      <c r="K648" s="32" t="s">
        <v>1217</v>
      </c>
      <c r="L648" s="29"/>
    </row>
    <row r="649" spans="1:12" x14ac:dyDescent="0.25">
      <c r="A649" s="16" t="s">
        <v>21</v>
      </c>
      <c r="B649" s="36" t="s">
        <v>319</v>
      </c>
      <c r="C649" s="18">
        <v>20</v>
      </c>
      <c r="D649" s="19" t="s">
        <v>38</v>
      </c>
      <c r="E649" s="20">
        <v>147990.68</v>
      </c>
      <c r="F649" s="21">
        <v>2959814</v>
      </c>
      <c r="G649" s="22">
        <v>20</v>
      </c>
      <c r="H649" s="21">
        <f>ROUND(G649*E649,0)</f>
        <v>2959814</v>
      </c>
      <c r="I649" s="21">
        <f>H649-F649</f>
        <v>0</v>
      </c>
      <c r="J649" s="23"/>
      <c r="K649" s="24" t="s">
        <v>1218</v>
      </c>
      <c r="L649" s="25">
        <v>20</v>
      </c>
    </row>
    <row r="650" spans="1:12" s="26" customFormat="1" x14ac:dyDescent="0.25">
      <c r="A650" s="27" t="s">
        <v>25</v>
      </c>
      <c r="B650" s="33" t="s">
        <v>1219</v>
      </c>
      <c r="C650" s="29"/>
      <c r="D650" s="30"/>
      <c r="E650" s="30"/>
      <c r="F650" s="31">
        <v>12947895</v>
      </c>
      <c r="G650" s="30"/>
      <c r="H650" s="29"/>
      <c r="I650" s="29"/>
      <c r="J650" s="30"/>
      <c r="K650" s="32" t="s">
        <v>1220</v>
      </c>
      <c r="L650" s="29"/>
    </row>
    <row r="651" spans="1:12" x14ac:dyDescent="0.25">
      <c r="A651" s="16" t="s">
        <v>224</v>
      </c>
      <c r="B651" s="34" t="s">
        <v>1221</v>
      </c>
      <c r="C651" s="18">
        <v>1.01</v>
      </c>
      <c r="D651" s="19" t="s">
        <v>214</v>
      </c>
      <c r="E651" s="20">
        <v>56660.36</v>
      </c>
      <c r="F651" s="21">
        <v>57227</v>
      </c>
      <c r="G651" s="22">
        <v>1.01</v>
      </c>
      <c r="H651" s="21">
        <f>ROUND(G651*E651,0)</f>
        <v>57227</v>
      </c>
      <c r="I651" s="21">
        <f>H651-F651</f>
        <v>0</v>
      </c>
      <c r="J651" s="23"/>
      <c r="K651" s="24" t="s">
        <v>1222</v>
      </c>
      <c r="L651" s="25">
        <v>1.01</v>
      </c>
    </row>
    <row r="652" spans="1:12" x14ac:dyDescent="0.25">
      <c r="A652" s="16" t="s">
        <v>227</v>
      </c>
      <c r="B652" s="34" t="s">
        <v>342</v>
      </c>
      <c r="C652" s="18">
        <v>144</v>
      </c>
      <c r="D652" s="19" t="s">
        <v>38</v>
      </c>
      <c r="E652" s="20">
        <v>26681.29</v>
      </c>
      <c r="F652" s="21">
        <v>3842106</v>
      </c>
      <c r="G652" s="22">
        <v>144</v>
      </c>
      <c r="H652" s="21">
        <f>ROUND(G652*E652,0)</f>
        <v>3842106</v>
      </c>
      <c r="I652" s="21">
        <f>H652-F652</f>
        <v>0</v>
      </c>
      <c r="J652" s="23"/>
      <c r="K652" s="24" t="s">
        <v>1223</v>
      </c>
      <c r="L652" s="25">
        <v>144</v>
      </c>
    </row>
    <row r="653" spans="1:12" x14ac:dyDescent="0.25">
      <c r="A653" s="16" t="s">
        <v>231</v>
      </c>
      <c r="B653" s="34" t="s">
        <v>1224</v>
      </c>
      <c r="C653" s="18">
        <v>0.07</v>
      </c>
      <c r="D653" s="19" t="s">
        <v>214</v>
      </c>
      <c r="E653" s="20">
        <v>345522.98</v>
      </c>
      <c r="F653" s="21">
        <v>24186</v>
      </c>
      <c r="G653" s="22">
        <v>0.07</v>
      </c>
      <c r="H653" s="21">
        <f>ROUND(G653*E653,0)</f>
        <v>24186</v>
      </c>
      <c r="I653" s="21">
        <f>H653-F653</f>
        <v>0</v>
      </c>
      <c r="J653" s="23"/>
      <c r="K653" s="24" t="s">
        <v>1225</v>
      </c>
      <c r="L653" s="25">
        <v>0.07</v>
      </c>
    </row>
    <row r="654" spans="1:12" x14ac:dyDescent="0.25">
      <c r="A654" s="16" t="s">
        <v>234</v>
      </c>
      <c r="B654" s="34" t="s">
        <v>640</v>
      </c>
      <c r="C654" s="18">
        <v>0.07</v>
      </c>
      <c r="D654" s="19" t="s">
        <v>214</v>
      </c>
      <c r="E654" s="20">
        <v>1016530.97</v>
      </c>
      <c r="F654" s="21">
        <v>71157</v>
      </c>
      <c r="G654" s="22">
        <v>0.07</v>
      </c>
      <c r="H654" s="21">
        <f>ROUND(G654*E654,0)</f>
        <v>71157</v>
      </c>
      <c r="I654" s="21">
        <f>H654-F654</f>
        <v>0</v>
      </c>
      <c r="J654" s="23"/>
      <c r="K654" s="24" t="s">
        <v>1226</v>
      </c>
      <c r="L654" s="25">
        <v>0.07</v>
      </c>
    </row>
    <row r="655" spans="1:12" x14ac:dyDescent="0.25">
      <c r="A655" s="16" t="s">
        <v>330</v>
      </c>
      <c r="B655" s="34" t="s">
        <v>328</v>
      </c>
      <c r="C655" s="18">
        <v>11.52</v>
      </c>
      <c r="D655" s="19" t="s">
        <v>23</v>
      </c>
      <c r="E655" s="20">
        <v>130392.01</v>
      </c>
      <c r="F655" s="21">
        <v>1502116</v>
      </c>
      <c r="G655" s="22">
        <v>11.52</v>
      </c>
      <c r="H655" s="21">
        <f>ROUND(G655*E655,0)</f>
        <v>1502116</v>
      </c>
      <c r="I655" s="21">
        <f>H655-F655</f>
        <v>0</v>
      </c>
      <c r="J655" s="23"/>
      <c r="K655" s="24" t="s">
        <v>1227</v>
      </c>
      <c r="L655" s="25">
        <v>11.52</v>
      </c>
    </row>
    <row r="656" spans="1:12" x14ac:dyDescent="0.25">
      <c r="A656" s="16" t="s">
        <v>333</v>
      </c>
      <c r="B656" s="34" t="s">
        <v>1228</v>
      </c>
      <c r="C656" s="18">
        <v>162.87</v>
      </c>
      <c r="D656" s="19" t="s">
        <v>229</v>
      </c>
      <c r="E656" s="20">
        <v>19248.5</v>
      </c>
      <c r="F656" s="21">
        <v>3135003</v>
      </c>
      <c r="G656" s="22">
        <v>162.87</v>
      </c>
      <c r="H656" s="21">
        <f>ROUND(G656*E656,0)</f>
        <v>3135003</v>
      </c>
      <c r="I656" s="21">
        <f>H656-F656</f>
        <v>0</v>
      </c>
      <c r="J656" s="23"/>
      <c r="K656" s="24" t="s">
        <v>1229</v>
      </c>
      <c r="L656" s="25">
        <v>162.87</v>
      </c>
    </row>
    <row r="657" spans="1:12" x14ac:dyDescent="0.25">
      <c r="A657" s="16" t="s">
        <v>336</v>
      </c>
      <c r="B657" s="34" t="s">
        <v>1230</v>
      </c>
      <c r="C657" s="18">
        <v>10</v>
      </c>
      <c r="D657" s="19" t="s">
        <v>229</v>
      </c>
      <c r="E657" s="20">
        <v>19248.5</v>
      </c>
      <c r="F657" s="21">
        <v>192485</v>
      </c>
      <c r="G657" s="22">
        <v>10</v>
      </c>
      <c r="H657" s="21">
        <f>ROUND(G657*E657,0)</f>
        <v>192485</v>
      </c>
      <c r="I657" s="21">
        <f>H657-F657</f>
        <v>0</v>
      </c>
      <c r="J657" s="23"/>
      <c r="K657" s="24" t="s">
        <v>1231</v>
      </c>
      <c r="L657" s="25">
        <v>10</v>
      </c>
    </row>
    <row r="658" spans="1:12" x14ac:dyDescent="0.25">
      <c r="A658" s="16" t="s">
        <v>528</v>
      </c>
      <c r="B658" s="34" t="s">
        <v>377</v>
      </c>
      <c r="C658" s="18">
        <v>3.46</v>
      </c>
      <c r="D658" s="19" t="s">
        <v>214</v>
      </c>
      <c r="E658" s="20">
        <v>1151545.01</v>
      </c>
      <c r="F658" s="21">
        <v>3984346</v>
      </c>
      <c r="G658" s="22">
        <v>3.46</v>
      </c>
      <c r="H658" s="21">
        <f>ROUND(G658*E658,0)</f>
        <v>3984346</v>
      </c>
      <c r="I658" s="21">
        <f>H658-F658</f>
        <v>0</v>
      </c>
      <c r="J658" s="23"/>
      <c r="K658" s="24" t="s">
        <v>1232</v>
      </c>
      <c r="L658" s="25">
        <v>3.46</v>
      </c>
    </row>
    <row r="659" spans="1:12" x14ac:dyDescent="0.25">
      <c r="A659" s="16" t="s">
        <v>1233</v>
      </c>
      <c r="B659" s="34" t="s">
        <v>1234</v>
      </c>
      <c r="C659" s="18">
        <v>3.46</v>
      </c>
      <c r="D659" s="19" t="s">
        <v>214</v>
      </c>
      <c r="E659" s="20">
        <v>40251.08</v>
      </c>
      <c r="F659" s="21">
        <v>139269</v>
      </c>
      <c r="G659" s="22">
        <v>3.46</v>
      </c>
      <c r="H659" s="21">
        <f>ROUND(G659*E659,0)</f>
        <v>139269</v>
      </c>
      <c r="I659" s="21">
        <f>H659-F659</f>
        <v>0</v>
      </c>
      <c r="J659" s="23"/>
      <c r="K659" s="24" t="s">
        <v>1235</v>
      </c>
      <c r="L659" s="25">
        <v>3.46</v>
      </c>
    </row>
    <row r="660" spans="1:12" s="26" customFormat="1" x14ac:dyDescent="0.25">
      <c r="A660" s="27" t="s">
        <v>29</v>
      </c>
      <c r="B660" s="33" t="s">
        <v>1236</v>
      </c>
      <c r="C660" s="29"/>
      <c r="D660" s="30"/>
      <c r="E660" s="30"/>
      <c r="F660" s="31">
        <v>3955039</v>
      </c>
      <c r="G660" s="30"/>
      <c r="H660" s="29"/>
      <c r="I660" s="29"/>
      <c r="J660" s="30"/>
      <c r="K660" s="32" t="s">
        <v>1237</v>
      </c>
      <c r="L660" s="29"/>
    </row>
    <row r="661" spans="1:12" x14ac:dyDescent="0.25">
      <c r="A661" s="16" t="s">
        <v>239</v>
      </c>
      <c r="B661" s="34" t="s">
        <v>1221</v>
      </c>
      <c r="C661" s="18">
        <v>2.4</v>
      </c>
      <c r="D661" s="19" t="s">
        <v>214</v>
      </c>
      <c r="E661" s="20">
        <v>56660.36</v>
      </c>
      <c r="F661" s="21">
        <v>135985</v>
      </c>
      <c r="G661" s="22">
        <v>2.4</v>
      </c>
      <c r="H661" s="21">
        <f>ROUND(G661*E661,0)</f>
        <v>135985</v>
      </c>
      <c r="I661" s="21">
        <f>H661-F661</f>
        <v>0</v>
      </c>
      <c r="J661" s="23"/>
      <c r="K661" s="24" t="s">
        <v>1238</v>
      </c>
      <c r="L661" s="25">
        <v>2.4</v>
      </c>
    </row>
    <row r="662" spans="1:12" x14ac:dyDescent="0.25">
      <c r="A662" s="16" t="s">
        <v>241</v>
      </c>
      <c r="B662" s="34" t="s">
        <v>1224</v>
      </c>
      <c r="C662" s="18">
        <v>0.3</v>
      </c>
      <c r="D662" s="19" t="s">
        <v>214</v>
      </c>
      <c r="E662" s="20">
        <v>345522.98</v>
      </c>
      <c r="F662" s="21">
        <v>103657</v>
      </c>
      <c r="G662" s="22">
        <v>0.3</v>
      </c>
      <c r="H662" s="21">
        <f>ROUND(G662*E662,0)</f>
        <v>103657</v>
      </c>
      <c r="I662" s="21">
        <f>H662-F662</f>
        <v>0</v>
      </c>
      <c r="J662" s="23"/>
      <c r="K662" s="24" t="s">
        <v>1239</v>
      </c>
      <c r="L662" s="25">
        <v>0.3</v>
      </c>
    </row>
    <row r="663" spans="1:12" x14ac:dyDescent="0.25">
      <c r="A663" s="16" t="s">
        <v>244</v>
      </c>
      <c r="B663" s="34" t="s">
        <v>640</v>
      </c>
      <c r="C663" s="18">
        <v>0.3</v>
      </c>
      <c r="D663" s="19" t="s">
        <v>214</v>
      </c>
      <c r="E663" s="20">
        <v>1016530.97</v>
      </c>
      <c r="F663" s="21">
        <v>304959</v>
      </c>
      <c r="G663" s="22">
        <v>0.3</v>
      </c>
      <c r="H663" s="21">
        <f>ROUND(G663*E663,0)</f>
        <v>304959</v>
      </c>
      <c r="I663" s="21">
        <f>H663-F663</f>
        <v>0</v>
      </c>
      <c r="J663" s="23"/>
      <c r="K663" s="24" t="s">
        <v>1240</v>
      </c>
      <c r="L663" s="25">
        <v>0.3</v>
      </c>
    </row>
    <row r="664" spans="1:12" x14ac:dyDescent="0.25">
      <c r="A664" s="16" t="s">
        <v>247</v>
      </c>
      <c r="B664" s="34" t="s">
        <v>328</v>
      </c>
      <c r="C664" s="18">
        <v>3.6</v>
      </c>
      <c r="D664" s="19" t="s">
        <v>23</v>
      </c>
      <c r="E664" s="20">
        <v>130392.01</v>
      </c>
      <c r="F664" s="21">
        <v>469411</v>
      </c>
      <c r="G664" s="22">
        <v>3.6</v>
      </c>
      <c r="H664" s="21">
        <f>ROUND(G664*E664,0)</f>
        <v>469411</v>
      </c>
      <c r="I664" s="21">
        <f>H664-F664</f>
        <v>0</v>
      </c>
      <c r="J664" s="23"/>
      <c r="K664" s="24" t="s">
        <v>1241</v>
      </c>
      <c r="L664" s="25">
        <v>3.6</v>
      </c>
    </row>
    <row r="665" spans="1:12" x14ac:dyDescent="0.25">
      <c r="A665" s="16" t="s">
        <v>249</v>
      </c>
      <c r="B665" s="34" t="s">
        <v>1242</v>
      </c>
      <c r="C665" s="18">
        <v>77.1</v>
      </c>
      <c r="D665" s="19" t="s">
        <v>229</v>
      </c>
      <c r="E665" s="20">
        <v>19248.5</v>
      </c>
      <c r="F665" s="21">
        <v>1484059</v>
      </c>
      <c r="G665" s="22">
        <v>77.1</v>
      </c>
      <c r="H665" s="21">
        <f>ROUND(G665*E665,0)</f>
        <v>1484059</v>
      </c>
      <c r="I665" s="21">
        <f>H665-F665</f>
        <v>0</v>
      </c>
      <c r="J665" s="23"/>
      <c r="K665" s="24" t="s">
        <v>1243</v>
      </c>
      <c r="L665" s="25">
        <v>77.1</v>
      </c>
    </row>
    <row r="666" spans="1:12" x14ac:dyDescent="0.25">
      <c r="A666" s="16" t="s">
        <v>252</v>
      </c>
      <c r="B666" s="34" t="s">
        <v>1244</v>
      </c>
      <c r="C666" s="18">
        <v>29.17</v>
      </c>
      <c r="D666" s="19" t="s">
        <v>229</v>
      </c>
      <c r="E666" s="20">
        <v>13176.23</v>
      </c>
      <c r="F666" s="21">
        <v>384351</v>
      </c>
      <c r="G666" s="22">
        <v>29.17</v>
      </c>
      <c r="H666" s="21">
        <f>ROUND(G666*E666,0)</f>
        <v>384351</v>
      </c>
      <c r="I666" s="21">
        <f>H666-F666</f>
        <v>0</v>
      </c>
      <c r="J666" s="23"/>
      <c r="K666" s="24" t="s">
        <v>1245</v>
      </c>
      <c r="L666" s="25">
        <v>29.17</v>
      </c>
    </row>
    <row r="667" spans="1:12" x14ac:dyDescent="0.25">
      <c r="A667" s="16" t="s">
        <v>1246</v>
      </c>
      <c r="B667" s="34" t="s">
        <v>377</v>
      </c>
      <c r="C667" s="18">
        <v>0.9</v>
      </c>
      <c r="D667" s="19" t="s">
        <v>214</v>
      </c>
      <c r="E667" s="20">
        <v>1151545.01</v>
      </c>
      <c r="F667" s="21">
        <v>1036391</v>
      </c>
      <c r="G667" s="22">
        <v>0.9</v>
      </c>
      <c r="H667" s="21">
        <f>ROUND(G667*E667,0)</f>
        <v>1036391</v>
      </c>
      <c r="I667" s="21">
        <f>H667-F667</f>
        <v>0</v>
      </c>
      <c r="J667" s="23"/>
      <c r="K667" s="24" t="s">
        <v>1247</v>
      </c>
      <c r="L667" s="25">
        <v>0.9</v>
      </c>
    </row>
    <row r="668" spans="1:12" x14ac:dyDescent="0.25">
      <c r="A668" s="16" t="s">
        <v>1248</v>
      </c>
      <c r="B668" s="34" t="s">
        <v>1234</v>
      </c>
      <c r="C668" s="18">
        <v>0.9</v>
      </c>
      <c r="D668" s="19" t="s">
        <v>214</v>
      </c>
      <c r="E668" s="20">
        <v>40251.08</v>
      </c>
      <c r="F668" s="21">
        <v>36226</v>
      </c>
      <c r="G668" s="22">
        <v>0.9</v>
      </c>
      <c r="H668" s="21">
        <f>ROUND(G668*E668,0)</f>
        <v>36226</v>
      </c>
      <c r="I668" s="21">
        <f>H668-F668</f>
        <v>0</v>
      </c>
      <c r="J668" s="23"/>
      <c r="K668" s="24" t="s">
        <v>1249</v>
      </c>
      <c r="L668" s="25">
        <v>0.9</v>
      </c>
    </row>
    <row r="669" spans="1:12" s="26" customFormat="1" x14ac:dyDescent="0.25">
      <c r="A669" s="27" t="s">
        <v>33</v>
      </c>
      <c r="B669" s="33" t="s">
        <v>1250</v>
      </c>
      <c r="C669" s="29"/>
      <c r="D669" s="30"/>
      <c r="E669" s="30"/>
      <c r="F669" s="31">
        <v>9305271</v>
      </c>
      <c r="G669" s="30"/>
      <c r="H669" s="29"/>
      <c r="I669" s="29"/>
      <c r="J669" s="30"/>
      <c r="K669" s="32" t="s">
        <v>1251</v>
      </c>
      <c r="L669" s="29"/>
    </row>
    <row r="670" spans="1:12" x14ac:dyDescent="0.25">
      <c r="A670" s="16" t="s">
        <v>257</v>
      </c>
      <c r="B670" s="34" t="s">
        <v>371</v>
      </c>
      <c r="C670" s="18">
        <v>12.48</v>
      </c>
      <c r="D670" s="19" t="s">
        <v>23</v>
      </c>
      <c r="E670" s="20">
        <v>208190.98</v>
      </c>
      <c r="F670" s="21">
        <v>2598224</v>
      </c>
      <c r="G670" s="22">
        <v>12.48</v>
      </c>
      <c r="H670" s="21">
        <f>ROUND(G670*E670,0)</f>
        <v>2598224</v>
      </c>
      <c r="I670" s="21">
        <f>H670-F670</f>
        <v>0</v>
      </c>
      <c r="J670" s="23"/>
      <c r="K670" s="24" t="s">
        <v>1252</v>
      </c>
      <c r="L670" s="25">
        <v>12.48</v>
      </c>
    </row>
    <row r="671" spans="1:12" x14ac:dyDescent="0.25">
      <c r="A671" s="16" t="s">
        <v>260</v>
      </c>
      <c r="B671" s="34" t="s">
        <v>1253</v>
      </c>
      <c r="C671" s="18">
        <v>235.05</v>
      </c>
      <c r="D671" s="19" t="s">
        <v>229</v>
      </c>
      <c r="E671" s="20">
        <v>19248.5</v>
      </c>
      <c r="F671" s="21">
        <v>4524360</v>
      </c>
      <c r="G671" s="22">
        <v>235.05</v>
      </c>
      <c r="H671" s="21">
        <f>ROUND(G671*E671,0)</f>
        <v>4524360</v>
      </c>
      <c r="I671" s="21">
        <f>H671-F671</f>
        <v>0</v>
      </c>
      <c r="J671" s="23"/>
      <c r="K671" s="24" t="s">
        <v>1254</v>
      </c>
      <c r="L671" s="25">
        <v>235.05</v>
      </c>
    </row>
    <row r="672" spans="1:12" x14ac:dyDescent="0.25">
      <c r="A672" s="16" t="s">
        <v>262</v>
      </c>
      <c r="B672" s="34" t="s">
        <v>1255</v>
      </c>
      <c r="C672" s="18">
        <v>23.67</v>
      </c>
      <c r="D672" s="19" t="s">
        <v>229</v>
      </c>
      <c r="E672" s="20">
        <v>13176.23</v>
      </c>
      <c r="F672" s="21">
        <v>311881</v>
      </c>
      <c r="G672" s="22">
        <v>23.67</v>
      </c>
      <c r="H672" s="21">
        <f>ROUND(G672*E672,0)</f>
        <v>311881</v>
      </c>
      <c r="I672" s="21">
        <f>H672-F672</f>
        <v>0</v>
      </c>
      <c r="J672" s="23"/>
      <c r="K672" s="24" t="s">
        <v>1256</v>
      </c>
      <c r="L672" s="25">
        <v>23.67</v>
      </c>
    </row>
    <row r="673" spans="1:12" x14ac:dyDescent="0.25">
      <c r="A673" s="16" t="s">
        <v>265</v>
      </c>
      <c r="B673" s="34" t="s">
        <v>1257</v>
      </c>
      <c r="C673" s="18">
        <v>56.96</v>
      </c>
      <c r="D673" s="19" t="s">
        <v>229</v>
      </c>
      <c r="E673" s="20">
        <v>13176.23</v>
      </c>
      <c r="F673" s="21">
        <v>750518</v>
      </c>
      <c r="G673" s="22">
        <v>56.96</v>
      </c>
      <c r="H673" s="21">
        <f>ROUND(G673*E673,0)</f>
        <v>750518</v>
      </c>
      <c r="I673" s="21">
        <f>H673-F673</f>
        <v>0</v>
      </c>
      <c r="J673" s="23"/>
      <c r="K673" s="24" t="s">
        <v>1258</v>
      </c>
      <c r="L673" s="25">
        <v>56.96</v>
      </c>
    </row>
    <row r="674" spans="1:12" x14ac:dyDescent="0.25">
      <c r="A674" s="16" t="s">
        <v>607</v>
      </c>
      <c r="B674" s="34" t="s">
        <v>377</v>
      </c>
      <c r="C674" s="18">
        <v>0.94</v>
      </c>
      <c r="D674" s="19" t="s">
        <v>214</v>
      </c>
      <c r="E674" s="20">
        <v>1151545.01</v>
      </c>
      <c r="F674" s="21">
        <v>1082452</v>
      </c>
      <c r="G674" s="22">
        <v>0.94</v>
      </c>
      <c r="H674" s="21">
        <f>ROUND(G674*E674,0)</f>
        <v>1082452</v>
      </c>
      <c r="I674" s="21">
        <f>H674-F674</f>
        <v>0</v>
      </c>
      <c r="J674" s="23"/>
      <c r="K674" s="24" t="s">
        <v>1259</v>
      </c>
      <c r="L674" s="25">
        <v>0.94</v>
      </c>
    </row>
    <row r="675" spans="1:12" x14ac:dyDescent="0.25">
      <c r="A675" s="16" t="s">
        <v>1260</v>
      </c>
      <c r="B675" s="34" t="s">
        <v>1234</v>
      </c>
      <c r="C675" s="18">
        <v>0.94</v>
      </c>
      <c r="D675" s="19" t="s">
        <v>214</v>
      </c>
      <c r="E675" s="20">
        <v>40251.08</v>
      </c>
      <c r="F675" s="21">
        <v>37836</v>
      </c>
      <c r="G675" s="22">
        <v>0.94</v>
      </c>
      <c r="H675" s="21">
        <f>ROUND(G675*E675,0)</f>
        <v>37836</v>
      </c>
      <c r="I675" s="21">
        <f>H675-F675</f>
        <v>0</v>
      </c>
      <c r="J675" s="23"/>
      <c r="K675" s="24" t="s">
        <v>1261</v>
      </c>
      <c r="L675" s="35">
        <v>0</v>
      </c>
    </row>
    <row r="676" spans="1:12" x14ac:dyDescent="0.25">
      <c r="A676" s="16" t="s">
        <v>36</v>
      </c>
      <c r="B676" s="36" t="s">
        <v>1262</v>
      </c>
      <c r="C676" s="18">
        <v>20</v>
      </c>
      <c r="D676" s="19" t="s">
        <v>23</v>
      </c>
      <c r="E676" s="20">
        <v>384996.28</v>
      </c>
      <c r="F676" s="21">
        <v>7699925</v>
      </c>
      <c r="G676" s="22">
        <v>20</v>
      </c>
      <c r="H676" s="21">
        <f>ROUND(G676*E676,0)</f>
        <v>7699925</v>
      </c>
      <c r="I676" s="21">
        <f>H676-F676</f>
        <v>0</v>
      </c>
      <c r="J676" s="23"/>
      <c r="K676" s="24" t="s">
        <v>1263</v>
      </c>
      <c r="L676" s="35">
        <v>0</v>
      </c>
    </row>
    <row r="677" spans="1:12" s="26" customFormat="1" x14ac:dyDescent="0.25">
      <c r="A677" s="27" t="s">
        <v>40</v>
      </c>
      <c r="B677" s="33" t="s">
        <v>1264</v>
      </c>
      <c r="C677" s="29"/>
      <c r="D677" s="30"/>
      <c r="E677" s="30"/>
      <c r="F677" s="31">
        <v>11946768</v>
      </c>
      <c r="G677" s="30"/>
      <c r="H677" s="29"/>
      <c r="I677" s="29"/>
      <c r="J677" s="30"/>
      <c r="K677" s="32" t="s">
        <v>1265</v>
      </c>
      <c r="L677" s="29"/>
    </row>
    <row r="678" spans="1:12" x14ac:dyDescent="0.25">
      <c r="A678" s="16" t="s">
        <v>281</v>
      </c>
      <c r="B678" s="34" t="s">
        <v>392</v>
      </c>
      <c r="C678" s="18">
        <v>21.2</v>
      </c>
      <c r="D678" s="19" t="s">
        <v>23</v>
      </c>
      <c r="E678" s="20">
        <v>214925.5</v>
      </c>
      <c r="F678" s="21">
        <v>4556420</v>
      </c>
      <c r="G678" s="22">
        <v>21.2</v>
      </c>
      <c r="H678" s="21">
        <f>ROUND(G678*E678,0)</f>
        <v>4556420</v>
      </c>
      <c r="I678" s="21">
        <f>H678-F678</f>
        <v>0</v>
      </c>
      <c r="J678" s="23"/>
      <c r="K678" s="24" t="s">
        <v>1266</v>
      </c>
      <c r="L678" s="35">
        <v>0</v>
      </c>
    </row>
    <row r="679" spans="1:12" x14ac:dyDescent="0.25">
      <c r="A679" s="16" t="s">
        <v>284</v>
      </c>
      <c r="B679" s="34" t="s">
        <v>1267</v>
      </c>
      <c r="C679" s="18">
        <v>142.53</v>
      </c>
      <c r="D679" s="19" t="s">
        <v>229</v>
      </c>
      <c r="E679" s="20">
        <v>19248.5</v>
      </c>
      <c r="F679" s="21">
        <v>2743489</v>
      </c>
      <c r="G679" s="22">
        <v>142.53</v>
      </c>
      <c r="H679" s="21">
        <f>ROUND(G679*E679,0)</f>
        <v>2743489</v>
      </c>
      <c r="I679" s="21">
        <f>H679-F679</f>
        <v>0</v>
      </c>
      <c r="J679" s="23"/>
      <c r="K679" s="24" t="s">
        <v>1268</v>
      </c>
      <c r="L679" s="35">
        <v>0</v>
      </c>
    </row>
    <row r="680" spans="1:12" x14ac:dyDescent="0.25">
      <c r="A680" s="16" t="s">
        <v>286</v>
      </c>
      <c r="B680" s="34" t="s">
        <v>423</v>
      </c>
      <c r="C680" s="18">
        <v>56.22</v>
      </c>
      <c r="D680" s="19" t="s">
        <v>229</v>
      </c>
      <c r="E680" s="20">
        <v>13176.23</v>
      </c>
      <c r="F680" s="21">
        <v>740768</v>
      </c>
      <c r="G680" s="22">
        <v>56.22</v>
      </c>
      <c r="H680" s="21">
        <f>ROUND(G680*E680,0)</f>
        <v>740768</v>
      </c>
      <c r="I680" s="21">
        <f>H680-F680</f>
        <v>0</v>
      </c>
      <c r="J680" s="23"/>
      <c r="K680" s="24" t="s">
        <v>1269</v>
      </c>
      <c r="L680" s="35">
        <v>0</v>
      </c>
    </row>
    <row r="681" spans="1:12" x14ac:dyDescent="0.25">
      <c r="A681" s="16" t="s">
        <v>288</v>
      </c>
      <c r="B681" s="34" t="s">
        <v>1255</v>
      </c>
      <c r="C681" s="18">
        <v>71.51</v>
      </c>
      <c r="D681" s="19" t="s">
        <v>229</v>
      </c>
      <c r="E681" s="20">
        <v>13176.23</v>
      </c>
      <c r="F681" s="21">
        <v>942232</v>
      </c>
      <c r="G681" s="22">
        <v>71.51</v>
      </c>
      <c r="H681" s="21">
        <f>ROUND(G681*E681,0)</f>
        <v>942232</v>
      </c>
      <c r="I681" s="21">
        <f>H681-F681</f>
        <v>0</v>
      </c>
      <c r="J681" s="23"/>
      <c r="K681" s="24" t="s">
        <v>1270</v>
      </c>
      <c r="L681" s="35">
        <v>0</v>
      </c>
    </row>
    <row r="682" spans="1:12" x14ac:dyDescent="0.25">
      <c r="A682" s="16" t="s">
        <v>291</v>
      </c>
      <c r="B682" s="34" t="s">
        <v>1244</v>
      </c>
      <c r="C682" s="18">
        <v>60.32</v>
      </c>
      <c r="D682" s="19" t="s">
        <v>229</v>
      </c>
      <c r="E682" s="20">
        <v>13176.23</v>
      </c>
      <c r="F682" s="21">
        <v>794790</v>
      </c>
      <c r="G682" s="22">
        <v>60.32</v>
      </c>
      <c r="H682" s="21">
        <f>ROUND(G682*E682,0)</f>
        <v>794790</v>
      </c>
      <c r="I682" s="21">
        <f>H682-F682</f>
        <v>0</v>
      </c>
      <c r="J682" s="23"/>
      <c r="K682" s="24" t="s">
        <v>1271</v>
      </c>
      <c r="L682" s="35">
        <v>0</v>
      </c>
    </row>
    <row r="683" spans="1:12" x14ac:dyDescent="0.25">
      <c r="A683" s="16" t="s">
        <v>294</v>
      </c>
      <c r="B683" s="34" t="s">
        <v>377</v>
      </c>
      <c r="C683" s="18">
        <v>1.82</v>
      </c>
      <c r="D683" s="19" t="s">
        <v>214</v>
      </c>
      <c r="E683" s="20">
        <v>1151545.01</v>
      </c>
      <c r="F683" s="21">
        <v>2095812</v>
      </c>
      <c r="G683" s="22">
        <v>1.82</v>
      </c>
      <c r="H683" s="21">
        <f>ROUND(G683*E683,0)</f>
        <v>2095812</v>
      </c>
      <c r="I683" s="21">
        <f>H683-F683</f>
        <v>0</v>
      </c>
      <c r="J683" s="23"/>
      <c r="K683" s="24" t="s">
        <v>1272</v>
      </c>
      <c r="L683" s="35">
        <v>0</v>
      </c>
    </row>
    <row r="684" spans="1:12" x14ac:dyDescent="0.25">
      <c r="A684" s="16" t="s">
        <v>296</v>
      </c>
      <c r="B684" s="34" t="s">
        <v>1234</v>
      </c>
      <c r="C684" s="18">
        <v>1.82</v>
      </c>
      <c r="D684" s="19" t="s">
        <v>214</v>
      </c>
      <c r="E684" s="20">
        <v>40251.08</v>
      </c>
      <c r="F684" s="21">
        <v>73257</v>
      </c>
      <c r="G684" s="22">
        <v>1.82</v>
      </c>
      <c r="H684" s="21">
        <f>ROUND(G684*E684,0)</f>
        <v>73257</v>
      </c>
      <c r="I684" s="21">
        <f>H684-F684</f>
        <v>0</v>
      </c>
      <c r="J684" s="23"/>
      <c r="K684" s="24" t="s">
        <v>1273</v>
      </c>
      <c r="L684" s="35">
        <v>0</v>
      </c>
    </row>
    <row r="685" spans="1:12" s="26" customFormat="1" x14ac:dyDescent="0.25">
      <c r="A685" s="27" t="s">
        <v>140</v>
      </c>
      <c r="B685" s="33" t="s">
        <v>1274</v>
      </c>
      <c r="C685" s="29"/>
      <c r="D685" s="30"/>
      <c r="E685" s="30"/>
      <c r="F685" s="31">
        <v>2422724</v>
      </c>
      <c r="G685" s="30"/>
      <c r="H685" s="29"/>
      <c r="I685" s="29"/>
      <c r="J685" s="30"/>
      <c r="K685" s="32" t="s">
        <v>1275</v>
      </c>
      <c r="L685" s="29"/>
    </row>
    <row r="686" spans="1:12" x14ac:dyDescent="0.25">
      <c r="A686" s="16" t="s">
        <v>301</v>
      </c>
      <c r="B686" s="34" t="s">
        <v>392</v>
      </c>
      <c r="C686" s="18">
        <v>6.08</v>
      </c>
      <c r="D686" s="19" t="s">
        <v>23</v>
      </c>
      <c r="E686" s="20">
        <v>214925.5</v>
      </c>
      <c r="F686" s="21">
        <v>1306747</v>
      </c>
      <c r="G686" s="22">
        <v>6.08</v>
      </c>
      <c r="H686" s="21">
        <f>ROUND(G686*E686,0)</f>
        <v>1306747</v>
      </c>
      <c r="I686" s="21">
        <f>H686-F686</f>
        <v>0</v>
      </c>
      <c r="J686" s="23"/>
      <c r="K686" s="24" t="s">
        <v>1276</v>
      </c>
      <c r="L686" s="35">
        <v>0</v>
      </c>
    </row>
    <row r="687" spans="1:12" x14ac:dyDescent="0.25">
      <c r="A687" s="16" t="s">
        <v>304</v>
      </c>
      <c r="B687" s="34" t="s">
        <v>1277</v>
      </c>
      <c r="C687" s="18">
        <v>24.66</v>
      </c>
      <c r="D687" s="19" t="s">
        <v>229</v>
      </c>
      <c r="E687" s="20">
        <v>13176.23</v>
      </c>
      <c r="F687" s="21">
        <v>324926</v>
      </c>
      <c r="G687" s="22">
        <v>24.66</v>
      </c>
      <c r="H687" s="21">
        <f>ROUND(G687*E687,0)</f>
        <v>324926</v>
      </c>
      <c r="I687" s="21">
        <f>H687-F687</f>
        <v>0</v>
      </c>
      <c r="J687" s="23"/>
      <c r="K687" s="24" t="s">
        <v>1278</v>
      </c>
      <c r="L687" s="35">
        <v>0</v>
      </c>
    </row>
    <row r="688" spans="1:12" x14ac:dyDescent="0.25">
      <c r="A688" s="16" t="s">
        <v>307</v>
      </c>
      <c r="B688" s="34" t="s">
        <v>1244</v>
      </c>
      <c r="C688" s="18">
        <v>16.62</v>
      </c>
      <c r="D688" s="19" t="s">
        <v>229</v>
      </c>
      <c r="E688" s="20">
        <v>13176.23</v>
      </c>
      <c r="F688" s="21">
        <v>218989</v>
      </c>
      <c r="G688" s="22">
        <v>16.62</v>
      </c>
      <c r="H688" s="21">
        <f>ROUND(G688*E688,0)</f>
        <v>218989</v>
      </c>
      <c r="I688" s="21">
        <f>H688-F688</f>
        <v>0</v>
      </c>
      <c r="J688" s="23"/>
      <c r="K688" s="24" t="s">
        <v>1279</v>
      </c>
      <c r="L688" s="35">
        <v>0</v>
      </c>
    </row>
    <row r="689" spans="1:12" x14ac:dyDescent="0.25">
      <c r="A689" s="16" t="s">
        <v>310</v>
      </c>
      <c r="B689" s="34" t="s">
        <v>377</v>
      </c>
      <c r="C689" s="18">
        <v>0.48</v>
      </c>
      <c r="D689" s="19" t="s">
        <v>214</v>
      </c>
      <c r="E689" s="20">
        <v>1151545.01</v>
      </c>
      <c r="F689" s="21">
        <v>552742</v>
      </c>
      <c r="G689" s="22">
        <v>0.48</v>
      </c>
      <c r="H689" s="21">
        <f>ROUND(G689*E689,0)</f>
        <v>552742</v>
      </c>
      <c r="I689" s="21">
        <f>H689-F689</f>
        <v>0</v>
      </c>
      <c r="J689" s="23"/>
      <c r="K689" s="24" t="s">
        <v>1280</v>
      </c>
      <c r="L689" s="35">
        <v>0</v>
      </c>
    </row>
    <row r="690" spans="1:12" x14ac:dyDescent="0.25">
      <c r="A690" s="16" t="s">
        <v>312</v>
      </c>
      <c r="B690" s="34" t="s">
        <v>1234</v>
      </c>
      <c r="C690" s="18">
        <v>0.48</v>
      </c>
      <c r="D690" s="19" t="s">
        <v>214</v>
      </c>
      <c r="E690" s="20">
        <v>40251.08</v>
      </c>
      <c r="F690" s="21">
        <v>19320</v>
      </c>
      <c r="G690" s="22">
        <v>0.48</v>
      </c>
      <c r="H690" s="21">
        <f>ROUND(G690*E690,0)</f>
        <v>19320</v>
      </c>
      <c r="I690" s="21">
        <f>H690-F690</f>
        <v>0</v>
      </c>
      <c r="J690" s="23"/>
      <c r="K690" s="24" t="s">
        <v>1281</v>
      </c>
      <c r="L690" s="35">
        <v>0</v>
      </c>
    </row>
    <row r="691" spans="1:12" s="26" customFormat="1" x14ac:dyDescent="0.25">
      <c r="A691" s="27" t="s">
        <v>143</v>
      </c>
      <c r="B691" s="33" t="s">
        <v>1282</v>
      </c>
      <c r="C691" s="29"/>
      <c r="D691" s="30"/>
      <c r="E691" s="30"/>
      <c r="F691" s="31">
        <v>9284205</v>
      </c>
      <c r="G691" s="30"/>
      <c r="H691" s="29"/>
      <c r="I691" s="29"/>
      <c r="J691" s="30"/>
      <c r="K691" s="32" t="s">
        <v>1283</v>
      </c>
      <c r="L691" s="29"/>
    </row>
    <row r="692" spans="1:12" x14ac:dyDescent="0.25">
      <c r="A692" s="16" t="s">
        <v>381</v>
      </c>
      <c r="B692" s="34" t="s">
        <v>392</v>
      </c>
      <c r="C692" s="18">
        <v>22.23</v>
      </c>
      <c r="D692" s="19" t="s">
        <v>23</v>
      </c>
      <c r="E692" s="20">
        <v>214925.5</v>
      </c>
      <c r="F692" s="21">
        <v>4777794</v>
      </c>
      <c r="G692" s="22">
        <v>22.23</v>
      </c>
      <c r="H692" s="21">
        <f>ROUND(G692*E692,0)</f>
        <v>4777794</v>
      </c>
      <c r="I692" s="21">
        <f>H692-F692</f>
        <v>0</v>
      </c>
      <c r="J692" s="23"/>
      <c r="K692" s="24" t="s">
        <v>1284</v>
      </c>
      <c r="L692" s="35">
        <v>0</v>
      </c>
    </row>
    <row r="693" spans="1:12" x14ac:dyDescent="0.25">
      <c r="A693" s="16" t="s">
        <v>385</v>
      </c>
      <c r="B693" s="34" t="s">
        <v>1285</v>
      </c>
      <c r="C693" s="18">
        <v>72.13</v>
      </c>
      <c r="D693" s="19" t="s">
        <v>229</v>
      </c>
      <c r="E693" s="20">
        <v>13176.23</v>
      </c>
      <c r="F693" s="21">
        <v>950401</v>
      </c>
      <c r="G693" s="22">
        <v>72.13</v>
      </c>
      <c r="H693" s="21">
        <f>ROUND(G693*E693,0)</f>
        <v>950401</v>
      </c>
      <c r="I693" s="21">
        <f>H693-F693</f>
        <v>0</v>
      </c>
      <c r="J693" s="23"/>
      <c r="K693" s="24" t="s">
        <v>1286</v>
      </c>
      <c r="L693" s="35">
        <v>0</v>
      </c>
    </row>
    <row r="694" spans="1:12" x14ac:dyDescent="0.25">
      <c r="A694" s="16" t="s">
        <v>387</v>
      </c>
      <c r="B694" s="34" t="s">
        <v>1255</v>
      </c>
      <c r="C694" s="18">
        <v>81.38</v>
      </c>
      <c r="D694" s="19" t="s">
        <v>229</v>
      </c>
      <c r="E694" s="20">
        <v>13176.23</v>
      </c>
      <c r="F694" s="21">
        <v>1072282</v>
      </c>
      <c r="G694" s="22">
        <v>81.38</v>
      </c>
      <c r="H694" s="21">
        <f>ROUND(G694*E694,0)</f>
        <v>1072282</v>
      </c>
      <c r="I694" s="21">
        <f>H694-F694</f>
        <v>0</v>
      </c>
      <c r="J694" s="23"/>
      <c r="K694" s="24" t="s">
        <v>1287</v>
      </c>
      <c r="L694" s="35">
        <v>0</v>
      </c>
    </row>
    <row r="695" spans="1:12" x14ac:dyDescent="0.25">
      <c r="A695" s="16" t="s">
        <v>573</v>
      </c>
      <c r="B695" s="34" t="s">
        <v>1244</v>
      </c>
      <c r="C695" s="18">
        <v>61.87</v>
      </c>
      <c r="D695" s="19" t="s">
        <v>229</v>
      </c>
      <c r="E695" s="20">
        <v>13176.23</v>
      </c>
      <c r="F695" s="21">
        <v>815213</v>
      </c>
      <c r="G695" s="22">
        <v>61.87</v>
      </c>
      <c r="H695" s="21">
        <f>ROUND(G695*E695,0)</f>
        <v>815213</v>
      </c>
      <c r="I695" s="21">
        <f>H695-F695</f>
        <v>0</v>
      </c>
      <c r="J695" s="23"/>
      <c r="K695" s="24" t="s">
        <v>1288</v>
      </c>
      <c r="L695" s="35">
        <v>0</v>
      </c>
    </row>
    <row r="696" spans="1:12" x14ac:dyDescent="0.25">
      <c r="A696" s="16" t="s">
        <v>575</v>
      </c>
      <c r="B696" s="34" t="s">
        <v>377</v>
      </c>
      <c r="C696" s="18">
        <v>1.4</v>
      </c>
      <c r="D696" s="19" t="s">
        <v>214</v>
      </c>
      <c r="E696" s="20">
        <v>1151545.01</v>
      </c>
      <c r="F696" s="21">
        <v>1612163</v>
      </c>
      <c r="G696" s="22">
        <v>1.4</v>
      </c>
      <c r="H696" s="21">
        <f>ROUND(G696*E696,0)</f>
        <v>1612163</v>
      </c>
      <c r="I696" s="21">
        <f>H696-F696</f>
        <v>0</v>
      </c>
      <c r="J696" s="23"/>
      <c r="K696" s="24" t="s">
        <v>1289</v>
      </c>
      <c r="L696" s="35">
        <v>0</v>
      </c>
    </row>
    <row r="697" spans="1:12" x14ac:dyDescent="0.25">
      <c r="A697" s="16" t="s">
        <v>577</v>
      </c>
      <c r="B697" s="34" t="s">
        <v>1234</v>
      </c>
      <c r="C697" s="18">
        <v>1.4</v>
      </c>
      <c r="D697" s="19" t="s">
        <v>214</v>
      </c>
      <c r="E697" s="20">
        <v>40251.08</v>
      </c>
      <c r="F697" s="21">
        <v>56352</v>
      </c>
      <c r="G697" s="22">
        <v>1.4</v>
      </c>
      <c r="H697" s="21">
        <f>ROUND(G697*E697,0)</f>
        <v>56352</v>
      </c>
      <c r="I697" s="21">
        <f>H697-F697</f>
        <v>0</v>
      </c>
      <c r="J697" s="23"/>
      <c r="K697" s="24" t="s">
        <v>1290</v>
      </c>
      <c r="L697" s="35">
        <v>0</v>
      </c>
    </row>
    <row r="698" spans="1:12" s="26" customFormat="1" x14ac:dyDescent="0.25">
      <c r="A698" s="27" t="s">
        <v>146</v>
      </c>
      <c r="B698" s="33" t="s">
        <v>554</v>
      </c>
      <c r="C698" s="29"/>
      <c r="D698" s="30"/>
      <c r="E698" s="30"/>
      <c r="F698" s="31">
        <v>14854290</v>
      </c>
      <c r="G698" s="30"/>
      <c r="H698" s="29"/>
      <c r="I698" s="29"/>
      <c r="J698" s="30"/>
      <c r="K698" s="32" t="s">
        <v>1291</v>
      </c>
      <c r="L698" s="29"/>
    </row>
    <row r="699" spans="1:12" x14ac:dyDescent="0.25">
      <c r="A699" s="16" t="s">
        <v>391</v>
      </c>
      <c r="B699" s="34" t="s">
        <v>1292</v>
      </c>
      <c r="C699" s="18">
        <v>33.44</v>
      </c>
      <c r="D699" s="19" t="s">
        <v>23</v>
      </c>
      <c r="E699" s="20">
        <v>222495.38</v>
      </c>
      <c r="F699" s="21">
        <v>7440246</v>
      </c>
      <c r="G699" s="22">
        <v>33.44</v>
      </c>
      <c r="H699" s="21">
        <f>ROUND(G699*E699,0)</f>
        <v>7440246</v>
      </c>
      <c r="I699" s="21">
        <f>H699-F699</f>
        <v>0</v>
      </c>
      <c r="J699" s="23"/>
      <c r="K699" s="24" t="s">
        <v>1293</v>
      </c>
      <c r="L699" s="35">
        <v>0</v>
      </c>
    </row>
    <row r="700" spans="1:12" x14ac:dyDescent="0.25">
      <c r="A700" s="16" t="s">
        <v>394</v>
      </c>
      <c r="B700" s="34" t="s">
        <v>1294</v>
      </c>
      <c r="C700" s="18">
        <v>72</v>
      </c>
      <c r="D700" s="19" t="s">
        <v>23</v>
      </c>
      <c r="E700" s="20">
        <v>24279.27</v>
      </c>
      <c r="F700" s="21">
        <v>1748107</v>
      </c>
      <c r="G700" s="22">
        <v>72</v>
      </c>
      <c r="H700" s="21">
        <f>ROUND(G700*E700,0)</f>
        <v>1748107</v>
      </c>
      <c r="I700" s="21">
        <f>H700-F700</f>
        <v>0</v>
      </c>
      <c r="J700" s="23"/>
      <c r="K700" s="24" t="s">
        <v>1295</v>
      </c>
      <c r="L700" s="35">
        <v>0</v>
      </c>
    </row>
    <row r="701" spans="1:12" x14ac:dyDescent="0.25">
      <c r="A701" s="16" t="s">
        <v>396</v>
      </c>
      <c r="B701" s="34" t="s">
        <v>649</v>
      </c>
      <c r="C701" s="18">
        <v>4.48</v>
      </c>
      <c r="D701" s="19" t="s">
        <v>214</v>
      </c>
      <c r="E701" s="20">
        <v>1224466.96</v>
      </c>
      <c r="F701" s="21">
        <v>5485612</v>
      </c>
      <c r="G701" s="22">
        <v>4.48</v>
      </c>
      <c r="H701" s="21">
        <f>ROUND(G701*E701,0)</f>
        <v>5485612</v>
      </c>
      <c r="I701" s="21">
        <f>H701-F701</f>
        <v>0</v>
      </c>
      <c r="J701" s="23"/>
      <c r="K701" s="24" t="s">
        <v>1296</v>
      </c>
      <c r="L701" s="35">
        <v>0</v>
      </c>
    </row>
    <row r="702" spans="1:12" x14ac:dyDescent="0.25">
      <c r="A702" s="16" t="s">
        <v>398</v>
      </c>
      <c r="B702" s="34" t="s">
        <v>1234</v>
      </c>
      <c r="C702" s="18">
        <v>4.48</v>
      </c>
      <c r="D702" s="19" t="s">
        <v>214</v>
      </c>
      <c r="E702" s="20">
        <v>40251.08</v>
      </c>
      <c r="F702" s="21">
        <v>180325</v>
      </c>
      <c r="G702" s="22">
        <v>4.48</v>
      </c>
      <c r="H702" s="21">
        <f>ROUND(G702*E702,0)</f>
        <v>180325</v>
      </c>
      <c r="I702" s="21">
        <f>H702-F702</f>
        <v>0</v>
      </c>
      <c r="J702" s="23"/>
      <c r="K702" s="24" t="s">
        <v>1297</v>
      </c>
      <c r="L702" s="35">
        <v>0</v>
      </c>
    </row>
    <row r="703" spans="1:12" s="26" customFormat="1" x14ac:dyDescent="0.25">
      <c r="A703" s="27" t="s">
        <v>1298</v>
      </c>
      <c r="B703" s="28" t="s">
        <v>1299</v>
      </c>
      <c r="C703" s="29"/>
      <c r="D703" s="30"/>
      <c r="E703" s="30"/>
      <c r="F703" s="31">
        <v>108193261</v>
      </c>
      <c r="G703" s="30"/>
      <c r="H703" s="29"/>
      <c r="I703" s="29"/>
      <c r="J703" s="30"/>
      <c r="K703" s="32" t="s">
        <v>1300</v>
      </c>
      <c r="L703" s="29"/>
    </row>
    <row r="704" spans="1:12" s="26" customFormat="1" x14ac:dyDescent="0.25">
      <c r="A704" s="27" t="s">
        <v>21</v>
      </c>
      <c r="B704" s="33" t="s">
        <v>1301</v>
      </c>
      <c r="C704" s="29"/>
      <c r="D704" s="30"/>
      <c r="E704" s="30"/>
      <c r="F704" s="31">
        <v>71300000</v>
      </c>
      <c r="G704" s="30"/>
      <c r="H704" s="29"/>
      <c r="I704" s="29"/>
      <c r="J704" s="30"/>
      <c r="K704" s="32" t="s">
        <v>1302</v>
      </c>
      <c r="L704" s="29"/>
    </row>
    <row r="705" spans="1:12" x14ac:dyDescent="0.25">
      <c r="A705" s="16" t="s">
        <v>212</v>
      </c>
      <c r="B705" s="34" t="s">
        <v>1303</v>
      </c>
      <c r="C705" s="18">
        <v>1</v>
      </c>
      <c r="D705" s="19" t="s">
        <v>155</v>
      </c>
      <c r="E705" s="20">
        <v>16900000</v>
      </c>
      <c r="F705" s="21">
        <v>16900000</v>
      </c>
      <c r="G705" s="22">
        <v>1</v>
      </c>
      <c r="H705" s="21">
        <f>ROUND(G705*E705,0)</f>
        <v>16900000</v>
      </c>
      <c r="I705" s="21">
        <f>H705-F705</f>
        <v>0</v>
      </c>
      <c r="J705" s="23"/>
      <c r="K705" s="24" t="s">
        <v>1304</v>
      </c>
      <c r="L705" s="35">
        <v>0</v>
      </c>
    </row>
    <row r="706" spans="1:12" x14ac:dyDescent="0.25">
      <c r="A706" s="16" t="s">
        <v>216</v>
      </c>
      <c r="B706" s="34" t="s">
        <v>1305</v>
      </c>
      <c r="C706" s="18">
        <v>1</v>
      </c>
      <c r="D706" s="19" t="s">
        <v>155</v>
      </c>
      <c r="E706" s="20">
        <v>54400000</v>
      </c>
      <c r="F706" s="21">
        <v>54400000</v>
      </c>
      <c r="G706" s="22">
        <v>1</v>
      </c>
      <c r="H706" s="21">
        <f>ROUND(G706*E706,0)</f>
        <v>54400000</v>
      </c>
      <c r="I706" s="21">
        <f>H706-F706</f>
        <v>0</v>
      </c>
      <c r="J706" s="23"/>
      <c r="K706" s="24" t="s">
        <v>1306</v>
      </c>
      <c r="L706" s="35">
        <v>0</v>
      </c>
    </row>
    <row r="707" spans="1:12" s="26" customFormat="1" x14ac:dyDescent="0.25">
      <c r="A707" s="27" t="s">
        <v>25</v>
      </c>
      <c r="B707" s="33" t="s">
        <v>1307</v>
      </c>
      <c r="C707" s="29"/>
      <c r="D707" s="30"/>
      <c r="E707" s="30"/>
      <c r="F707" s="31">
        <v>18553679</v>
      </c>
      <c r="G707" s="30"/>
      <c r="H707" s="29"/>
      <c r="I707" s="29"/>
      <c r="J707" s="30"/>
      <c r="K707" s="32" t="s">
        <v>1308</v>
      </c>
      <c r="L707" s="29"/>
    </row>
    <row r="708" spans="1:12" x14ac:dyDescent="0.25">
      <c r="A708" s="16" t="s">
        <v>224</v>
      </c>
      <c r="B708" s="34" t="s">
        <v>1309</v>
      </c>
      <c r="C708" s="18">
        <v>5</v>
      </c>
      <c r="D708" s="19" t="s">
        <v>31</v>
      </c>
      <c r="E708" s="20">
        <v>206959.99</v>
      </c>
      <c r="F708" s="21">
        <v>1034800</v>
      </c>
      <c r="G708" s="22">
        <v>5</v>
      </c>
      <c r="H708" s="21">
        <f>ROUND(G708*E708,0)</f>
        <v>1034800</v>
      </c>
      <c r="I708" s="21">
        <f>H708-F708</f>
        <v>0</v>
      </c>
      <c r="J708" s="23"/>
      <c r="K708" s="24" t="s">
        <v>1310</v>
      </c>
      <c r="L708" s="35">
        <v>0</v>
      </c>
    </row>
    <row r="709" spans="1:12" x14ac:dyDescent="0.25">
      <c r="A709" s="16" t="s">
        <v>227</v>
      </c>
      <c r="B709" s="34" t="s">
        <v>1311</v>
      </c>
      <c r="C709" s="18">
        <v>5</v>
      </c>
      <c r="D709" s="19" t="s">
        <v>31</v>
      </c>
      <c r="E709" s="20">
        <v>3005122.46</v>
      </c>
      <c r="F709" s="21">
        <v>15025612</v>
      </c>
      <c r="G709" s="22">
        <v>5</v>
      </c>
      <c r="H709" s="21">
        <f>ROUND(G709*E709,0)</f>
        <v>15025612</v>
      </c>
      <c r="I709" s="21">
        <f>H709-F709</f>
        <v>0</v>
      </c>
      <c r="J709" s="23"/>
      <c r="K709" s="24" t="s">
        <v>1312</v>
      </c>
      <c r="L709" s="35">
        <v>0</v>
      </c>
    </row>
    <row r="710" spans="1:12" x14ac:dyDescent="0.25">
      <c r="A710" s="16" t="s">
        <v>231</v>
      </c>
      <c r="B710" s="34" t="s">
        <v>1313</v>
      </c>
      <c r="C710" s="18">
        <v>5</v>
      </c>
      <c r="D710" s="19" t="s">
        <v>31</v>
      </c>
      <c r="E710" s="20">
        <v>251937.53</v>
      </c>
      <c r="F710" s="21">
        <v>1259688</v>
      </c>
      <c r="G710" s="22">
        <v>5</v>
      </c>
      <c r="H710" s="21">
        <f>ROUND(G710*E710,0)</f>
        <v>1259688</v>
      </c>
      <c r="I710" s="21">
        <f>H710-F710</f>
        <v>0</v>
      </c>
      <c r="J710" s="23"/>
      <c r="K710" s="24" t="s">
        <v>1314</v>
      </c>
      <c r="L710" s="35">
        <v>0</v>
      </c>
    </row>
    <row r="711" spans="1:12" x14ac:dyDescent="0.25">
      <c r="A711" s="16" t="s">
        <v>234</v>
      </c>
      <c r="B711" s="34" t="s">
        <v>1315</v>
      </c>
      <c r="C711" s="18">
        <v>5</v>
      </c>
      <c r="D711" s="19" t="s">
        <v>31</v>
      </c>
      <c r="E711" s="20">
        <v>246715.73</v>
      </c>
      <c r="F711" s="21">
        <v>1233579</v>
      </c>
      <c r="G711" s="22">
        <v>5</v>
      </c>
      <c r="H711" s="21">
        <f>ROUND(G711*E711,0)</f>
        <v>1233579</v>
      </c>
      <c r="I711" s="21">
        <f>H711-F711</f>
        <v>0</v>
      </c>
      <c r="J711" s="23"/>
      <c r="K711" s="24" t="s">
        <v>1316</v>
      </c>
      <c r="L711" s="35">
        <v>0</v>
      </c>
    </row>
    <row r="712" spans="1:12" s="26" customFormat="1" x14ac:dyDescent="0.25">
      <c r="A712" s="27" t="s">
        <v>29</v>
      </c>
      <c r="B712" s="33" t="s">
        <v>1317</v>
      </c>
      <c r="C712" s="29"/>
      <c r="D712" s="30"/>
      <c r="E712" s="30"/>
      <c r="F712" s="31">
        <v>11081864</v>
      </c>
      <c r="G712" s="30"/>
      <c r="H712" s="29"/>
      <c r="I712" s="29"/>
      <c r="J712" s="30"/>
      <c r="K712" s="32" t="s">
        <v>1318</v>
      </c>
      <c r="L712" s="29"/>
    </row>
    <row r="713" spans="1:12" x14ac:dyDescent="0.25">
      <c r="A713" s="16" t="s">
        <v>239</v>
      </c>
      <c r="B713" s="34" t="s">
        <v>1319</v>
      </c>
      <c r="C713" s="18">
        <v>43.98</v>
      </c>
      <c r="D713" s="19" t="s">
        <v>38</v>
      </c>
      <c r="E713" s="20">
        <v>78400.17</v>
      </c>
      <c r="F713" s="21">
        <v>3448039</v>
      </c>
      <c r="G713" s="22">
        <v>43.98</v>
      </c>
      <c r="H713" s="21">
        <f>ROUND(G713*E713,0)</f>
        <v>3448039</v>
      </c>
      <c r="I713" s="21">
        <f>H713-F713</f>
        <v>0</v>
      </c>
      <c r="J713" s="23"/>
      <c r="K713" s="24" t="s">
        <v>1320</v>
      </c>
      <c r="L713" s="35">
        <v>0</v>
      </c>
    </row>
    <row r="714" spans="1:12" x14ac:dyDescent="0.25">
      <c r="A714" s="16" t="s">
        <v>241</v>
      </c>
      <c r="B714" s="34" t="s">
        <v>1321</v>
      </c>
      <c r="C714" s="18">
        <v>97.37</v>
      </c>
      <c r="D714" s="19" t="s">
        <v>38</v>
      </c>
      <c r="E714" s="20">
        <v>78400.17</v>
      </c>
      <c r="F714" s="21">
        <v>7633825</v>
      </c>
      <c r="G714" s="22">
        <v>97.37</v>
      </c>
      <c r="H714" s="21">
        <f>ROUND(G714*E714,0)</f>
        <v>7633825</v>
      </c>
      <c r="I714" s="21">
        <f>H714-F714</f>
        <v>0</v>
      </c>
      <c r="J714" s="23"/>
      <c r="K714" s="24" t="s">
        <v>1322</v>
      </c>
      <c r="L714" s="35">
        <v>0</v>
      </c>
    </row>
    <row r="715" spans="1:12" s="26" customFormat="1" x14ac:dyDescent="0.25">
      <c r="A715" s="27" t="s">
        <v>33</v>
      </c>
      <c r="B715" s="33" t="s">
        <v>1323</v>
      </c>
      <c r="C715" s="29"/>
      <c r="D715" s="30"/>
      <c r="E715" s="30"/>
      <c r="F715" s="31">
        <v>212428</v>
      </c>
      <c r="G715" s="30"/>
      <c r="H715" s="29"/>
      <c r="I715" s="29"/>
      <c r="J715" s="30"/>
      <c r="K715" s="32" t="s">
        <v>1324</v>
      </c>
      <c r="L715" s="29"/>
    </row>
    <row r="716" spans="1:12" x14ac:dyDescent="0.25">
      <c r="A716" s="16" t="s">
        <v>257</v>
      </c>
      <c r="B716" s="34" t="s">
        <v>1325</v>
      </c>
      <c r="C716" s="18">
        <v>3.2</v>
      </c>
      <c r="D716" s="19" t="s">
        <v>38</v>
      </c>
      <c r="E716" s="20">
        <v>40510.12</v>
      </c>
      <c r="F716" s="21">
        <v>129632</v>
      </c>
      <c r="G716" s="22">
        <v>3.2</v>
      </c>
      <c r="H716" s="21">
        <f>ROUND(G716*E716,0)</f>
        <v>129632</v>
      </c>
      <c r="I716" s="21">
        <f>H716-F716</f>
        <v>0</v>
      </c>
      <c r="J716" s="23"/>
      <c r="K716" s="24" t="s">
        <v>1326</v>
      </c>
      <c r="L716" s="35">
        <v>0</v>
      </c>
    </row>
    <row r="717" spans="1:12" x14ac:dyDescent="0.25">
      <c r="A717" s="16" t="s">
        <v>260</v>
      </c>
      <c r="B717" s="34" t="s">
        <v>1327</v>
      </c>
      <c r="C717" s="18">
        <v>1</v>
      </c>
      <c r="D717" s="19" t="s">
        <v>31</v>
      </c>
      <c r="E717" s="20">
        <v>82795.66</v>
      </c>
      <c r="F717" s="21">
        <v>82796</v>
      </c>
      <c r="G717" s="22">
        <v>1</v>
      </c>
      <c r="H717" s="21">
        <f>ROUND(G717*E717,0)</f>
        <v>82796</v>
      </c>
      <c r="I717" s="21">
        <f>H717-F717</f>
        <v>0</v>
      </c>
      <c r="J717" s="23"/>
      <c r="K717" s="24" t="s">
        <v>1328</v>
      </c>
      <c r="L717" s="35">
        <v>0</v>
      </c>
    </row>
    <row r="718" spans="1:12" s="26" customFormat="1" x14ac:dyDescent="0.25">
      <c r="A718" s="27" t="s">
        <v>36</v>
      </c>
      <c r="B718" s="33" t="s">
        <v>1329</v>
      </c>
      <c r="C718" s="29"/>
      <c r="D718" s="30"/>
      <c r="E718" s="30"/>
      <c r="F718" s="31">
        <v>212428</v>
      </c>
      <c r="G718" s="30"/>
      <c r="H718" s="29"/>
      <c r="I718" s="29"/>
      <c r="J718" s="30"/>
      <c r="K718" s="32" t="s">
        <v>1330</v>
      </c>
      <c r="L718" s="29"/>
    </row>
    <row r="719" spans="1:12" x14ac:dyDescent="0.25">
      <c r="A719" s="16" t="s">
        <v>269</v>
      </c>
      <c r="B719" s="34" t="s">
        <v>1325</v>
      </c>
      <c r="C719" s="18">
        <v>3.2</v>
      </c>
      <c r="D719" s="19" t="s">
        <v>38</v>
      </c>
      <c r="E719" s="20">
        <v>40510.12</v>
      </c>
      <c r="F719" s="21">
        <v>129632</v>
      </c>
      <c r="G719" s="22">
        <v>3.2</v>
      </c>
      <c r="H719" s="21">
        <f>ROUND(G719*E719,0)</f>
        <v>129632</v>
      </c>
      <c r="I719" s="21">
        <f>H719-F719</f>
        <v>0</v>
      </c>
      <c r="J719" s="23"/>
      <c r="K719" s="24" t="s">
        <v>1331</v>
      </c>
      <c r="L719" s="35">
        <v>0</v>
      </c>
    </row>
    <row r="720" spans="1:12" x14ac:dyDescent="0.25">
      <c r="A720" s="16" t="s">
        <v>272</v>
      </c>
      <c r="B720" s="34" t="s">
        <v>1327</v>
      </c>
      <c r="C720" s="18">
        <v>1</v>
      </c>
      <c r="D720" s="19" t="s">
        <v>31</v>
      </c>
      <c r="E720" s="20">
        <v>82795.66</v>
      </c>
      <c r="F720" s="21">
        <v>82796</v>
      </c>
      <c r="G720" s="22">
        <v>1</v>
      </c>
      <c r="H720" s="21">
        <f>ROUND(G720*E720,0)</f>
        <v>82796</v>
      </c>
      <c r="I720" s="21">
        <f>H720-F720</f>
        <v>0</v>
      </c>
      <c r="J720" s="23"/>
      <c r="K720" s="24" t="s">
        <v>1332</v>
      </c>
      <c r="L720" s="35">
        <v>0</v>
      </c>
    </row>
    <row r="721" spans="1:12" s="26" customFormat="1" x14ac:dyDescent="0.25">
      <c r="A721" s="27" t="s">
        <v>40</v>
      </c>
      <c r="B721" s="33" t="s">
        <v>1333</v>
      </c>
      <c r="C721" s="29"/>
      <c r="D721" s="30"/>
      <c r="E721" s="30"/>
      <c r="F721" s="31">
        <v>212428</v>
      </c>
      <c r="G721" s="30"/>
      <c r="H721" s="29"/>
      <c r="I721" s="29"/>
      <c r="J721" s="30"/>
      <c r="K721" s="32" t="s">
        <v>1334</v>
      </c>
      <c r="L721" s="29"/>
    </row>
    <row r="722" spans="1:12" x14ac:dyDescent="0.25">
      <c r="A722" s="16" t="s">
        <v>281</v>
      </c>
      <c r="B722" s="34" t="s">
        <v>1325</v>
      </c>
      <c r="C722" s="18">
        <v>3.2</v>
      </c>
      <c r="D722" s="19" t="s">
        <v>38</v>
      </c>
      <c r="E722" s="20">
        <v>40510.12</v>
      </c>
      <c r="F722" s="21">
        <v>129632</v>
      </c>
      <c r="G722" s="22">
        <v>3.2</v>
      </c>
      <c r="H722" s="21">
        <f>ROUND(G722*E722,0)</f>
        <v>129632</v>
      </c>
      <c r="I722" s="21">
        <f>H722-F722</f>
        <v>0</v>
      </c>
      <c r="J722" s="23"/>
      <c r="K722" s="24" t="s">
        <v>1335</v>
      </c>
      <c r="L722" s="35">
        <v>0</v>
      </c>
    </row>
    <row r="723" spans="1:12" x14ac:dyDescent="0.25">
      <c r="A723" s="16" t="s">
        <v>284</v>
      </c>
      <c r="B723" s="34" t="s">
        <v>1327</v>
      </c>
      <c r="C723" s="18">
        <v>1</v>
      </c>
      <c r="D723" s="19" t="s">
        <v>31</v>
      </c>
      <c r="E723" s="20">
        <v>82795.66</v>
      </c>
      <c r="F723" s="21">
        <v>82796</v>
      </c>
      <c r="G723" s="22">
        <v>1</v>
      </c>
      <c r="H723" s="21">
        <f>ROUND(G723*E723,0)</f>
        <v>82796</v>
      </c>
      <c r="I723" s="21">
        <f>H723-F723</f>
        <v>0</v>
      </c>
      <c r="J723" s="23"/>
      <c r="K723" s="24" t="s">
        <v>1336</v>
      </c>
      <c r="L723" s="35">
        <v>0</v>
      </c>
    </row>
    <row r="724" spans="1:12" s="26" customFormat="1" x14ac:dyDescent="0.25">
      <c r="A724" s="27" t="s">
        <v>140</v>
      </c>
      <c r="B724" s="33" t="s">
        <v>1337</v>
      </c>
      <c r="C724" s="29"/>
      <c r="D724" s="30"/>
      <c r="E724" s="30"/>
      <c r="F724" s="31">
        <v>212428</v>
      </c>
      <c r="G724" s="30"/>
      <c r="H724" s="29"/>
      <c r="I724" s="29"/>
      <c r="J724" s="30"/>
      <c r="K724" s="32" t="s">
        <v>1338</v>
      </c>
      <c r="L724" s="29"/>
    </row>
    <row r="725" spans="1:12" x14ac:dyDescent="0.25">
      <c r="A725" s="16" t="s">
        <v>301</v>
      </c>
      <c r="B725" s="34" t="s">
        <v>1325</v>
      </c>
      <c r="C725" s="18">
        <v>3.2</v>
      </c>
      <c r="D725" s="19" t="s">
        <v>38</v>
      </c>
      <c r="E725" s="20">
        <v>40510.12</v>
      </c>
      <c r="F725" s="21">
        <v>129632</v>
      </c>
      <c r="G725" s="22">
        <v>3.2</v>
      </c>
      <c r="H725" s="21">
        <f>ROUND(G725*E725,0)</f>
        <v>129632</v>
      </c>
      <c r="I725" s="21">
        <f>H725-F725</f>
        <v>0</v>
      </c>
      <c r="J725" s="23"/>
      <c r="K725" s="24" t="s">
        <v>1339</v>
      </c>
      <c r="L725" s="35">
        <v>0</v>
      </c>
    </row>
    <row r="726" spans="1:12" x14ac:dyDescent="0.25">
      <c r="A726" s="16" t="s">
        <v>304</v>
      </c>
      <c r="B726" s="34" t="s">
        <v>1327</v>
      </c>
      <c r="C726" s="18">
        <v>1</v>
      </c>
      <c r="D726" s="19" t="s">
        <v>31</v>
      </c>
      <c r="E726" s="20">
        <v>82795.66</v>
      </c>
      <c r="F726" s="21">
        <v>82796</v>
      </c>
      <c r="G726" s="22">
        <v>1</v>
      </c>
      <c r="H726" s="21">
        <f>ROUND(G726*E726,0)</f>
        <v>82796</v>
      </c>
      <c r="I726" s="21">
        <f>H726-F726</f>
        <v>0</v>
      </c>
      <c r="J726" s="23"/>
      <c r="K726" s="24" t="s">
        <v>1340</v>
      </c>
      <c r="L726" s="35">
        <v>0</v>
      </c>
    </row>
    <row r="727" spans="1:12" s="26" customFormat="1" x14ac:dyDescent="0.25">
      <c r="A727" s="27" t="s">
        <v>143</v>
      </c>
      <c r="B727" s="33" t="s">
        <v>1341</v>
      </c>
      <c r="C727" s="29"/>
      <c r="D727" s="30"/>
      <c r="E727" s="30"/>
      <c r="F727" s="31">
        <v>212428</v>
      </c>
      <c r="G727" s="30"/>
      <c r="H727" s="29"/>
      <c r="I727" s="29"/>
      <c r="J727" s="30"/>
      <c r="K727" s="32" t="s">
        <v>1342</v>
      </c>
      <c r="L727" s="29"/>
    </row>
    <row r="728" spans="1:12" x14ac:dyDescent="0.25">
      <c r="A728" s="16" t="s">
        <v>381</v>
      </c>
      <c r="B728" s="34" t="s">
        <v>1325</v>
      </c>
      <c r="C728" s="18">
        <v>3.2</v>
      </c>
      <c r="D728" s="19" t="s">
        <v>38</v>
      </c>
      <c r="E728" s="20">
        <v>40510.12</v>
      </c>
      <c r="F728" s="21">
        <v>129632</v>
      </c>
      <c r="G728" s="22">
        <v>3.2</v>
      </c>
      <c r="H728" s="21">
        <f>ROUND(G728*E728,0)</f>
        <v>129632</v>
      </c>
      <c r="I728" s="21">
        <f>H728-F728</f>
        <v>0</v>
      </c>
      <c r="J728" s="23"/>
      <c r="K728" s="24" t="s">
        <v>1343</v>
      </c>
      <c r="L728" s="35">
        <v>0</v>
      </c>
    </row>
    <row r="729" spans="1:12" x14ac:dyDescent="0.25">
      <c r="A729" s="16" t="s">
        <v>383</v>
      </c>
      <c r="B729" s="34" t="s">
        <v>1327</v>
      </c>
      <c r="C729" s="18">
        <v>1</v>
      </c>
      <c r="D729" s="19" t="s">
        <v>31</v>
      </c>
      <c r="E729" s="20">
        <v>82795.66</v>
      </c>
      <c r="F729" s="21">
        <v>82796</v>
      </c>
      <c r="G729" s="22">
        <v>1</v>
      </c>
      <c r="H729" s="21">
        <f>ROUND(G729*E729,0)</f>
        <v>82796</v>
      </c>
      <c r="I729" s="21">
        <f>H729-F729</f>
        <v>0</v>
      </c>
      <c r="J729" s="23"/>
      <c r="K729" s="24" t="s">
        <v>1344</v>
      </c>
      <c r="L729" s="35">
        <v>0</v>
      </c>
    </row>
    <row r="730" spans="1:12" x14ac:dyDescent="0.25">
      <c r="A730" s="16" t="s">
        <v>146</v>
      </c>
      <c r="B730" s="36" t="s">
        <v>1345</v>
      </c>
      <c r="C730" s="18">
        <v>1</v>
      </c>
      <c r="D730" s="19" t="s">
        <v>155</v>
      </c>
      <c r="E730" s="20">
        <v>1222114.53</v>
      </c>
      <c r="F730" s="21">
        <v>1222115</v>
      </c>
      <c r="G730" s="22">
        <v>1</v>
      </c>
      <c r="H730" s="21">
        <f>ROUND(G730*E730,0)</f>
        <v>1222115</v>
      </c>
      <c r="I730" s="21">
        <f>H730-F730</f>
        <v>0</v>
      </c>
      <c r="J730" s="23"/>
      <c r="K730" s="24" t="s">
        <v>1346</v>
      </c>
      <c r="L730" s="35">
        <v>0</v>
      </c>
    </row>
    <row r="731" spans="1:12" x14ac:dyDescent="0.25">
      <c r="A731" s="16" t="s">
        <v>150</v>
      </c>
      <c r="B731" s="36" t="s">
        <v>890</v>
      </c>
      <c r="C731" s="18">
        <v>1</v>
      </c>
      <c r="D731" s="19" t="s">
        <v>155</v>
      </c>
      <c r="E731" s="20">
        <v>4973463.47</v>
      </c>
      <c r="F731" s="21">
        <v>4973463</v>
      </c>
      <c r="G731" s="22">
        <v>1</v>
      </c>
      <c r="H731" s="21">
        <f>ROUND(G731*E731,0)</f>
        <v>4973463</v>
      </c>
      <c r="I731" s="21">
        <f>H731-F731</f>
        <v>0</v>
      </c>
      <c r="J731" s="23"/>
      <c r="K731" s="24" t="s">
        <v>1347</v>
      </c>
      <c r="L731" s="35">
        <v>0</v>
      </c>
    </row>
    <row r="732" spans="1:12" s="26" customFormat="1" x14ac:dyDescent="0.25">
      <c r="A732" s="27" t="s">
        <v>1348</v>
      </c>
      <c r="B732" s="28" t="s">
        <v>1349</v>
      </c>
      <c r="C732" s="29"/>
      <c r="D732" s="30"/>
      <c r="E732" s="30"/>
      <c r="F732" s="31">
        <v>0</v>
      </c>
      <c r="G732" s="30"/>
      <c r="H732" s="29"/>
      <c r="I732" s="29"/>
      <c r="J732" s="30"/>
      <c r="K732" s="32" t="s">
        <v>1350</v>
      </c>
      <c r="L732" s="29"/>
    </row>
    <row r="733" spans="1:12" s="26" customFormat="1" x14ac:dyDescent="0.25">
      <c r="A733" s="27" t="s">
        <v>1351</v>
      </c>
      <c r="B733" s="28" t="s">
        <v>1352</v>
      </c>
      <c r="C733" s="29"/>
      <c r="D733" s="30"/>
      <c r="E733" s="30"/>
      <c r="F733" s="31">
        <v>183122412</v>
      </c>
      <c r="G733" s="30"/>
      <c r="H733" s="29"/>
      <c r="I733" s="29"/>
      <c r="J733" s="30"/>
      <c r="K733" s="32" t="s">
        <v>1353</v>
      </c>
      <c r="L733" s="29"/>
    </row>
    <row r="734" spans="1:12" s="26" customFormat="1" x14ac:dyDescent="0.25">
      <c r="A734" s="27" t="s">
        <v>21</v>
      </c>
      <c r="B734" s="33" t="s">
        <v>1354</v>
      </c>
      <c r="C734" s="29"/>
      <c r="D734" s="30"/>
      <c r="E734" s="30"/>
      <c r="F734" s="31">
        <v>12100000</v>
      </c>
      <c r="G734" s="30"/>
      <c r="H734" s="29"/>
      <c r="I734" s="29"/>
      <c r="J734" s="30"/>
      <c r="K734" s="32" t="s">
        <v>1355</v>
      </c>
      <c r="L734" s="29"/>
    </row>
    <row r="735" spans="1:12" x14ac:dyDescent="0.25">
      <c r="A735" s="16" t="s">
        <v>212</v>
      </c>
      <c r="B735" s="34" t="s">
        <v>1356</v>
      </c>
      <c r="C735" s="18">
        <v>1</v>
      </c>
      <c r="D735" s="19" t="s">
        <v>148</v>
      </c>
      <c r="E735" s="20">
        <v>12100000</v>
      </c>
      <c r="F735" s="21">
        <v>12100000</v>
      </c>
      <c r="G735" s="22">
        <v>1</v>
      </c>
      <c r="H735" s="21">
        <f>ROUND(G735*E735,0)</f>
        <v>12100000</v>
      </c>
      <c r="I735" s="21">
        <f>H735-F735</f>
        <v>0</v>
      </c>
      <c r="J735" s="23"/>
      <c r="K735" s="24" t="s">
        <v>1357</v>
      </c>
      <c r="L735" s="35">
        <v>0</v>
      </c>
    </row>
    <row r="736" spans="1:12" s="26" customFormat="1" x14ac:dyDescent="0.25">
      <c r="A736" s="27" t="s">
        <v>25</v>
      </c>
      <c r="B736" s="33" t="s">
        <v>1358</v>
      </c>
      <c r="C736" s="29"/>
      <c r="D736" s="30"/>
      <c r="E736" s="30"/>
      <c r="F736" s="31">
        <v>154499748</v>
      </c>
      <c r="G736" s="30"/>
      <c r="H736" s="29"/>
      <c r="I736" s="29"/>
      <c r="J736" s="30"/>
      <c r="K736" s="32" t="s">
        <v>1359</v>
      </c>
      <c r="L736" s="29"/>
    </row>
    <row r="737" spans="1:12" x14ac:dyDescent="0.25">
      <c r="A737" s="16" t="s">
        <v>224</v>
      </c>
      <c r="B737" s="34" t="s">
        <v>1360</v>
      </c>
      <c r="C737" s="18">
        <v>60</v>
      </c>
      <c r="D737" s="19" t="s">
        <v>38</v>
      </c>
      <c r="E737" s="20">
        <v>520756.4</v>
      </c>
      <c r="F737" s="21">
        <v>31245384</v>
      </c>
      <c r="G737" s="22">
        <v>60</v>
      </c>
      <c r="H737" s="21">
        <f>ROUND(G737*E737,0)</f>
        <v>31245384</v>
      </c>
      <c r="I737" s="21">
        <f>H737-F737</f>
        <v>0</v>
      </c>
      <c r="J737" s="23"/>
      <c r="K737" s="24" t="s">
        <v>1361</v>
      </c>
      <c r="L737" s="35">
        <v>0</v>
      </c>
    </row>
    <row r="738" spans="1:12" x14ac:dyDescent="0.25">
      <c r="A738" s="16" t="s">
        <v>227</v>
      </c>
      <c r="B738" s="34" t="s">
        <v>1362</v>
      </c>
      <c r="C738" s="18">
        <v>60</v>
      </c>
      <c r="D738" s="19" t="s">
        <v>38</v>
      </c>
      <c r="E738" s="20">
        <v>2000000</v>
      </c>
      <c r="F738" s="21">
        <v>120000000</v>
      </c>
      <c r="G738" s="22">
        <v>60</v>
      </c>
      <c r="H738" s="21">
        <f>ROUND(G738*E738,0)</f>
        <v>120000000</v>
      </c>
      <c r="I738" s="21">
        <f>H738-F738</f>
        <v>0</v>
      </c>
      <c r="J738" s="23"/>
      <c r="K738" s="24" t="s">
        <v>1363</v>
      </c>
      <c r="L738" s="35">
        <v>0</v>
      </c>
    </row>
    <row r="739" spans="1:12" x14ac:dyDescent="0.25">
      <c r="A739" s="16" t="s">
        <v>231</v>
      </c>
      <c r="B739" s="34" t="s">
        <v>1364</v>
      </c>
      <c r="C739" s="18">
        <v>6.594</v>
      </c>
      <c r="D739" s="19" t="s">
        <v>38</v>
      </c>
      <c r="E739" s="20">
        <v>83601.33</v>
      </c>
      <c r="F739" s="21">
        <v>551267</v>
      </c>
      <c r="G739" s="22">
        <v>6.594</v>
      </c>
      <c r="H739" s="21">
        <f>ROUND(G739*E739,0)</f>
        <v>551267</v>
      </c>
      <c r="I739" s="21">
        <f>H739-F739</f>
        <v>0</v>
      </c>
      <c r="J739" s="23"/>
      <c r="K739" s="24" t="s">
        <v>1365</v>
      </c>
      <c r="L739" s="35">
        <v>0</v>
      </c>
    </row>
    <row r="740" spans="1:12" x14ac:dyDescent="0.25">
      <c r="A740" s="16" t="s">
        <v>234</v>
      </c>
      <c r="B740" s="34" t="s">
        <v>1366</v>
      </c>
      <c r="C740" s="18">
        <v>8</v>
      </c>
      <c r="D740" s="19" t="s">
        <v>38</v>
      </c>
      <c r="E740" s="20">
        <v>337887.13</v>
      </c>
      <c r="F740" s="21">
        <v>2703097</v>
      </c>
      <c r="G740" s="22">
        <v>8</v>
      </c>
      <c r="H740" s="21">
        <f>ROUND(G740*E740,0)</f>
        <v>2703097</v>
      </c>
      <c r="I740" s="21">
        <f>H740-F740</f>
        <v>0</v>
      </c>
      <c r="J740" s="23"/>
      <c r="K740" s="24" t="s">
        <v>1367</v>
      </c>
      <c r="L740" s="35">
        <v>0</v>
      </c>
    </row>
    <row r="741" spans="1:12" x14ac:dyDescent="0.25">
      <c r="A741" s="16" t="s">
        <v>29</v>
      </c>
      <c r="B741" s="36" t="s">
        <v>1368</v>
      </c>
      <c r="C741" s="18">
        <v>1.914</v>
      </c>
      <c r="D741" s="19" t="s">
        <v>214</v>
      </c>
      <c r="E741" s="20">
        <v>350789.78</v>
      </c>
      <c r="F741" s="21">
        <v>671462</v>
      </c>
      <c r="G741" s="22">
        <v>1.914</v>
      </c>
      <c r="H741" s="21">
        <f>ROUND(G741*E741,0)</f>
        <v>671462</v>
      </c>
      <c r="I741" s="21">
        <f>H741-F741</f>
        <v>0</v>
      </c>
      <c r="J741" s="23"/>
      <c r="K741" s="24" t="s">
        <v>1369</v>
      </c>
      <c r="L741" s="35">
        <v>0</v>
      </c>
    </row>
    <row r="742" spans="1:12" x14ac:dyDescent="0.25">
      <c r="A742" s="16" t="s">
        <v>33</v>
      </c>
      <c r="B742" s="36" t="s">
        <v>1370</v>
      </c>
      <c r="C742" s="18">
        <v>0.027</v>
      </c>
      <c r="D742" s="19" t="s">
        <v>214</v>
      </c>
      <c r="E742" s="20">
        <v>32700000</v>
      </c>
      <c r="F742" s="21">
        <v>882900</v>
      </c>
      <c r="G742" s="22">
        <v>0.027</v>
      </c>
      <c r="H742" s="21">
        <f>ROUND(G742*E742,0)</f>
        <v>882900</v>
      </c>
      <c r="I742" s="21">
        <f>H742-F742</f>
        <v>0</v>
      </c>
      <c r="J742" s="23"/>
      <c r="K742" s="24" t="s">
        <v>1371</v>
      </c>
      <c r="L742" s="35">
        <v>0</v>
      </c>
    </row>
    <row r="743" spans="1:12" s="26" customFormat="1" x14ac:dyDescent="0.25">
      <c r="A743" s="27" t="s">
        <v>36</v>
      </c>
      <c r="B743" s="33" t="s">
        <v>1372</v>
      </c>
      <c r="C743" s="29"/>
      <c r="D743" s="30"/>
      <c r="E743" s="30"/>
      <c r="F743" s="31">
        <v>14968302</v>
      </c>
      <c r="G743" s="30"/>
      <c r="H743" s="29"/>
      <c r="I743" s="29"/>
      <c r="J743" s="30"/>
      <c r="K743" s="32" t="s">
        <v>1373</v>
      </c>
      <c r="L743" s="29"/>
    </row>
    <row r="744" spans="1:12" x14ac:dyDescent="0.25">
      <c r="A744" s="16" t="s">
        <v>269</v>
      </c>
      <c r="B744" s="34" t="s">
        <v>456</v>
      </c>
      <c r="C744" s="18">
        <v>1.14</v>
      </c>
      <c r="D744" s="19" t="s">
        <v>214</v>
      </c>
      <c r="E744" s="20">
        <v>56660.36</v>
      </c>
      <c r="F744" s="21">
        <v>64593</v>
      </c>
      <c r="G744" s="22">
        <v>1.14</v>
      </c>
      <c r="H744" s="21">
        <f>ROUND(G744*E744,0)</f>
        <v>64593</v>
      </c>
      <c r="I744" s="21">
        <f>H744-F744</f>
        <v>0</v>
      </c>
      <c r="J744" s="23"/>
      <c r="K744" s="24" t="s">
        <v>1374</v>
      </c>
      <c r="L744" s="35">
        <v>0</v>
      </c>
    </row>
    <row r="745" spans="1:12" x14ac:dyDescent="0.25">
      <c r="A745" s="16" t="s">
        <v>272</v>
      </c>
      <c r="B745" s="34" t="s">
        <v>657</v>
      </c>
      <c r="C745" s="18">
        <v>0</v>
      </c>
      <c r="D745" s="19" t="s">
        <v>836</v>
      </c>
      <c r="E745" s="20">
        <v>0</v>
      </c>
      <c r="F745" s="21">
        <v>0</v>
      </c>
      <c r="G745" s="22">
        <v>0</v>
      </c>
      <c r="H745" s="21">
        <f>ROUND(G745*E745,0)</f>
        <v>0</v>
      </c>
      <c r="I745" s="21">
        <f>H745-F745</f>
        <v>0</v>
      </c>
      <c r="J745" s="23"/>
      <c r="K745" s="24" t="s">
        <v>1375</v>
      </c>
      <c r="L745" s="35">
        <v>0</v>
      </c>
    </row>
    <row r="746" spans="1:12" x14ac:dyDescent="0.25">
      <c r="A746" s="16" t="s">
        <v>1376</v>
      </c>
      <c r="B746" s="34" t="s">
        <v>904</v>
      </c>
      <c r="C746" s="18">
        <v>1.24</v>
      </c>
      <c r="D746" s="19" t="s">
        <v>23</v>
      </c>
      <c r="E746" s="20">
        <v>130392.01</v>
      </c>
      <c r="F746" s="21">
        <v>161686</v>
      </c>
      <c r="G746" s="22">
        <v>1.24</v>
      </c>
      <c r="H746" s="21">
        <f>ROUND(G746*E746,0)</f>
        <v>161686</v>
      </c>
      <c r="I746" s="21">
        <f>H746-F746</f>
        <v>0</v>
      </c>
      <c r="J746" s="23"/>
      <c r="K746" s="24" t="s">
        <v>1377</v>
      </c>
      <c r="L746" s="35">
        <v>0</v>
      </c>
    </row>
    <row r="747" spans="1:12" x14ac:dyDescent="0.25">
      <c r="A747" s="16" t="s">
        <v>1378</v>
      </c>
      <c r="B747" s="34" t="s">
        <v>1379</v>
      </c>
      <c r="C747" s="18">
        <v>2.94</v>
      </c>
      <c r="D747" s="19" t="s">
        <v>23</v>
      </c>
      <c r="E747" s="20">
        <v>24279.27</v>
      </c>
      <c r="F747" s="21">
        <v>71381</v>
      </c>
      <c r="G747" s="22">
        <v>2.94</v>
      </c>
      <c r="H747" s="21">
        <f>ROUND(G747*E747,0)</f>
        <v>71381</v>
      </c>
      <c r="I747" s="21">
        <f>H747-F747</f>
        <v>0</v>
      </c>
      <c r="J747" s="23"/>
      <c r="K747" s="24" t="s">
        <v>1380</v>
      </c>
      <c r="L747" s="35">
        <v>0</v>
      </c>
    </row>
    <row r="748" spans="1:12" x14ac:dyDescent="0.25">
      <c r="A748" s="16" t="s">
        <v>1381</v>
      </c>
      <c r="B748" s="34" t="s">
        <v>910</v>
      </c>
      <c r="C748" s="18">
        <v>0.588</v>
      </c>
      <c r="D748" s="19" t="s">
        <v>214</v>
      </c>
      <c r="E748" s="20">
        <v>1151545.01</v>
      </c>
      <c r="F748" s="21">
        <v>677108</v>
      </c>
      <c r="G748" s="22">
        <v>0.588</v>
      </c>
      <c r="H748" s="21">
        <f>ROUND(G748*E748,0)</f>
        <v>677108</v>
      </c>
      <c r="I748" s="21">
        <f>H748-F748</f>
        <v>0</v>
      </c>
      <c r="J748" s="23"/>
      <c r="K748" s="24" t="s">
        <v>1382</v>
      </c>
      <c r="L748" s="35">
        <v>0</v>
      </c>
    </row>
    <row r="749" spans="1:12" x14ac:dyDescent="0.25">
      <c r="A749" s="16" t="s">
        <v>275</v>
      </c>
      <c r="B749" s="34" t="s">
        <v>1383</v>
      </c>
      <c r="C749" s="18">
        <v>2.3</v>
      </c>
      <c r="D749" s="19" t="s">
        <v>23</v>
      </c>
      <c r="E749" s="20">
        <v>122466.89</v>
      </c>
      <c r="F749" s="21">
        <v>281674</v>
      </c>
      <c r="G749" s="22">
        <v>2.3</v>
      </c>
      <c r="H749" s="21">
        <f>ROUND(G749*E749,0)</f>
        <v>281674</v>
      </c>
      <c r="I749" s="21">
        <f>H749-F749</f>
        <v>0</v>
      </c>
      <c r="J749" s="23"/>
      <c r="K749" s="24" t="s">
        <v>1384</v>
      </c>
      <c r="L749" s="35">
        <v>0</v>
      </c>
    </row>
    <row r="750" spans="1:12" x14ac:dyDescent="0.25">
      <c r="A750" s="16" t="s">
        <v>277</v>
      </c>
      <c r="B750" s="34" t="s">
        <v>447</v>
      </c>
      <c r="C750" s="18">
        <v>5.11</v>
      </c>
      <c r="D750" s="19" t="s">
        <v>23</v>
      </c>
      <c r="E750" s="20">
        <v>54647.67</v>
      </c>
      <c r="F750" s="21">
        <v>279250</v>
      </c>
      <c r="G750" s="22">
        <v>5.11</v>
      </c>
      <c r="H750" s="21">
        <f>ROUND(G750*E750,0)</f>
        <v>279250</v>
      </c>
      <c r="I750" s="21">
        <f>H750-F750</f>
        <v>0</v>
      </c>
      <c r="J750" s="23"/>
      <c r="K750" s="24" t="s">
        <v>1385</v>
      </c>
      <c r="L750" s="35">
        <v>0</v>
      </c>
    </row>
    <row r="751" spans="1:12" x14ac:dyDescent="0.25">
      <c r="A751" s="16" t="s">
        <v>546</v>
      </c>
      <c r="B751" s="34" t="s">
        <v>250</v>
      </c>
      <c r="C751" s="18">
        <v>5.11</v>
      </c>
      <c r="D751" s="19" t="s">
        <v>23</v>
      </c>
      <c r="E751" s="20">
        <v>45520.53</v>
      </c>
      <c r="F751" s="21">
        <v>232610</v>
      </c>
      <c r="G751" s="22">
        <v>5.11</v>
      </c>
      <c r="H751" s="21">
        <f>ROUND(G751*E751,0)</f>
        <v>232610</v>
      </c>
      <c r="I751" s="21">
        <f>H751-F751</f>
        <v>0</v>
      </c>
      <c r="J751" s="23"/>
      <c r="K751" s="24" t="s">
        <v>1386</v>
      </c>
      <c r="L751" s="35">
        <v>0</v>
      </c>
    </row>
    <row r="752" spans="1:12" x14ac:dyDescent="0.25">
      <c r="A752" s="16" t="s">
        <v>615</v>
      </c>
      <c r="B752" s="34" t="s">
        <v>1387</v>
      </c>
      <c r="C752" s="18">
        <v>1</v>
      </c>
      <c r="D752" s="19" t="s">
        <v>155</v>
      </c>
      <c r="E752" s="20">
        <v>13200000</v>
      </c>
      <c r="F752" s="21">
        <v>13200000</v>
      </c>
      <c r="G752" s="22">
        <v>1</v>
      </c>
      <c r="H752" s="21">
        <f>ROUND(G752*E752,0)</f>
        <v>13200000</v>
      </c>
      <c r="I752" s="21">
        <f>H752-F752</f>
        <v>0</v>
      </c>
      <c r="J752" s="23"/>
      <c r="K752" s="24" t="s">
        <v>1388</v>
      </c>
      <c r="L752" s="35">
        <v>0</v>
      </c>
    </row>
    <row r="753" spans="1:12" s="26" customFormat="1" x14ac:dyDescent="0.25">
      <c r="A753" s="27" t="s">
        <v>1389</v>
      </c>
      <c r="B753" s="28" t="s">
        <v>1390</v>
      </c>
      <c r="C753" s="29"/>
      <c r="D753" s="30"/>
      <c r="E753" s="30"/>
      <c r="F753" s="31">
        <v>87901502</v>
      </c>
      <c r="G753" s="30"/>
      <c r="H753" s="29"/>
      <c r="I753" s="29"/>
      <c r="J753" s="30"/>
      <c r="K753" s="32" t="s">
        <v>1391</v>
      </c>
      <c r="L753" s="29"/>
    </row>
    <row r="754" spans="1:12" x14ac:dyDescent="0.25">
      <c r="A754" s="16" t="s">
        <v>21</v>
      </c>
      <c r="B754" s="36" t="s">
        <v>1392</v>
      </c>
      <c r="C754" s="18">
        <v>1</v>
      </c>
      <c r="D754" s="19" t="s">
        <v>155</v>
      </c>
      <c r="E754" s="20">
        <v>64300000</v>
      </c>
      <c r="F754" s="21">
        <v>64300000</v>
      </c>
      <c r="G754" s="22">
        <v>1</v>
      </c>
      <c r="H754" s="21">
        <f>ROUND(G754*E754,0)</f>
        <v>64300000</v>
      </c>
      <c r="I754" s="21">
        <f>H754-F754</f>
        <v>0</v>
      </c>
      <c r="J754" s="23"/>
      <c r="K754" s="24" t="s">
        <v>1393</v>
      </c>
      <c r="L754" s="35">
        <v>0</v>
      </c>
    </row>
    <row r="755" spans="1:12" x14ac:dyDescent="0.25">
      <c r="A755" s="16" t="s">
        <v>25</v>
      </c>
      <c r="B755" s="36" t="s">
        <v>1394</v>
      </c>
      <c r="C755" s="18">
        <v>1</v>
      </c>
      <c r="D755" s="19" t="s">
        <v>155</v>
      </c>
      <c r="E755" s="20">
        <v>4880093.67</v>
      </c>
      <c r="F755" s="21">
        <v>4880094</v>
      </c>
      <c r="G755" s="22">
        <v>1</v>
      </c>
      <c r="H755" s="21">
        <f>ROUND(G755*E755,0)</f>
        <v>4880094</v>
      </c>
      <c r="I755" s="21">
        <f>H755-F755</f>
        <v>0</v>
      </c>
      <c r="J755" s="23"/>
      <c r="K755" s="24" t="s">
        <v>1395</v>
      </c>
      <c r="L755" s="35">
        <v>0</v>
      </c>
    </row>
    <row r="756" spans="1:12" x14ac:dyDescent="0.25">
      <c r="A756" s="16" t="s">
        <v>29</v>
      </c>
      <c r="B756" s="36" t="s">
        <v>1396</v>
      </c>
      <c r="C756" s="18">
        <v>60</v>
      </c>
      <c r="D756" s="19" t="s">
        <v>38</v>
      </c>
      <c r="E756" s="20">
        <v>33440.21</v>
      </c>
      <c r="F756" s="21">
        <v>2006413</v>
      </c>
      <c r="G756" s="22">
        <v>60</v>
      </c>
      <c r="H756" s="21">
        <f>ROUND(G756*E756,0)</f>
        <v>2006413</v>
      </c>
      <c r="I756" s="21">
        <f>H756-F756</f>
        <v>0</v>
      </c>
      <c r="J756" s="23"/>
      <c r="K756" s="24" t="s">
        <v>1397</v>
      </c>
      <c r="L756" s="35">
        <v>0</v>
      </c>
    </row>
    <row r="757" spans="1:12" x14ac:dyDescent="0.25">
      <c r="A757" s="16" t="s">
        <v>33</v>
      </c>
      <c r="B757" s="36" t="s">
        <v>1398</v>
      </c>
      <c r="C757" s="18">
        <v>60</v>
      </c>
      <c r="D757" s="19" t="s">
        <v>38</v>
      </c>
      <c r="E757" s="20">
        <v>60806.87</v>
      </c>
      <c r="F757" s="21">
        <v>3648412</v>
      </c>
      <c r="G757" s="22">
        <v>60</v>
      </c>
      <c r="H757" s="21">
        <f>ROUND(G757*E757,0)</f>
        <v>3648412</v>
      </c>
      <c r="I757" s="21">
        <f>H757-F757</f>
        <v>0</v>
      </c>
      <c r="J757" s="23"/>
      <c r="K757" s="24" t="s">
        <v>1399</v>
      </c>
      <c r="L757" s="35">
        <v>0</v>
      </c>
    </row>
    <row r="758" spans="1:12" x14ac:dyDescent="0.25">
      <c r="A758" s="16" t="s">
        <v>36</v>
      </c>
      <c r="B758" s="36" t="s">
        <v>1400</v>
      </c>
      <c r="C758" s="18">
        <v>1</v>
      </c>
      <c r="D758" s="19" t="s">
        <v>155</v>
      </c>
      <c r="E758" s="20">
        <v>4280108.36</v>
      </c>
      <c r="F758" s="21">
        <v>4280108</v>
      </c>
      <c r="G758" s="22">
        <v>1</v>
      </c>
      <c r="H758" s="21">
        <f>ROUND(G758*E758,0)</f>
        <v>4280108</v>
      </c>
      <c r="I758" s="21">
        <f>H758-F758</f>
        <v>0</v>
      </c>
      <c r="J758" s="23"/>
      <c r="K758" s="24" t="s">
        <v>1401</v>
      </c>
      <c r="L758" s="35">
        <v>0</v>
      </c>
    </row>
    <row r="759" spans="1:12" x14ac:dyDescent="0.25">
      <c r="A759" s="16" t="s">
        <v>40</v>
      </c>
      <c r="B759" s="36" t="s">
        <v>1402</v>
      </c>
      <c r="C759" s="18">
        <v>60</v>
      </c>
      <c r="D759" s="19" t="s">
        <v>38</v>
      </c>
      <c r="E759" s="20">
        <v>146441.25</v>
      </c>
      <c r="F759" s="21">
        <v>8786475</v>
      </c>
      <c r="G759" s="22">
        <v>60</v>
      </c>
      <c r="H759" s="21">
        <f>ROUND(G759*E759,0)</f>
        <v>8786475</v>
      </c>
      <c r="I759" s="21">
        <f>H759-F759</f>
        <v>0</v>
      </c>
      <c r="J759" s="23"/>
      <c r="K759" s="24" t="s">
        <v>1403</v>
      </c>
      <c r="L759" s="35">
        <v>0</v>
      </c>
    </row>
    <row r="760" spans="1:12" s="8" customFormat="1" x14ac:dyDescent="0.25">
      <c r="A760" s="9" t="s">
        <v>1404</v>
      </c>
      <c r="B760" s="10" t="s">
        <v>1405</v>
      </c>
      <c r="C760" s="11"/>
      <c r="D760" s="12"/>
      <c r="E760" s="12"/>
      <c r="F760" s="13">
        <v>312598200</v>
      </c>
      <c r="G760" s="12"/>
      <c r="H760" s="11"/>
      <c r="I760" s="11"/>
      <c r="J760" s="12"/>
      <c r="K760" s="14" t="s">
        <v>1404</v>
      </c>
      <c r="L760" s="15"/>
    </row>
    <row r="761" spans="1:12" s="26" customFormat="1" x14ac:dyDescent="0.25">
      <c r="A761" s="27" t="s">
        <v>1406</v>
      </c>
      <c r="B761" s="28" t="s">
        <v>1407</v>
      </c>
      <c r="C761" s="29"/>
      <c r="D761" s="30"/>
      <c r="E761" s="30"/>
      <c r="F761" s="31">
        <v>110142311</v>
      </c>
      <c r="G761" s="30"/>
      <c r="H761" s="29"/>
      <c r="I761" s="29"/>
      <c r="J761" s="30"/>
      <c r="K761" s="32" t="s">
        <v>1408</v>
      </c>
      <c r="L761" s="29"/>
    </row>
    <row r="762" spans="1:12" s="26" customFormat="1" x14ac:dyDescent="0.25">
      <c r="A762" s="27" t="s">
        <v>21</v>
      </c>
      <c r="B762" s="33" t="s">
        <v>1409</v>
      </c>
      <c r="C762" s="29"/>
      <c r="D762" s="30"/>
      <c r="E762" s="30"/>
      <c r="F762" s="31">
        <v>9805153</v>
      </c>
      <c r="G762" s="30"/>
      <c r="H762" s="29"/>
      <c r="I762" s="29"/>
      <c r="J762" s="30"/>
      <c r="K762" s="32" t="s">
        <v>1410</v>
      </c>
      <c r="L762" s="29"/>
    </row>
    <row r="763" spans="1:12" x14ac:dyDescent="0.25">
      <c r="A763" s="16" t="s">
        <v>212</v>
      </c>
      <c r="B763" s="34" t="s">
        <v>456</v>
      </c>
      <c r="C763" s="18">
        <v>11.66</v>
      </c>
      <c r="D763" s="19" t="s">
        <v>214</v>
      </c>
      <c r="E763" s="20">
        <v>56660.36</v>
      </c>
      <c r="F763" s="21">
        <v>660660</v>
      </c>
      <c r="G763" s="22">
        <v>11.66</v>
      </c>
      <c r="H763" s="21">
        <f>ROUND(G763*E763,0)</f>
        <v>660660</v>
      </c>
      <c r="I763" s="21">
        <f>H763-F763</f>
        <v>0</v>
      </c>
      <c r="J763" s="23"/>
      <c r="K763" s="24" t="s">
        <v>1411</v>
      </c>
      <c r="L763" s="35">
        <v>0</v>
      </c>
    </row>
    <row r="764" spans="1:12" x14ac:dyDescent="0.25">
      <c r="A764" s="16" t="s">
        <v>216</v>
      </c>
      <c r="B764" s="34" t="s">
        <v>1224</v>
      </c>
      <c r="C764" s="18">
        <v>0.65</v>
      </c>
      <c r="D764" s="19" t="s">
        <v>214</v>
      </c>
      <c r="E764" s="20">
        <v>345522.98</v>
      </c>
      <c r="F764" s="21">
        <v>224590</v>
      </c>
      <c r="G764" s="22">
        <v>0.65</v>
      </c>
      <c r="H764" s="21">
        <f>ROUND(G764*E764,0)</f>
        <v>224590</v>
      </c>
      <c r="I764" s="21">
        <f>H764-F764</f>
        <v>0</v>
      </c>
      <c r="J764" s="23"/>
      <c r="K764" s="24" t="s">
        <v>1412</v>
      </c>
      <c r="L764" s="35">
        <v>0</v>
      </c>
    </row>
    <row r="765" spans="1:12" x14ac:dyDescent="0.25">
      <c r="A765" s="16" t="s">
        <v>219</v>
      </c>
      <c r="B765" s="34" t="s">
        <v>326</v>
      </c>
      <c r="C765" s="18">
        <v>0.39</v>
      </c>
      <c r="D765" s="19" t="s">
        <v>214</v>
      </c>
      <c r="E765" s="20">
        <v>1016530.97</v>
      </c>
      <c r="F765" s="21">
        <v>396447</v>
      </c>
      <c r="G765" s="22">
        <v>0.39</v>
      </c>
      <c r="H765" s="21">
        <f>ROUND(G765*E765,0)</f>
        <v>396447</v>
      </c>
      <c r="I765" s="21">
        <f>H765-F765</f>
        <v>0</v>
      </c>
      <c r="J765" s="23"/>
      <c r="K765" s="24" t="s">
        <v>1413</v>
      </c>
      <c r="L765" s="35">
        <v>0</v>
      </c>
    </row>
    <row r="766" spans="1:12" x14ac:dyDescent="0.25">
      <c r="A766" s="16" t="s">
        <v>1414</v>
      </c>
      <c r="B766" s="34" t="s">
        <v>1415</v>
      </c>
      <c r="C766" s="18">
        <v>12.96</v>
      </c>
      <c r="D766" s="19" t="s">
        <v>23</v>
      </c>
      <c r="E766" s="20">
        <v>130392.01</v>
      </c>
      <c r="F766" s="21">
        <v>1689881</v>
      </c>
      <c r="G766" s="22">
        <v>12.96</v>
      </c>
      <c r="H766" s="21">
        <f>ROUND(G766*E766,0)</f>
        <v>1689881</v>
      </c>
      <c r="I766" s="21">
        <f>H766-F766</f>
        <v>0</v>
      </c>
      <c r="J766" s="23"/>
      <c r="K766" s="24" t="s">
        <v>1416</v>
      </c>
      <c r="L766" s="35">
        <v>0</v>
      </c>
    </row>
    <row r="767" spans="1:12" x14ac:dyDescent="0.25">
      <c r="A767" s="16" t="s">
        <v>1417</v>
      </c>
      <c r="B767" s="34" t="s">
        <v>1418</v>
      </c>
      <c r="C767" s="18">
        <v>178.66</v>
      </c>
      <c r="D767" s="19" t="s">
        <v>229</v>
      </c>
      <c r="E767" s="20">
        <v>13176.23</v>
      </c>
      <c r="F767" s="21">
        <v>2354065</v>
      </c>
      <c r="G767" s="22">
        <v>178.66</v>
      </c>
      <c r="H767" s="21">
        <f>ROUND(G767*E767,0)</f>
        <v>2354065</v>
      </c>
      <c r="I767" s="21">
        <f>H767-F767</f>
        <v>0</v>
      </c>
      <c r="J767" s="23"/>
      <c r="K767" s="24" t="s">
        <v>1419</v>
      </c>
      <c r="L767" s="35">
        <v>0</v>
      </c>
    </row>
    <row r="768" spans="1:12" x14ac:dyDescent="0.25">
      <c r="A768" s="16" t="s">
        <v>1420</v>
      </c>
      <c r="B768" s="34" t="s">
        <v>377</v>
      </c>
      <c r="C768" s="18">
        <v>3.89</v>
      </c>
      <c r="D768" s="19" t="s">
        <v>214</v>
      </c>
      <c r="E768" s="20">
        <v>1151545.01</v>
      </c>
      <c r="F768" s="21">
        <v>4479510</v>
      </c>
      <c r="G768" s="22">
        <v>3.89</v>
      </c>
      <c r="H768" s="21">
        <f>ROUND(G768*E768,0)</f>
        <v>4479510</v>
      </c>
      <c r="I768" s="21">
        <f>H768-F768</f>
        <v>0</v>
      </c>
      <c r="J768" s="23"/>
      <c r="K768" s="24" t="s">
        <v>1421</v>
      </c>
      <c r="L768" s="35">
        <v>0</v>
      </c>
    </row>
    <row r="769" spans="1:12" s="26" customFormat="1" x14ac:dyDescent="0.25">
      <c r="A769" s="27" t="s">
        <v>25</v>
      </c>
      <c r="B769" s="33" t="s">
        <v>1422</v>
      </c>
      <c r="C769" s="29"/>
      <c r="D769" s="30"/>
      <c r="E769" s="30"/>
      <c r="F769" s="31">
        <v>5334546</v>
      </c>
      <c r="G769" s="30"/>
      <c r="H769" s="29"/>
      <c r="I769" s="29"/>
      <c r="J769" s="30"/>
      <c r="K769" s="32" t="s">
        <v>1423</v>
      </c>
      <c r="L769" s="29"/>
    </row>
    <row r="770" spans="1:12" x14ac:dyDescent="0.25">
      <c r="A770" s="16" t="s">
        <v>224</v>
      </c>
      <c r="B770" s="34" t="s">
        <v>371</v>
      </c>
      <c r="C770" s="18">
        <v>12.6</v>
      </c>
      <c r="D770" s="19" t="s">
        <v>23</v>
      </c>
      <c r="E770" s="20">
        <v>208190.98</v>
      </c>
      <c r="F770" s="21">
        <v>2623206</v>
      </c>
      <c r="G770" s="22">
        <v>12.6</v>
      </c>
      <c r="H770" s="21">
        <f>ROUND(G770*E770,0)</f>
        <v>2623206</v>
      </c>
      <c r="I770" s="21">
        <f>H770-F770</f>
        <v>0</v>
      </c>
      <c r="J770" s="23"/>
      <c r="K770" s="24" t="s">
        <v>1424</v>
      </c>
      <c r="L770" s="35">
        <v>0</v>
      </c>
    </row>
    <row r="771" spans="1:12" x14ac:dyDescent="0.25">
      <c r="A771" s="16" t="s">
        <v>227</v>
      </c>
      <c r="B771" s="34" t="s">
        <v>1425</v>
      </c>
      <c r="C771" s="18">
        <v>41.06</v>
      </c>
      <c r="D771" s="19" t="s">
        <v>229</v>
      </c>
      <c r="E771" s="20">
        <v>13176.23</v>
      </c>
      <c r="F771" s="21">
        <v>541016</v>
      </c>
      <c r="G771" s="22">
        <v>41.06</v>
      </c>
      <c r="H771" s="21">
        <f>ROUND(G771*E771,0)</f>
        <v>541016</v>
      </c>
      <c r="I771" s="21">
        <f>H771-F771</f>
        <v>0</v>
      </c>
      <c r="J771" s="23"/>
      <c r="K771" s="24" t="s">
        <v>1426</v>
      </c>
      <c r="L771" s="35">
        <v>0</v>
      </c>
    </row>
    <row r="772" spans="1:12" x14ac:dyDescent="0.25">
      <c r="A772" s="16" t="s">
        <v>231</v>
      </c>
      <c r="B772" s="34" t="s">
        <v>1427</v>
      </c>
      <c r="C772" s="18">
        <v>26.63</v>
      </c>
      <c r="D772" s="19" t="s">
        <v>229</v>
      </c>
      <c r="E772" s="20">
        <v>13176.23</v>
      </c>
      <c r="F772" s="21">
        <v>350883</v>
      </c>
      <c r="G772" s="22">
        <v>26.63</v>
      </c>
      <c r="H772" s="21">
        <f>ROUND(G772*E772,0)</f>
        <v>350883</v>
      </c>
      <c r="I772" s="21">
        <f>H772-F772</f>
        <v>0</v>
      </c>
      <c r="J772" s="23"/>
      <c r="K772" s="24" t="s">
        <v>1428</v>
      </c>
      <c r="L772" s="35">
        <v>0</v>
      </c>
    </row>
    <row r="773" spans="1:12" x14ac:dyDescent="0.25">
      <c r="A773" s="16" t="s">
        <v>234</v>
      </c>
      <c r="B773" s="34" t="s">
        <v>377</v>
      </c>
      <c r="C773" s="18">
        <v>1.58</v>
      </c>
      <c r="D773" s="19" t="s">
        <v>214</v>
      </c>
      <c r="E773" s="20">
        <v>1151545.01</v>
      </c>
      <c r="F773" s="21">
        <v>1819441</v>
      </c>
      <c r="G773" s="22">
        <v>1.58</v>
      </c>
      <c r="H773" s="21">
        <f>ROUND(G773*E773,0)</f>
        <v>1819441</v>
      </c>
      <c r="I773" s="21">
        <f>H773-F773</f>
        <v>0</v>
      </c>
      <c r="J773" s="23"/>
      <c r="K773" s="24" t="s">
        <v>1429</v>
      </c>
      <c r="L773" s="35">
        <v>0</v>
      </c>
    </row>
    <row r="774" spans="1:12" x14ac:dyDescent="0.25">
      <c r="A774" s="16" t="s">
        <v>29</v>
      </c>
      <c r="B774" s="36" t="s">
        <v>1430</v>
      </c>
      <c r="C774" s="18">
        <v>4</v>
      </c>
      <c r="D774" s="19" t="s">
        <v>155</v>
      </c>
      <c r="E774" s="20">
        <v>9500000</v>
      </c>
      <c r="F774" s="21">
        <v>38000000</v>
      </c>
      <c r="G774" s="22">
        <v>4</v>
      </c>
      <c r="H774" s="21">
        <f>ROUND(G774*E774,0)</f>
        <v>38000000</v>
      </c>
      <c r="I774" s="21">
        <f>H774-F774</f>
        <v>0</v>
      </c>
      <c r="J774" s="23"/>
      <c r="K774" s="24" t="s">
        <v>1431</v>
      </c>
      <c r="L774" s="35">
        <v>0</v>
      </c>
    </row>
    <row r="775" spans="1:12" x14ac:dyDescent="0.25">
      <c r="A775" s="16" t="s">
        <v>33</v>
      </c>
      <c r="B775" s="36" t="s">
        <v>1432</v>
      </c>
      <c r="C775" s="18">
        <v>5</v>
      </c>
      <c r="D775" s="19" t="s">
        <v>155</v>
      </c>
      <c r="E775" s="20">
        <v>5700000</v>
      </c>
      <c r="F775" s="21">
        <v>28500000</v>
      </c>
      <c r="G775" s="22">
        <v>5</v>
      </c>
      <c r="H775" s="21">
        <f>ROUND(G775*E775,0)</f>
        <v>28500000</v>
      </c>
      <c r="I775" s="21">
        <f>H775-F775</f>
        <v>0</v>
      </c>
      <c r="J775" s="23"/>
      <c r="K775" s="24" t="s">
        <v>1433</v>
      </c>
      <c r="L775" s="35">
        <v>0</v>
      </c>
    </row>
    <row r="776" spans="1:12" x14ac:dyDescent="0.25">
      <c r="A776" s="16" t="s">
        <v>36</v>
      </c>
      <c r="B776" s="36" t="s">
        <v>1434</v>
      </c>
      <c r="C776" s="18">
        <v>9</v>
      </c>
      <c r="D776" s="19" t="s">
        <v>155</v>
      </c>
      <c r="E776" s="20">
        <v>3166956.91</v>
      </c>
      <c r="F776" s="21">
        <v>28502612</v>
      </c>
      <c r="G776" s="22">
        <v>9</v>
      </c>
      <c r="H776" s="21">
        <f>ROUND(G776*E776,0)</f>
        <v>28502612</v>
      </c>
      <c r="I776" s="21">
        <f>H776-F776</f>
        <v>0</v>
      </c>
      <c r="J776" s="23"/>
      <c r="K776" s="24" t="s">
        <v>1435</v>
      </c>
      <c r="L776" s="35">
        <v>0</v>
      </c>
    </row>
    <row r="777" spans="1:12" s="26" customFormat="1" x14ac:dyDescent="0.25">
      <c r="A777" s="27" t="s">
        <v>1436</v>
      </c>
      <c r="B777" s="28" t="s">
        <v>495</v>
      </c>
      <c r="C777" s="29"/>
      <c r="D777" s="30"/>
      <c r="E777" s="30"/>
      <c r="F777" s="31">
        <v>202455889</v>
      </c>
      <c r="G777" s="30"/>
      <c r="H777" s="29"/>
      <c r="I777" s="29"/>
      <c r="J777" s="30"/>
      <c r="K777" s="32" t="s">
        <v>1437</v>
      </c>
      <c r="L777" s="29"/>
    </row>
    <row r="778" spans="1:12" x14ac:dyDescent="0.25">
      <c r="A778" s="16" t="s">
        <v>21</v>
      </c>
      <c r="B778" s="36" t="s">
        <v>1438</v>
      </c>
      <c r="C778" s="18">
        <v>1</v>
      </c>
      <c r="D778" s="19" t="s">
        <v>155</v>
      </c>
      <c r="E778" s="20">
        <v>1498449.58</v>
      </c>
      <c r="F778" s="21">
        <v>1498450</v>
      </c>
      <c r="G778" s="22">
        <v>1</v>
      </c>
      <c r="H778" s="21">
        <f>ROUND(G778*E778,0)</f>
        <v>1498450</v>
      </c>
      <c r="I778" s="21">
        <f>H778-F778</f>
        <v>0</v>
      </c>
      <c r="J778" s="23"/>
      <c r="K778" s="24" t="s">
        <v>1439</v>
      </c>
      <c r="L778" s="35">
        <v>0</v>
      </c>
    </row>
    <row r="779" spans="1:12" x14ac:dyDescent="0.25">
      <c r="A779" s="16" t="s">
        <v>25</v>
      </c>
      <c r="B779" s="36" t="s">
        <v>1440</v>
      </c>
      <c r="C779" s="18">
        <v>1</v>
      </c>
      <c r="D779" s="19" t="s">
        <v>155</v>
      </c>
      <c r="E779" s="20">
        <v>1452051.97</v>
      </c>
      <c r="F779" s="21">
        <v>1452052</v>
      </c>
      <c r="G779" s="22">
        <v>1</v>
      </c>
      <c r="H779" s="21">
        <f>ROUND(G779*E779,0)</f>
        <v>1452052</v>
      </c>
      <c r="I779" s="21">
        <f>H779-F779</f>
        <v>0</v>
      </c>
      <c r="J779" s="23"/>
      <c r="K779" s="24" t="s">
        <v>1441</v>
      </c>
      <c r="L779" s="35">
        <v>0</v>
      </c>
    </row>
    <row r="780" spans="1:12" x14ac:dyDescent="0.25">
      <c r="A780" s="16" t="s">
        <v>29</v>
      </c>
      <c r="B780" s="36" t="s">
        <v>1442</v>
      </c>
      <c r="C780" s="18">
        <v>9</v>
      </c>
      <c r="D780" s="19" t="s">
        <v>148</v>
      </c>
      <c r="E780" s="20">
        <v>845144.28</v>
      </c>
      <c r="F780" s="21">
        <v>7606299</v>
      </c>
      <c r="G780" s="22">
        <v>9</v>
      </c>
      <c r="H780" s="21">
        <f>ROUND(G780*E780,0)</f>
        <v>7606299</v>
      </c>
      <c r="I780" s="21">
        <f>H780-F780</f>
        <v>0</v>
      </c>
      <c r="J780" s="23"/>
      <c r="K780" s="24" t="s">
        <v>1443</v>
      </c>
      <c r="L780" s="35">
        <v>0</v>
      </c>
    </row>
    <row r="781" spans="1:12" x14ac:dyDescent="0.25">
      <c r="A781" s="16" t="s">
        <v>33</v>
      </c>
      <c r="B781" s="36" t="s">
        <v>1444</v>
      </c>
      <c r="C781" s="18">
        <v>747.6</v>
      </c>
      <c r="D781" s="19" t="s">
        <v>1445</v>
      </c>
      <c r="E781" s="20">
        <v>200000</v>
      </c>
      <c r="F781" s="21">
        <v>149520000</v>
      </c>
      <c r="G781" s="22">
        <v>747.6</v>
      </c>
      <c r="H781" s="21">
        <f>ROUND(G781*E781,0)</f>
        <v>149520000</v>
      </c>
      <c r="I781" s="21">
        <f>H781-F781</f>
        <v>0</v>
      </c>
      <c r="J781" s="23"/>
      <c r="K781" s="24" t="s">
        <v>1446</v>
      </c>
      <c r="L781" s="35">
        <v>0</v>
      </c>
    </row>
    <row r="782" spans="1:12" x14ac:dyDescent="0.25">
      <c r="A782" s="16" t="s">
        <v>36</v>
      </c>
      <c r="B782" s="36" t="s">
        <v>1447</v>
      </c>
      <c r="C782" s="18">
        <v>22.6</v>
      </c>
      <c r="D782" s="19" t="s">
        <v>1445</v>
      </c>
      <c r="E782" s="20">
        <v>228575.99</v>
      </c>
      <c r="F782" s="21">
        <v>5165817</v>
      </c>
      <c r="G782" s="22">
        <v>22.6</v>
      </c>
      <c r="H782" s="21">
        <f>ROUND(G782*E782,0)</f>
        <v>5165817</v>
      </c>
      <c r="I782" s="21">
        <f>H782-F782</f>
        <v>0</v>
      </c>
      <c r="J782" s="23"/>
      <c r="K782" s="24" t="s">
        <v>1448</v>
      </c>
      <c r="L782" s="35">
        <v>0</v>
      </c>
    </row>
    <row r="783" spans="1:12" x14ac:dyDescent="0.25">
      <c r="A783" s="16" t="s">
        <v>40</v>
      </c>
      <c r="B783" s="36" t="s">
        <v>1449</v>
      </c>
      <c r="C783" s="18">
        <v>747.6</v>
      </c>
      <c r="D783" s="19" t="s">
        <v>1445</v>
      </c>
      <c r="E783" s="20">
        <v>43447.23</v>
      </c>
      <c r="F783" s="21">
        <v>32481149</v>
      </c>
      <c r="G783" s="22">
        <v>747.6</v>
      </c>
      <c r="H783" s="21">
        <f>ROUND(G783*E783,0)</f>
        <v>32481149</v>
      </c>
      <c r="I783" s="21">
        <f>H783-F783</f>
        <v>0</v>
      </c>
      <c r="J783" s="23"/>
      <c r="K783" s="24" t="s">
        <v>1450</v>
      </c>
      <c r="L783" s="35">
        <v>0</v>
      </c>
    </row>
    <row r="784" spans="1:12" x14ac:dyDescent="0.25">
      <c r="A784" s="16" t="s">
        <v>140</v>
      </c>
      <c r="B784" s="36" t="s">
        <v>1451</v>
      </c>
      <c r="C784" s="18">
        <v>26.88</v>
      </c>
      <c r="D784" s="19" t="s">
        <v>214</v>
      </c>
      <c r="E784" s="20">
        <v>56660.36</v>
      </c>
      <c r="F784" s="21">
        <v>1523030</v>
      </c>
      <c r="G784" s="22">
        <v>26.88</v>
      </c>
      <c r="H784" s="21">
        <f>ROUND(G784*E784,0)</f>
        <v>1523030</v>
      </c>
      <c r="I784" s="21">
        <f>H784-F784</f>
        <v>0</v>
      </c>
      <c r="J784" s="23"/>
      <c r="K784" s="24" t="s">
        <v>1452</v>
      </c>
      <c r="L784" s="35">
        <v>0</v>
      </c>
    </row>
    <row r="785" spans="1:12" x14ac:dyDescent="0.25">
      <c r="A785" s="16" t="s">
        <v>143</v>
      </c>
      <c r="B785" s="36" t="s">
        <v>1453</v>
      </c>
      <c r="C785" s="18">
        <v>30</v>
      </c>
      <c r="D785" s="19" t="s">
        <v>31</v>
      </c>
      <c r="E785" s="20">
        <v>0</v>
      </c>
      <c r="F785" s="21">
        <v>0</v>
      </c>
      <c r="G785" s="22">
        <v>30</v>
      </c>
      <c r="H785" s="21">
        <f>ROUND(G785*E785,0)</f>
        <v>0</v>
      </c>
      <c r="I785" s="21">
        <f>H785-F785</f>
        <v>0</v>
      </c>
      <c r="J785" s="23"/>
      <c r="K785" s="24" t="s">
        <v>1454</v>
      </c>
      <c r="L785" s="35">
        <v>0</v>
      </c>
    </row>
    <row r="786" spans="1:12" x14ac:dyDescent="0.25">
      <c r="A786" s="16" t="s">
        <v>146</v>
      </c>
      <c r="B786" s="36" t="s">
        <v>1455</v>
      </c>
      <c r="C786" s="18">
        <v>2</v>
      </c>
      <c r="D786" s="19" t="s">
        <v>155</v>
      </c>
      <c r="E786" s="20">
        <v>772887.39</v>
      </c>
      <c r="F786" s="21">
        <v>1545775</v>
      </c>
      <c r="G786" s="22">
        <v>2</v>
      </c>
      <c r="H786" s="21">
        <f>ROUND(G786*E786,0)</f>
        <v>1545775</v>
      </c>
      <c r="I786" s="21">
        <f>H786-F786</f>
        <v>0</v>
      </c>
      <c r="J786" s="23"/>
      <c r="K786" s="24" t="s">
        <v>1456</v>
      </c>
      <c r="L786" s="35">
        <v>0</v>
      </c>
    </row>
    <row r="787" spans="1:12" x14ac:dyDescent="0.25">
      <c r="A787" s="16" t="s">
        <v>150</v>
      </c>
      <c r="B787" s="36" t="s">
        <v>1457</v>
      </c>
      <c r="C787" s="18">
        <v>1</v>
      </c>
      <c r="D787" s="19" t="s">
        <v>155</v>
      </c>
      <c r="E787" s="20">
        <v>1663316.95</v>
      </c>
      <c r="F787" s="21">
        <v>1663317</v>
      </c>
      <c r="G787" s="22">
        <v>1</v>
      </c>
      <c r="H787" s="21">
        <f>ROUND(G787*E787,0)</f>
        <v>1663317</v>
      </c>
      <c r="I787" s="21">
        <f>H787-F787</f>
        <v>0</v>
      </c>
      <c r="J787" s="23"/>
      <c r="K787" s="24" t="s">
        <v>1458</v>
      </c>
      <c r="L787" s="35">
        <v>0</v>
      </c>
    </row>
    <row r="788" spans="1:12" s="8" customFormat="1" x14ac:dyDescent="0.25">
      <c r="A788" s="9" t="s">
        <v>1459</v>
      </c>
      <c r="B788" s="10" t="s">
        <v>1460</v>
      </c>
      <c r="C788" s="11"/>
      <c r="D788" s="12"/>
      <c r="E788" s="12"/>
      <c r="F788" s="13">
        <v>187049986</v>
      </c>
      <c r="G788" s="12"/>
      <c r="H788" s="11"/>
      <c r="I788" s="11"/>
      <c r="J788" s="12"/>
      <c r="K788" s="14" t="s">
        <v>1459</v>
      </c>
      <c r="L788" s="15"/>
    </row>
    <row r="789" spans="1:12" s="26" customFormat="1" x14ac:dyDescent="0.25">
      <c r="A789" s="27" t="s">
        <v>1461</v>
      </c>
      <c r="B789" s="28" t="s">
        <v>317</v>
      </c>
      <c r="C789" s="29"/>
      <c r="D789" s="30"/>
      <c r="E789" s="30"/>
      <c r="F789" s="31">
        <v>78227212</v>
      </c>
      <c r="G789" s="30"/>
      <c r="H789" s="29"/>
      <c r="I789" s="29"/>
      <c r="J789" s="30"/>
      <c r="K789" s="32" t="s">
        <v>1462</v>
      </c>
      <c r="L789" s="29"/>
    </row>
    <row r="790" spans="1:12" x14ac:dyDescent="0.25">
      <c r="A790" s="16" t="s">
        <v>21</v>
      </c>
      <c r="B790" s="36" t="s">
        <v>319</v>
      </c>
      <c r="C790" s="18">
        <v>31</v>
      </c>
      <c r="D790" s="19" t="s">
        <v>38</v>
      </c>
      <c r="E790" s="20">
        <v>147990.68</v>
      </c>
      <c r="F790" s="21">
        <v>4587711</v>
      </c>
      <c r="G790" s="22">
        <v>31</v>
      </c>
      <c r="H790" s="21">
        <f>ROUND(G790*E790,0)</f>
        <v>4587711</v>
      </c>
      <c r="I790" s="21">
        <f>H790-F790</f>
        <v>0</v>
      </c>
      <c r="J790" s="23"/>
      <c r="K790" s="24" t="s">
        <v>1463</v>
      </c>
      <c r="L790" s="25">
        <v>31</v>
      </c>
    </row>
    <row r="791" spans="1:12" s="26" customFormat="1" x14ac:dyDescent="0.25">
      <c r="A791" s="27" t="s">
        <v>25</v>
      </c>
      <c r="B791" s="33" t="s">
        <v>321</v>
      </c>
      <c r="C791" s="29"/>
      <c r="D791" s="30"/>
      <c r="E791" s="30"/>
      <c r="F791" s="31">
        <v>6641857</v>
      </c>
      <c r="G791" s="30"/>
      <c r="H791" s="29"/>
      <c r="I791" s="29"/>
      <c r="J791" s="30"/>
      <c r="K791" s="32" t="s">
        <v>1464</v>
      </c>
      <c r="L791" s="29"/>
    </row>
    <row r="792" spans="1:12" x14ac:dyDescent="0.25">
      <c r="A792" s="16" t="s">
        <v>224</v>
      </c>
      <c r="B792" s="34" t="s">
        <v>213</v>
      </c>
      <c r="C792" s="18">
        <v>7.2</v>
      </c>
      <c r="D792" s="19" t="s">
        <v>214</v>
      </c>
      <c r="E792" s="20">
        <v>56660.36</v>
      </c>
      <c r="F792" s="21">
        <v>407955</v>
      </c>
      <c r="G792" s="22">
        <v>7.2</v>
      </c>
      <c r="H792" s="21">
        <f>ROUND(G792*E792,0)</f>
        <v>407955</v>
      </c>
      <c r="I792" s="21">
        <f>H792-F792</f>
        <v>0</v>
      </c>
      <c r="J792" s="23"/>
      <c r="K792" s="24" t="s">
        <v>1465</v>
      </c>
      <c r="L792" s="25">
        <v>7.2</v>
      </c>
    </row>
    <row r="793" spans="1:12" x14ac:dyDescent="0.25">
      <c r="A793" s="16" t="s">
        <v>227</v>
      </c>
      <c r="B793" s="34" t="s">
        <v>324</v>
      </c>
      <c r="C793" s="18">
        <v>0.42</v>
      </c>
      <c r="D793" s="19" t="s">
        <v>214</v>
      </c>
      <c r="E793" s="20">
        <v>345522.98</v>
      </c>
      <c r="F793" s="21">
        <v>145120</v>
      </c>
      <c r="G793" s="22">
        <v>0.42</v>
      </c>
      <c r="H793" s="21">
        <f>ROUND(G793*E793,0)</f>
        <v>145120</v>
      </c>
      <c r="I793" s="21">
        <f>H793-F793</f>
        <v>0</v>
      </c>
      <c r="J793" s="23"/>
      <c r="K793" s="24" t="s">
        <v>1466</v>
      </c>
      <c r="L793" s="25">
        <v>0.42</v>
      </c>
    </row>
    <row r="794" spans="1:12" x14ac:dyDescent="0.25">
      <c r="A794" s="16" t="s">
        <v>231</v>
      </c>
      <c r="B794" s="34" t="s">
        <v>326</v>
      </c>
      <c r="C794" s="18">
        <v>0.18</v>
      </c>
      <c r="D794" s="19" t="s">
        <v>214</v>
      </c>
      <c r="E794" s="20">
        <v>1016530.97</v>
      </c>
      <c r="F794" s="21">
        <v>182975</v>
      </c>
      <c r="G794" s="22">
        <v>0.18</v>
      </c>
      <c r="H794" s="21">
        <f>ROUND(G794*E794,0)</f>
        <v>182975</v>
      </c>
      <c r="I794" s="21">
        <f>H794-F794</f>
        <v>0</v>
      </c>
      <c r="J794" s="23"/>
      <c r="K794" s="24" t="s">
        <v>1467</v>
      </c>
      <c r="L794" s="25">
        <v>0.18</v>
      </c>
    </row>
    <row r="795" spans="1:12" x14ac:dyDescent="0.25">
      <c r="A795" s="16" t="s">
        <v>234</v>
      </c>
      <c r="B795" s="34" t="s">
        <v>328</v>
      </c>
      <c r="C795" s="18">
        <v>7.2</v>
      </c>
      <c r="D795" s="19" t="s">
        <v>214</v>
      </c>
      <c r="E795" s="20">
        <v>130392.01</v>
      </c>
      <c r="F795" s="21">
        <v>938822</v>
      </c>
      <c r="G795" s="22">
        <v>7.2</v>
      </c>
      <c r="H795" s="21">
        <f>ROUND(G795*E795,0)</f>
        <v>938822</v>
      </c>
      <c r="I795" s="21">
        <f>H795-F795</f>
        <v>0</v>
      </c>
      <c r="J795" s="23"/>
      <c r="K795" s="24" t="s">
        <v>1468</v>
      </c>
      <c r="L795" s="25">
        <v>7.2</v>
      </c>
    </row>
    <row r="796" spans="1:12" x14ac:dyDescent="0.25">
      <c r="A796" s="16" t="s">
        <v>330</v>
      </c>
      <c r="B796" s="34" t="s">
        <v>331</v>
      </c>
      <c r="C796" s="18">
        <v>33.291</v>
      </c>
      <c r="D796" s="19" t="s">
        <v>229</v>
      </c>
      <c r="E796" s="20">
        <v>13176.23</v>
      </c>
      <c r="F796" s="21">
        <v>438650</v>
      </c>
      <c r="G796" s="22">
        <v>33.291</v>
      </c>
      <c r="H796" s="21">
        <f>ROUND(G796*E796,0)</f>
        <v>438650</v>
      </c>
      <c r="I796" s="21">
        <f>H796-F796</f>
        <v>0</v>
      </c>
      <c r="J796" s="23"/>
      <c r="K796" s="24" t="s">
        <v>1469</v>
      </c>
      <c r="L796" s="25">
        <v>33.291</v>
      </c>
    </row>
    <row r="797" spans="1:12" x14ac:dyDescent="0.25">
      <c r="A797" s="16" t="s">
        <v>333</v>
      </c>
      <c r="B797" s="34" t="s">
        <v>377</v>
      </c>
      <c r="C797" s="18">
        <v>1.152</v>
      </c>
      <c r="D797" s="19" t="s">
        <v>214</v>
      </c>
      <c r="E797" s="20">
        <v>1151545.01</v>
      </c>
      <c r="F797" s="21">
        <v>1326580</v>
      </c>
      <c r="G797" s="22">
        <v>1.152</v>
      </c>
      <c r="H797" s="21">
        <f>ROUND(G797*E797,0)</f>
        <v>1326580</v>
      </c>
      <c r="I797" s="21">
        <f>H797-F797</f>
        <v>0</v>
      </c>
      <c r="J797" s="23"/>
      <c r="K797" s="24" t="s">
        <v>1470</v>
      </c>
      <c r="L797" s="25">
        <v>1.152</v>
      </c>
    </row>
    <row r="798" spans="1:12" x14ac:dyDescent="0.25">
      <c r="A798" s="16" t="s">
        <v>336</v>
      </c>
      <c r="B798" s="34" t="s">
        <v>270</v>
      </c>
      <c r="C798" s="18">
        <v>120</v>
      </c>
      <c r="D798" s="19" t="s">
        <v>38</v>
      </c>
      <c r="E798" s="20">
        <v>26681.29</v>
      </c>
      <c r="F798" s="21">
        <v>3201755</v>
      </c>
      <c r="G798" s="22">
        <v>120</v>
      </c>
      <c r="H798" s="21">
        <f>ROUND(G798*E798,0)</f>
        <v>3201755</v>
      </c>
      <c r="I798" s="21">
        <f>H798-F798</f>
        <v>0</v>
      </c>
      <c r="J798" s="23"/>
      <c r="K798" s="24" t="s">
        <v>1471</v>
      </c>
      <c r="L798" s="25">
        <v>120</v>
      </c>
    </row>
    <row r="799" spans="1:12" s="26" customFormat="1" x14ac:dyDescent="0.25">
      <c r="A799" s="27" t="s">
        <v>29</v>
      </c>
      <c r="B799" s="33" t="s">
        <v>346</v>
      </c>
      <c r="C799" s="29"/>
      <c r="D799" s="30"/>
      <c r="E799" s="30"/>
      <c r="F799" s="31">
        <v>9534506</v>
      </c>
      <c r="G799" s="30"/>
      <c r="H799" s="29"/>
      <c r="I799" s="29"/>
      <c r="J799" s="30"/>
      <c r="K799" s="32" t="s">
        <v>1472</v>
      </c>
      <c r="L799" s="29"/>
    </row>
    <row r="800" spans="1:12" x14ac:dyDescent="0.25">
      <c r="A800" s="16" t="s">
        <v>239</v>
      </c>
      <c r="B800" s="34" t="s">
        <v>1221</v>
      </c>
      <c r="C800" s="18">
        <v>22.272</v>
      </c>
      <c r="D800" s="19" t="s">
        <v>214</v>
      </c>
      <c r="E800" s="20">
        <v>56660.36</v>
      </c>
      <c r="F800" s="21">
        <v>1261940</v>
      </c>
      <c r="G800" s="22">
        <v>22.272</v>
      </c>
      <c r="H800" s="21">
        <f>ROUND(G800*E800,0)</f>
        <v>1261940</v>
      </c>
      <c r="I800" s="21">
        <f>H800-F800</f>
        <v>0</v>
      </c>
      <c r="J800" s="23"/>
      <c r="K800" s="24" t="s">
        <v>1473</v>
      </c>
      <c r="L800" s="25">
        <v>22.272</v>
      </c>
    </row>
    <row r="801" spans="1:12" x14ac:dyDescent="0.25">
      <c r="A801" s="16" t="s">
        <v>241</v>
      </c>
      <c r="B801" s="34" t="s">
        <v>342</v>
      </c>
      <c r="C801" s="18">
        <v>0</v>
      </c>
      <c r="D801" s="19" t="s">
        <v>38</v>
      </c>
      <c r="E801" s="20">
        <v>26681.29</v>
      </c>
      <c r="F801" s="21">
        <v>0</v>
      </c>
      <c r="G801" s="22">
        <v>0</v>
      </c>
      <c r="H801" s="21">
        <f>ROUND(G801*E801,0)</f>
        <v>0</v>
      </c>
      <c r="I801" s="21">
        <f>H801-F801</f>
        <v>0</v>
      </c>
      <c r="J801" s="23"/>
      <c r="K801" s="24" t="s">
        <v>1474</v>
      </c>
      <c r="L801" s="35">
        <v>0</v>
      </c>
    </row>
    <row r="802" spans="1:12" x14ac:dyDescent="0.25">
      <c r="A802" s="16" t="s">
        <v>244</v>
      </c>
      <c r="B802" s="34" t="s">
        <v>1475</v>
      </c>
      <c r="C802" s="18">
        <v>1.792</v>
      </c>
      <c r="D802" s="19" t="s">
        <v>214</v>
      </c>
      <c r="E802" s="20">
        <v>345522.98</v>
      </c>
      <c r="F802" s="21">
        <v>619177</v>
      </c>
      <c r="G802" s="22">
        <v>1.792</v>
      </c>
      <c r="H802" s="21">
        <f>ROUND(G802*E802,0)</f>
        <v>619177</v>
      </c>
      <c r="I802" s="21">
        <f>H802-F802</f>
        <v>0</v>
      </c>
      <c r="J802" s="23"/>
      <c r="K802" s="24" t="s">
        <v>1476</v>
      </c>
      <c r="L802" s="25">
        <v>1.792</v>
      </c>
    </row>
    <row r="803" spans="1:12" x14ac:dyDescent="0.25">
      <c r="A803" s="16" t="s">
        <v>247</v>
      </c>
      <c r="B803" s="34" t="s">
        <v>1477</v>
      </c>
      <c r="C803" s="18">
        <v>14.08</v>
      </c>
      <c r="D803" s="19" t="s">
        <v>214</v>
      </c>
      <c r="E803" s="20">
        <v>543564.56</v>
      </c>
      <c r="F803" s="21">
        <v>7653389</v>
      </c>
      <c r="G803" s="22">
        <v>14.08</v>
      </c>
      <c r="H803" s="21">
        <f>ROUND(G803*E803,0)</f>
        <v>7653389</v>
      </c>
      <c r="I803" s="21">
        <f>H803-F803</f>
        <v>0</v>
      </c>
      <c r="J803" s="23"/>
      <c r="K803" s="24" t="s">
        <v>1478</v>
      </c>
      <c r="L803" s="25">
        <v>14.08</v>
      </c>
    </row>
    <row r="804" spans="1:12" x14ac:dyDescent="0.25">
      <c r="A804" s="16" t="s">
        <v>33</v>
      </c>
      <c r="B804" s="36" t="s">
        <v>348</v>
      </c>
      <c r="C804" s="18">
        <v>9.864</v>
      </c>
      <c r="D804" s="19" t="s">
        <v>229</v>
      </c>
      <c r="E804" s="20">
        <v>19248.5</v>
      </c>
      <c r="F804" s="21">
        <v>189867</v>
      </c>
      <c r="G804" s="22">
        <v>9.864</v>
      </c>
      <c r="H804" s="21">
        <f>ROUND(G804*E804,0)</f>
        <v>189867</v>
      </c>
      <c r="I804" s="21">
        <f>H804-F804</f>
        <v>0</v>
      </c>
      <c r="J804" s="23"/>
      <c r="K804" s="24" t="s">
        <v>1479</v>
      </c>
      <c r="L804" s="25">
        <v>9.864</v>
      </c>
    </row>
    <row r="805" spans="1:12" s="26" customFormat="1" x14ac:dyDescent="0.25">
      <c r="A805" s="27" t="s">
        <v>36</v>
      </c>
      <c r="B805" s="33" t="s">
        <v>350</v>
      </c>
      <c r="C805" s="29"/>
      <c r="D805" s="30"/>
      <c r="E805" s="30"/>
      <c r="F805" s="31">
        <v>9976547</v>
      </c>
      <c r="G805" s="30"/>
      <c r="H805" s="29"/>
      <c r="I805" s="29"/>
      <c r="J805" s="30"/>
      <c r="K805" s="32" t="s">
        <v>1480</v>
      </c>
      <c r="L805" s="29"/>
    </row>
    <row r="806" spans="1:12" x14ac:dyDescent="0.25">
      <c r="A806" s="16" t="s">
        <v>269</v>
      </c>
      <c r="B806" s="34" t="s">
        <v>258</v>
      </c>
      <c r="C806" s="18">
        <v>19.2</v>
      </c>
      <c r="D806" s="19" t="s">
        <v>23</v>
      </c>
      <c r="E806" s="20">
        <v>246976.42</v>
      </c>
      <c r="F806" s="21">
        <v>4741947</v>
      </c>
      <c r="G806" s="22">
        <v>19.2</v>
      </c>
      <c r="H806" s="21">
        <f>ROUND(G806*E806,0)</f>
        <v>4741947</v>
      </c>
      <c r="I806" s="21">
        <f>H806-F806</f>
        <v>0</v>
      </c>
      <c r="J806" s="23"/>
      <c r="K806" s="24" t="s">
        <v>1481</v>
      </c>
      <c r="L806" s="25">
        <v>19.2</v>
      </c>
    </row>
    <row r="807" spans="1:12" x14ac:dyDescent="0.25">
      <c r="A807" s="16" t="s">
        <v>272</v>
      </c>
      <c r="B807" s="34" t="s">
        <v>353</v>
      </c>
      <c r="C807" s="18">
        <v>98.64</v>
      </c>
      <c r="D807" s="19" t="s">
        <v>229</v>
      </c>
      <c r="E807" s="20">
        <v>13176.23</v>
      </c>
      <c r="F807" s="21">
        <v>1299703</v>
      </c>
      <c r="G807" s="22">
        <v>98.64</v>
      </c>
      <c r="H807" s="21">
        <f>ROUND(G807*E807,0)</f>
        <v>1299703</v>
      </c>
      <c r="I807" s="21">
        <f>H807-F807</f>
        <v>0</v>
      </c>
      <c r="J807" s="23"/>
      <c r="K807" s="24" t="s">
        <v>1482</v>
      </c>
      <c r="L807" s="25">
        <v>98.64</v>
      </c>
    </row>
    <row r="808" spans="1:12" x14ac:dyDescent="0.25">
      <c r="A808" s="16" t="s">
        <v>275</v>
      </c>
      <c r="B808" s="34" t="s">
        <v>1483</v>
      </c>
      <c r="C808" s="18">
        <v>88.886</v>
      </c>
      <c r="D808" s="19" t="s">
        <v>229</v>
      </c>
      <c r="E808" s="20">
        <v>13176.23</v>
      </c>
      <c r="F808" s="21">
        <v>1171189</v>
      </c>
      <c r="G808" s="22">
        <v>88.886</v>
      </c>
      <c r="H808" s="21">
        <f>ROUND(G808*E808,0)</f>
        <v>1171189</v>
      </c>
      <c r="I808" s="21">
        <f>H808-F808</f>
        <v>0</v>
      </c>
      <c r="J808" s="23"/>
      <c r="K808" s="24" t="s">
        <v>1484</v>
      </c>
      <c r="L808" s="25">
        <v>88.886</v>
      </c>
    </row>
    <row r="809" spans="1:12" x14ac:dyDescent="0.25">
      <c r="A809" s="16" t="s">
        <v>277</v>
      </c>
      <c r="B809" s="34" t="s">
        <v>377</v>
      </c>
      <c r="C809" s="18">
        <v>2.4</v>
      </c>
      <c r="D809" s="19" t="s">
        <v>214</v>
      </c>
      <c r="E809" s="20">
        <v>1151545.01</v>
      </c>
      <c r="F809" s="21">
        <v>2763708</v>
      </c>
      <c r="G809" s="22">
        <v>2.4</v>
      </c>
      <c r="H809" s="21">
        <f>ROUND(G809*E809,0)</f>
        <v>2763708</v>
      </c>
      <c r="I809" s="21">
        <f>H809-F809</f>
        <v>0</v>
      </c>
      <c r="J809" s="23"/>
      <c r="K809" s="24" t="s">
        <v>1485</v>
      </c>
      <c r="L809" s="25">
        <v>2.4</v>
      </c>
    </row>
    <row r="810" spans="1:12" s="26" customFormat="1" x14ac:dyDescent="0.25">
      <c r="A810" s="27" t="s">
        <v>40</v>
      </c>
      <c r="B810" s="33" t="s">
        <v>1486</v>
      </c>
      <c r="C810" s="29"/>
      <c r="D810" s="30"/>
      <c r="E810" s="30"/>
      <c r="F810" s="31">
        <v>1378753</v>
      </c>
      <c r="G810" s="30"/>
      <c r="H810" s="29"/>
      <c r="I810" s="29"/>
      <c r="J810" s="30"/>
      <c r="K810" s="32" t="s">
        <v>1487</v>
      </c>
      <c r="L810" s="29"/>
    </row>
    <row r="811" spans="1:12" x14ac:dyDescent="0.25">
      <c r="A811" s="16" t="s">
        <v>281</v>
      </c>
      <c r="B811" s="34" t="s">
        <v>1221</v>
      </c>
      <c r="C811" s="18">
        <v>0.215</v>
      </c>
      <c r="D811" s="19" t="s">
        <v>214</v>
      </c>
      <c r="E811" s="20">
        <v>56660.36</v>
      </c>
      <c r="F811" s="21">
        <v>12154</v>
      </c>
      <c r="G811" s="22">
        <v>0.215</v>
      </c>
      <c r="H811" s="21">
        <f>ROUND(G811*E811,0)</f>
        <v>12154</v>
      </c>
      <c r="I811" s="21">
        <f>H811-F811</f>
        <v>0</v>
      </c>
      <c r="J811" s="23"/>
      <c r="K811" s="24" t="s">
        <v>1488</v>
      </c>
      <c r="L811" s="35">
        <v>0</v>
      </c>
    </row>
    <row r="812" spans="1:12" x14ac:dyDescent="0.25">
      <c r="A812" s="16" t="s">
        <v>284</v>
      </c>
      <c r="B812" s="34" t="s">
        <v>258</v>
      </c>
      <c r="C812" s="18">
        <v>2.86</v>
      </c>
      <c r="D812" s="19" t="s">
        <v>23</v>
      </c>
      <c r="E812" s="20">
        <v>246976.42</v>
      </c>
      <c r="F812" s="21">
        <v>706352</v>
      </c>
      <c r="G812" s="22">
        <v>2.86</v>
      </c>
      <c r="H812" s="21">
        <f>ROUND(G812*E812,0)</f>
        <v>706352</v>
      </c>
      <c r="I812" s="21">
        <f>H812-F812</f>
        <v>0</v>
      </c>
      <c r="J812" s="23"/>
      <c r="K812" s="24" t="s">
        <v>1489</v>
      </c>
      <c r="L812" s="35">
        <v>0</v>
      </c>
    </row>
    <row r="813" spans="1:12" x14ac:dyDescent="0.25">
      <c r="A813" s="16" t="s">
        <v>286</v>
      </c>
      <c r="B813" s="34" t="s">
        <v>409</v>
      </c>
      <c r="C813" s="18">
        <v>17.632</v>
      </c>
      <c r="D813" s="19" t="s">
        <v>229</v>
      </c>
      <c r="E813" s="20">
        <v>13176.23</v>
      </c>
      <c r="F813" s="21">
        <v>232322</v>
      </c>
      <c r="G813" s="22">
        <v>17.632</v>
      </c>
      <c r="H813" s="21">
        <f>ROUND(G813*E813,0)</f>
        <v>232322</v>
      </c>
      <c r="I813" s="21">
        <f>H813-F813</f>
        <v>0</v>
      </c>
      <c r="J813" s="23"/>
      <c r="K813" s="24" t="s">
        <v>1490</v>
      </c>
      <c r="L813" s="25">
        <v>17.632</v>
      </c>
    </row>
    <row r="814" spans="1:12" x14ac:dyDescent="0.25">
      <c r="A814" s="16" t="s">
        <v>288</v>
      </c>
      <c r="B814" s="34" t="s">
        <v>1483</v>
      </c>
      <c r="C814" s="18">
        <v>13.731</v>
      </c>
      <c r="D814" s="19" t="s">
        <v>229</v>
      </c>
      <c r="E814" s="20">
        <v>13176.23</v>
      </c>
      <c r="F814" s="21">
        <v>180919</v>
      </c>
      <c r="G814" s="22">
        <v>13.731</v>
      </c>
      <c r="H814" s="21">
        <f>ROUND(G814*E814,0)</f>
        <v>180919</v>
      </c>
      <c r="I814" s="21">
        <f>H814-F814</f>
        <v>0</v>
      </c>
      <c r="J814" s="23"/>
      <c r="K814" s="24" t="s">
        <v>1491</v>
      </c>
      <c r="L814" s="25">
        <v>13.731</v>
      </c>
    </row>
    <row r="815" spans="1:12" x14ac:dyDescent="0.25">
      <c r="A815" s="16" t="s">
        <v>291</v>
      </c>
      <c r="B815" s="34" t="s">
        <v>377</v>
      </c>
      <c r="C815" s="18">
        <v>0.215</v>
      </c>
      <c r="D815" s="19" t="s">
        <v>214</v>
      </c>
      <c r="E815" s="20">
        <v>1151545.01</v>
      </c>
      <c r="F815" s="21">
        <v>247006</v>
      </c>
      <c r="G815" s="22">
        <v>0.215</v>
      </c>
      <c r="H815" s="21">
        <f>ROUND(G815*E815,0)</f>
        <v>247006</v>
      </c>
      <c r="I815" s="21">
        <f>H815-F815</f>
        <v>0</v>
      </c>
      <c r="J815" s="23"/>
      <c r="K815" s="24" t="s">
        <v>1492</v>
      </c>
      <c r="L815" s="35">
        <v>0</v>
      </c>
    </row>
    <row r="816" spans="1:12" s="26" customFormat="1" x14ac:dyDescent="0.25">
      <c r="A816" s="27" t="s">
        <v>140</v>
      </c>
      <c r="B816" s="33" t="s">
        <v>1493</v>
      </c>
      <c r="C816" s="29"/>
      <c r="D816" s="30"/>
      <c r="E816" s="30"/>
      <c r="F816" s="31">
        <v>5327854</v>
      </c>
      <c r="G816" s="30"/>
      <c r="H816" s="29"/>
      <c r="I816" s="29"/>
      <c r="J816" s="30"/>
      <c r="K816" s="32" t="s">
        <v>1494</v>
      </c>
      <c r="L816" s="29"/>
    </row>
    <row r="817" spans="1:12" x14ac:dyDescent="0.25">
      <c r="A817" s="16" t="s">
        <v>301</v>
      </c>
      <c r="B817" s="34" t="s">
        <v>282</v>
      </c>
      <c r="C817" s="18">
        <v>0.6</v>
      </c>
      <c r="D817" s="19" t="s">
        <v>214</v>
      </c>
      <c r="E817" s="20">
        <v>56660.36</v>
      </c>
      <c r="F817" s="21">
        <v>33996</v>
      </c>
      <c r="G817" s="22">
        <v>0.6</v>
      </c>
      <c r="H817" s="21">
        <f>ROUND(G817*E817,0)</f>
        <v>33996</v>
      </c>
      <c r="I817" s="21">
        <f>H817-F817</f>
        <v>0</v>
      </c>
      <c r="J817" s="23"/>
      <c r="K817" s="24" t="s">
        <v>1495</v>
      </c>
      <c r="L817" s="35">
        <v>0</v>
      </c>
    </row>
    <row r="818" spans="1:12" x14ac:dyDescent="0.25">
      <c r="A818" s="16" t="s">
        <v>304</v>
      </c>
      <c r="B818" s="34" t="s">
        <v>364</v>
      </c>
      <c r="C818" s="18">
        <v>0.15</v>
      </c>
      <c r="D818" s="19" t="s">
        <v>214</v>
      </c>
      <c r="E818" s="20">
        <v>345522.98</v>
      </c>
      <c r="F818" s="21">
        <v>51828</v>
      </c>
      <c r="G818" s="22">
        <v>0.15</v>
      </c>
      <c r="H818" s="21">
        <f>ROUND(G818*E818,0)</f>
        <v>51828</v>
      </c>
      <c r="I818" s="21">
        <f>H818-F818</f>
        <v>0</v>
      </c>
      <c r="J818" s="23"/>
      <c r="K818" s="24" t="s">
        <v>1496</v>
      </c>
      <c r="L818" s="35">
        <v>0</v>
      </c>
    </row>
    <row r="819" spans="1:12" x14ac:dyDescent="0.25">
      <c r="A819" s="16" t="s">
        <v>307</v>
      </c>
      <c r="B819" s="34" t="s">
        <v>640</v>
      </c>
      <c r="C819" s="18">
        <v>0.15</v>
      </c>
      <c r="D819" s="19" t="s">
        <v>214</v>
      </c>
      <c r="E819" s="20">
        <v>1016530.97</v>
      </c>
      <c r="F819" s="21">
        <v>152480</v>
      </c>
      <c r="G819" s="22">
        <v>0.15</v>
      </c>
      <c r="H819" s="21">
        <f>ROUND(G819*E819,0)</f>
        <v>152480</v>
      </c>
      <c r="I819" s="21">
        <f>H819-F819</f>
        <v>0</v>
      </c>
      <c r="J819" s="23"/>
      <c r="K819" s="24" t="s">
        <v>1497</v>
      </c>
      <c r="L819" s="35">
        <v>0</v>
      </c>
    </row>
    <row r="820" spans="1:12" x14ac:dyDescent="0.25">
      <c r="A820" s="16" t="s">
        <v>310</v>
      </c>
      <c r="B820" s="34" t="s">
        <v>258</v>
      </c>
      <c r="C820" s="18">
        <v>4.8</v>
      </c>
      <c r="D820" s="19" t="s">
        <v>23</v>
      </c>
      <c r="E820" s="20">
        <v>246976.42</v>
      </c>
      <c r="F820" s="21">
        <v>1185487</v>
      </c>
      <c r="G820" s="22">
        <v>4.8</v>
      </c>
      <c r="H820" s="21">
        <f>ROUND(G820*E820,0)</f>
        <v>1185487</v>
      </c>
      <c r="I820" s="21">
        <f>H820-F820</f>
        <v>0</v>
      </c>
      <c r="J820" s="23"/>
      <c r="K820" s="24" t="s">
        <v>1498</v>
      </c>
      <c r="L820" s="35">
        <v>0</v>
      </c>
    </row>
    <row r="821" spans="1:12" x14ac:dyDescent="0.25">
      <c r="A821" s="16" t="s">
        <v>312</v>
      </c>
      <c r="B821" s="34" t="s">
        <v>1418</v>
      </c>
      <c r="C821" s="18">
        <v>108.997</v>
      </c>
      <c r="D821" s="19" t="s">
        <v>229</v>
      </c>
      <c r="E821" s="20">
        <v>13176.23</v>
      </c>
      <c r="F821" s="21">
        <v>1436172</v>
      </c>
      <c r="G821" s="22">
        <v>108.997</v>
      </c>
      <c r="H821" s="21">
        <f>ROUND(G821*E821,0)</f>
        <v>1436172</v>
      </c>
      <c r="I821" s="21">
        <f>H821-F821</f>
        <v>0</v>
      </c>
      <c r="J821" s="23"/>
      <c r="K821" s="24" t="s">
        <v>1499</v>
      </c>
      <c r="L821" s="35">
        <v>0</v>
      </c>
    </row>
    <row r="822" spans="1:12" x14ac:dyDescent="0.25">
      <c r="A822" s="16" t="s">
        <v>563</v>
      </c>
      <c r="B822" s="34" t="s">
        <v>1500</v>
      </c>
      <c r="C822" s="18">
        <v>29.987</v>
      </c>
      <c r="D822" s="19" t="s">
        <v>229</v>
      </c>
      <c r="E822" s="20">
        <v>13176.23</v>
      </c>
      <c r="F822" s="21">
        <v>395110</v>
      </c>
      <c r="G822" s="22">
        <v>29.987</v>
      </c>
      <c r="H822" s="21">
        <f>ROUND(G822*E822,0)</f>
        <v>395110</v>
      </c>
      <c r="I822" s="21">
        <f>H822-F822</f>
        <v>0</v>
      </c>
      <c r="J822" s="23"/>
      <c r="K822" s="24" t="s">
        <v>1501</v>
      </c>
      <c r="L822" s="35">
        <v>0</v>
      </c>
    </row>
    <row r="823" spans="1:12" x14ac:dyDescent="0.25">
      <c r="A823" s="16" t="s">
        <v>566</v>
      </c>
      <c r="B823" s="34" t="s">
        <v>377</v>
      </c>
      <c r="C823" s="18">
        <v>1.8</v>
      </c>
      <c r="D823" s="19" t="s">
        <v>214</v>
      </c>
      <c r="E823" s="20">
        <v>1151545.01</v>
      </c>
      <c r="F823" s="21">
        <v>2072781</v>
      </c>
      <c r="G823" s="22">
        <v>1.8</v>
      </c>
      <c r="H823" s="21">
        <f>ROUND(G823*E823,0)</f>
        <v>2072781</v>
      </c>
      <c r="I823" s="21">
        <f>H823-F823</f>
        <v>0</v>
      </c>
      <c r="J823" s="23"/>
      <c r="K823" s="24" t="s">
        <v>1502</v>
      </c>
      <c r="L823" s="35">
        <v>0</v>
      </c>
    </row>
    <row r="824" spans="1:12" s="26" customFormat="1" x14ac:dyDescent="0.25">
      <c r="A824" s="27" t="s">
        <v>143</v>
      </c>
      <c r="B824" s="33" t="s">
        <v>369</v>
      </c>
      <c r="C824" s="29"/>
      <c r="D824" s="30"/>
      <c r="E824" s="30"/>
      <c r="F824" s="31">
        <v>1875839</v>
      </c>
      <c r="G824" s="30"/>
      <c r="H824" s="29"/>
      <c r="I824" s="29"/>
      <c r="J824" s="30"/>
      <c r="K824" s="32" t="s">
        <v>1503</v>
      </c>
      <c r="L824" s="29"/>
    </row>
    <row r="825" spans="1:12" x14ac:dyDescent="0.25">
      <c r="A825" s="16" t="s">
        <v>381</v>
      </c>
      <c r="B825" s="34" t="s">
        <v>371</v>
      </c>
      <c r="C825" s="18">
        <v>4.8</v>
      </c>
      <c r="D825" s="19" t="s">
        <v>23</v>
      </c>
      <c r="E825" s="20">
        <v>208190.98</v>
      </c>
      <c r="F825" s="21">
        <v>999317</v>
      </c>
      <c r="G825" s="22">
        <v>4.8</v>
      </c>
      <c r="H825" s="21">
        <f>ROUND(G825*E825,0)</f>
        <v>999317</v>
      </c>
      <c r="I825" s="21">
        <f>H825-F825</f>
        <v>0</v>
      </c>
      <c r="J825" s="23"/>
      <c r="K825" s="24" t="s">
        <v>1504</v>
      </c>
      <c r="L825" s="35">
        <v>0</v>
      </c>
    </row>
    <row r="826" spans="1:12" x14ac:dyDescent="0.25">
      <c r="A826" s="16" t="s">
        <v>383</v>
      </c>
      <c r="B826" s="34" t="s">
        <v>373</v>
      </c>
      <c r="C826" s="18">
        <v>31.072</v>
      </c>
      <c r="D826" s="19" t="s">
        <v>229</v>
      </c>
      <c r="E826" s="20">
        <v>13176.23</v>
      </c>
      <c r="F826" s="21">
        <v>409407</v>
      </c>
      <c r="G826" s="22">
        <v>31.072</v>
      </c>
      <c r="H826" s="21">
        <f>ROUND(G826*E826,0)</f>
        <v>409407</v>
      </c>
      <c r="I826" s="21">
        <f>H826-F826</f>
        <v>0</v>
      </c>
      <c r="J826" s="23"/>
      <c r="K826" s="24" t="s">
        <v>1505</v>
      </c>
      <c r="L826" s="35">
        <v>0</v>
      </c>
    </row>
    <row r="827" spans="1:12" x14ac:dyDescent="0.25">
      <c r="A827" s="16" t="s">
        <v>385</v>
      </c>
      <c r="B827" s="34" t="s">
        <v>375</v>
      </c>
      <c r="C827" s="18">
        <v>9.233</v>
      </c>
      <c r="D827" s="19" t="s">
        <v>229</v>
      </c>
      <c r="E827" s="20">
        <v>13176.23</v>
      </c>
      <c r="F827" s="21">
        <v>121652</v>
      </c>
      <c r="G827" s="22">
        <v>9.233</v>
      </c>
      <c r="H827" s="21">
        <f>ROUND(G827*E827,0)</f>
        <v>121652</v>
      </c>
      <c r="I827" s="21">
        <f>H827-F827</f>
        <v>0</v>
      </c>
      <c r="J827" s="23"/>
      <c r="K827" s="24" t="s">
        <v>1506</v>
      </c>
      <c r="L827" s="35">
        <v>0</v>
      </c>
    </row>
    <row r="828" spans="1:12" x14ac:dyDescent="0.25">
      <c r="A828" s="16" t="s">
        <v>387</v>
      </c>
      <c r="B828" s="34" t="s">
        <v>377</v>
      </c>
      <c r="C828" s="18">
        <v>0.3</v>
      </c>
      <c r="D828" s="19" t="s">
        <v>214</v>
      </c>
      <c r="E828" s="20">
        <v>1151545.01</v>
      </c>
      <c r="F828" s="21">
        <v>345463</v>
      </c>
      <c r="G828" s="22">
        <v>0.3</v>
      </c>
      <c r="H828" s="21">
        <f>ROUND(G828*E828,0)</f>
        <v>345463</v>
      </c>
      <c r="I828" s="21">
        <f>H828-F828</f>
        <v>0</v>
      </c>
      <c r="J828" s="23"/>
      <c r="K828" s="24" t="s">
        <v>1507</v>
      </c>
      <c r="L828" s="35">
        <v>0</v>
      </c>
    </row>
    <row r="829" spans="1:12" s="26" customFormat="1" x14ac:dyDescent="0.25">
      <c r="A829" s="27" t="s">
        <v>146</v>
      </c>
      <c r="B829" s="33" t="s">
        <v>379</v>
      </c>
      <c r="C829" s="29"/>
      <c r="D829" s="30"/>
      <c r="E829" s="30"/>
      <c r="F829" s="31">
        <v>8070851</v>
      </c>
      <c r="G829" s="30"/>
      <c r="H829" s="29"/>
      <c r="I829" s="29"/>
      <c r="J829" s="30"/>
      <c r="K829" s="32" t="s">
        <v>1508</v>
      </c>
      <c r="L829" s="29"/>
    </row>
    <row r="830" spans="1:12" x14ac:dyDescent="0.25">
      <c r="A830" s="16" t="s">
        <v>391</v>
      </c>
      <c r="B830" s="34" t="s">
        <v>371</v>
      </c>
      <c r="C830" s="18">
        <v>21.48</v>
      </c>
      <c r="D830" s="19" t="s">
        <v>23</v>
      </c>
      <c r="E830" s="20">
        <v>208190.98</v>
      </c>
      <c r="F830" s="21">
        <v>4471942</v>
      </c>
      <c r="G830" s="22">
        <v>21.48</v>
      </c>
      <c r="H830" s="21">
        <f>ROUND(G830*E830,0)</f>
        <v>4471942</v>
      </c>
      <c r="I830" s="21">
        <f>H830-F830</f>
        <v>0</v>
      </c>
      <c r="J830" s="23"/>
      <c r="K830" s="24" t="s">
        <v>1509</v>
      </c>
      <c r="L830" s="35">
        <v>0</v>
      </c>
    </row>
    <row r="831" spans="1:12" x14ac:dyDescent="0.25">
      <c r="A831" s="16" t="s">
        <v>394</v>
      </c>
      <c r="B831" s="34" t="s">
        <v>373</v>
      </c>
      <c r="C831" s="18">
        <v>113.337</v>
      </c>
      <c r="D831" s="19" t="s">
        <v>229</v>
      </c>
      <c r="E831" s="20">
        <v>13176.23</v>
      </c>
      <c r="F831" s="21">
        <v>1493359</v>
      </c>
      <c r="G831" s="22">
        <v>113.337</v>
      </c>
      <c r="H831" s="21">
        <f>ROUND(G831*E831,0)</f>
        <v>1493359</v>
      </c>
      <c r="I831" s="21">
        <f>H831-F831</f>
        <v>0</v>
      </c>
      <c r="J831" s="23"/>
      <c r="K831" s="24" t="s">
        <v>1510</v>
      </c>
      <c r="L831" s="35">
        <v>0</v>
      </c>
    </row>
    <row r="832" spans="1:12" x14ac:dyDescent="0.25">
      <c r="A832" s="16" t="s">
        <v>396</v>
      </c>
      <c r="B832" s="34" t="s">
        <v>375</v>
      </c>
      <c r="C832" s="18">
        <v>42.47</v>
      </c>
      <c r="D832" s="19" t="s">
        <v>229</v>
      </c>
      <c r="E832" s="20">
        <v>13176.23</v>
      </c>
      <c r="F832" s="21">
        <v>559601</v>
      </c>
      <c r="G832" s="22">
        <v>42.47</v>
      </c>
      <c r="H832" s="21">
        <f>ROUND(G832*E832,0)</f>
        <v>559601</v>
      </c>
      <c r="I832" s="21">
        <f>H832-F832</f>
        <v>0</v>
      </c>
      <c r="J832" s="23"/>
      <c r="K832" s="24" t="s">
        <v>1511</v>
      </c>
      <c r="L832" s="35">
        <v>0</v>
      </c>
    </row>
    <row r="833" spans="1:12" x14ac:dyDescent="0.25">
      <c r="A833" s="16" t="s">
        <v>398</v>
      </c>
      <c r="B833" s="34" t="s">
        <v>377</v>
      </c>
      <c r="C833" s="18">
        <v>1.343</v>
      </c>
      <c r="D833" s="19" t="s">
        <v>214</v>
      </c>
      <c r="E833" s="20">
        <v>1151545.01</v>
      </c>
      <c r="F833" s="21">
        <v>1545949</v>
      </c>
      <c r="G833" s="22">
        <v>1.343</v>
      </c>
      <c r="H833" s="21">
        <f>ROUND(G833*E833,0)</f>
        <v>1545949</v>
      </c>
      <c r="I833" s="21">
        <f>H833-F833</f>
        <v>0</v>
      </c>
      <c r="J833" s="23"/>
      <c r="K833" s="24" t="s">
        <v>1512</v>
      </c>
      <c r="L833" s="35">
        <v>0</v>
      </c>
    </row>
    <row r="834" spans="1:12" s="26" customFormat="1" x14ac:dyDescent="0.25">
      <c r="A834" s="27" t="s">
        <v>150</v>
      </c>
      <c r="B834" s="33" t="s">
        <v>389</v>
      </c>
      <c r="C834" s="29"/>
      <c r="D834" s="30"/>
      <c r="E834" s="30"/>
      <c r="F834" s="31">
        <v>7495407</v>
      </c>
      <c r="G834" s="30"/>
      <c r="H834" s="29"/>
      <c r="I834" s="29"/>
      <c r="J834" s="30"/>
      <c r="K834" s="32" t="s">
        <v>1513</v>
      </c>
      <c r="L834" s="29"/>
    </row>
    <row r="835" spans="1:12" x14ac:dyDescent="0.25">
      <c r="A835" s="16" t="s">
        <v>153</v>
      </c>
      <c r="B835" s="34" t="s">
        <v>392</v>
      </c>
      <c r="C835" s="18">
        <v>17.9</v>
      </c>
      <c r="D835" s="19" t="s">
        <v>23</v>
      </c>
      <c r="E835" s="20">
        <v>214925.5</v>
      </c>
      <c r="F835" s="21">
        <v>3847166</v>
      </c>
      <c r="G835" s="22">
        <v>17.9</v>
      </c>
      <c r="H835" s="21">
        <f>ROUND(G835*E835,0)</f>
        <v>3847166</v>
      </c>
      <c r="I835" s="21">
        <f>H835-F835</f>
        <v>0</v>
      </c>
      <c r="J835" s="23"/>
      <c r="K835" s="24" t="s">
        <v>1514</v>
      </c>
      <c r="L835" s="35">
        <v>0</v>
      </c>
    </row>
    <row r="836" spans="1:12" x14ac:dyDescent="0.25">
      <c r="A836" s="16" t="s">
        <v>157</v>
      </c>
      <c r="B836" s="34" t="s">
        <v>353</v>
      </c>
      <c r="C836" s="18">
        <v>70.898</v>
      </c>
      <c r="D836" s="19" t="s">
        <v>229</v>
      </c>
      <c r="E836" s="20">
        <v>13176.23</v>
      </c>
      <c r="F836" s="21">
        <v>934162</v>
      </c>
      <c r="G836" s="22">
        <v>70.898</v>
      </c>
      <c r="H836" s="21">
        <f>ROUND(G836*E836,0)</f>
        <v>934162</v>
      </c>
      <c r="I836" s="21">
        <f>H836-F836</f>
        <v>0</v>
      </c>
      <c r="J836" s="23"/>
      <c r="K836" s="24" t="s">
        <v>1515</v>
      </c>
      <c r="L836" s="35">
        <v>0</v>
      </c>
    </row>
    <row r="837" spans="1:12" x14ac:dyDescent="0.25">
      <c r="A837" s="16" t="s">
        <v>160</v>
      </c>
      <c r="B837" s="34" t="s">
        <v>355</v>
      </c>
      <c r="C837" s="18">
        <v>65.276</v>
      </c>
      <c r="D837" s="19" t="s">
        <v>229</v>
      </c>
      <c r="E837" s="20">
        <v>13176.23</v>
      </c>
      <c r="F837" s="21">
        <v>860092</v>
      </c>
      <c r="G837" s="22">
        <v>65.276</v>
      </c>
      <c r="H837" s="21">
        <f>ROUND(G837*E837,0)</f>
        <v>860092</v>
      </c>
      <c r="I837" s="21">
        <f>H837-F837</f>
        <v>0</v>
      </c>
      <c r="J837" s="23"/>
      <c r="K837" s="24" t="s">
        <v>1516</v>
      </c>
      <c r="L837" s="35">
        <v>0</v>
      </c>
    </row>
    <row r="838" spans="1:12" x14ac:dyDescent="0.25">
      <c r="A838" s="16" t="s">
        <v>163</v>
      </c>
      <c r="B838" s="34" t="s">
        <v>377</v>
      </c>
      <c r="C838" s="18">
        <v>1.61</v>
      </c>
      <c r="D838" s="19" t="s">
        <v>214</v>
      </c>
      <c r="E838" s="20">
        <v>1151545.01</v>
      </c>
      <c r="F838" s="21">
        <v>1853987</v>
      </c>
      <c r="G838" s="22">
        <v>1.61</v>
      </c>
      <c r="H838" s="21">
        <f>ROUND(G838*E838,0)</f>
        <v>1853987</v>
      </c>
      <c r="I838" s="21">
        <f>H838-F838</f>
        <v>0</v>
      </c>
      <c r="J838" s="23"/>
      <c r="K838" s="24" t="s">
        <v>1517</v>
      </c>
      <c r="L838" s="35">
        <v>0</v>
      </c>
    </row>
    <row r="839" spans="1:12" s="26" customFormat="1" x14ac:dyDescent="0.25">
      <c r="A839" s="27" t="s">
        <v>175</v>
      </c>
      <c r="B839" s="33" t="s">
        <v>400</v>
      </c>
      <c r="C839" s="29"/>
      <c r="D839" s="30"/>
      <c r="E839" s="30"/>
      <c r="F839" s="31">
        <v>3170458</v>
      </c>
      <c r="G839" s="30"/>
      <c r="H839" s="29"/>
      <c r="I839" s="29"/>
      <c r="J839" s="30"/>
      <c r="K839" s="32" t="s">
        <v>1518</v>
      </c>
      <c r="L839" s="29"/>
    </row>
    <row r="840" spans="1:12" x14ac:dyDescent="0.25">
      <c r="A840" s="16" t="s">
        <v>178</v>
      </c>
      <c r="B840" s="34" t="s">
        <v>392</v>
      </c>
      <c r="C840" s="18">
        <v>8.1</v>
      </c>
      <c r="D840" s="19" t="s">
        <v>23</v>
      </c>
      <c r="E840" s="20">
        <v>214925.5</v>
      </c>
      <c r="F840" s="21">
        <v>1740896</v>
      </c>
      <c r="G840" s="22">
        <v>8.1</v>
      </c>
      <c r="H840" s="21">
        <f>ROUND(G840*E840,0)</f>
        <v>1740896</v>
      </c>
      <c r="I840" s="21">
        <f>H840-F840</f>
        <v>0</v>
      </c>
      <c r="J840" s="23"/>
      <c r="K840" s="24" t="s">
        <v>1519</v>
      </c>
      <c r="L840" s="35">
        <v>0</v>
      </c>
    </row>
    <row r="841" spans="1:12" x14ac:dyDescent="0.25">
      <c r="A841" s="16" t="s">
        <v>181</v>
      </c>
      <c r="B841" s="34" t="s">
        <v>353</v>
      </c>
      <c r="C841" s="18">
        <v>27.743</v>
      </c>
      <c r="D841" s="19" t="s">
        <v>229</v>
      </c>
      <c r="E841" s="20">
        <v>13176.23</v>
      </c>
      <c r="F841" s="21">
        <v>365542</v>
      </c>
      <c r="G841" s="22">
        <v>27.743</v>
      </c>
      <c r="H841" s="21">
        <f>ROUND(G841*E841,0)</f>
        <v>365542</v>
      </c>
      <c r="I841" s="21">
        <f>H841-F841</f>
        <v>0</v>
      </c>
      <c r="J841" s="23"/>
      <c r="K841" s="24" t="s">
        <v>1520</v>
      </c>
      <c r="L841" s="35">
        <v>0</v>
      </c>
    </row>
    <row r="842" spans="1:12" x14ac:dyDescent="0.25">
      <c r="A842" s="16" t="s">
        <v>411</v>
      </c>
      <c r="B842" s="34" t="s">
        <v>355</v>
      </c>
      <c r="C842" s="18">
        <v>25.694</v>
      </c>
      <c r="D842" s="19" t="s">
        <v>229</v>
      </c>
      <c r="E842" s="20">
        <v>13176.23</v>
      </c>
      <c r="F842" s="21">
        <v>338547</v>
      </c>
      <c r="G842" s="22">
        <v>25.694</v>
      </c>
      <c r="H842" s="21">
        <f>ROUND(G842*E842,0)</f>
        <v>338547</v>
      </c>
      <c r="I842" s="21">
        <f>H842-F842</f>
        <v>0</v>
      </c>
      <c r="J842" s="23"/>
      <c r="K842" s="24" t="s">
        <v>1521</v>
      </c>
      <c r="L842" s="35">
        <v>0</v>
      </c>
    </row>
    <row r="843" spans="1:12" x14ac:dyDescent="0.25">
      <c r="A843" s="16" t="s">
        <v>413</v>
      </c>
      <c r="B843" s="34" t="s">
        <v>377</v>
      </c>
      <c r="C843" s="18">
        <v>0.63</v>
      </c>
      <c r="D843" s="19" t="s">
        <v>214</v>
      </c>
      <c r="E843" s="20">
        <v>1151545.01</v>
      </c>
      <c r="F843" s="21">
        <v>725473</v>
      </c>
      <c r="G843" s="22">
        <v>0.63</v>
      </c>
      <c r="H843" s="21">
        <f>ROUND(G843*E843,0)</f>
        <v>725473</v>
      </c>
      <c r="I843" s="21">
        <f>H843-F843</f>
        <v>0</v>
      </c>
      <c r="J843" s="23"/>
      <c r="K843" s="24" t="s">
        <v>1522</v>
      </c>
      <c r="L843" s="35">
        <v>0</v>
      </c>
    </row>
    <row r="844" spans="1:12" s="26" customFormat="1" x14ac:dyDescent="0.25">
      <c r="A844" s="27" t="s">
        <v>184</v>
      </c>
      <c r="B844" s="33" t="s">
        <v>1523</v>
      </c>
      <c r="C844" s="29"/>
      <c r="D844" s="30"/>
      <c r="E844" s="30"/>
      <c r="F844" s="31">
        <v>804870</v>
      </c>
      <c r="G844" s="30"/>
      <c r="H844" s="29"/>
      <c r="I844" s="29"/>
      <c r="J844" s="30"/>
      <c r="K844" s="32" t="s">
        <v>1524</v>
      </c>
      <c r="L844" s="29"/>
    </row>
    <row r="845" spans="1:12" x14ac:dyDescent="0.25">
      <c r="A845" s="16" t="s">
        <v>187</v>
      </c>
      <c r="B845" s="34" t="s">
        <v>392</v>
      </c>
      <c r="C845" s="18">
        <v>2.1</v>
      </c>
      <c r="D845" s="19" t="s">
        <v>23</v>
      </c>
      <c r="E845" s="20">
        <v>214925.5</v>
      </c>
      <c r="F845" s="21">
        <v>451344</v>
      </c>
      <c r="G845" s="22">
        <v>2.1</v>
      </c>
      <c r="H845" s="21">
        <f>ROUND(G845*E845,0)</f>
        <v>451344</v>
      </c>
      <c r="I845" s="21">
        <f>H845-F845</f>
        <v>0</v>
      </c>
      <c r="J845" s="23"/>
      <c r="K845" s="24" t="s">
        <v>1525</v>
      </c>
      <c r="L845" s="35">
        <v>0</v>
      </c>
    </row>
    <row r="846" spans="1:12" x14ac:dyDescent="0.25">
      <c r="A846" s="16" t="s">
        <v>190</v>
      </c>
      <c r="B846" s="34" t="s">
        <v>409</v>
      </c>
      <c r="C846" s="18">
        <v>10.789</v>
      </c>
      <c r="D846" s="19" t="s">
        <v>229</v>
      </c>
      <c r="E846" s="20">
        <v>13176.23</v>
      </c>
      <c r="F846" s="21">
        <v>142155</v>
      </c>
      <c r="G846" s="22">
        <v>10.789</v>
      </c>
      <c r="H846" s="21">
        <f>ROUND(G846*E846,0)</f>
        <v>142155</v>
      </c>
      <c r="I846" s="21">
        <f>H846-F846</f>
        <v>0</v>
      </c>
      <c r="J846" s="23"/>
      <c r="K846" s="24" t="s">
        <v>1526</v>
      </c>
      <c r="L846" s="35">
        <v>0</v>
      </c>
    </row>
    <row r="847" spans="1:12" x14ac:dyDescent="0.25">
      <c r="A847" s="16" t="s">
        <v>826</v>
      </c>
      <c r="B847" s="34" t="s">
        <v>355</v>
      </c>
      <c r="C847" s="18">
        <v>6.865</v>
      </c>
      <c r="D847" s="19" t="s">
        <v>229</v>
      </c>
      <c r="E847" s="20">
        <v>13176.23</v>
      </c>
      <c r="F847" s="21">
        <v>90459</v>
      </c>
      <c r="G847" s="22">
        <v>6.865</v>
      </c>
      <c r="H847" s="21">
        <f>ROUND(G847*E847,0)</f>
        <v>90459</v>
      </c>
      <c r="I847" s="21">
        <f>H847-F847</f>
        <v>0</v>
      </c>
      <c r="J847" s="23"/>
      <c r="K847" s="24" t="s">
        <v>1527</v>
      </c>
      <c r="L847" s="35">
        <v>0</v>
      </c>
    </row>
    <row r="848" spans="1:12" x14ac:dyDescent="0.25">
      <c r="A848" s="16" t="s">
        <v>829</v>
      </c>
      <c r="B848" s="34" t="s">
        <v>377</v>
      </c>
      <c r="C848" s="18">
        <v>0.105</v>
      </c>
      <c r="D848" s="19" t="s">
        <v>214</v>
      </c>
      <c r="E848" s="20">
        <v>1151545.01</v>
      </c>
      <c r="F848" s="21">
        <v>120912</v>
      </c>
      <c r="G848" s="22">
        <v>0.105</v>
      </c>
      <c r="H848" s="21">
        <f>ROUND(G848*E848,0)</f>
        <v>120912</v>
      </c>
      <c r="I848" s="21">
        <f>H848-F848</f>
        <v>0</v>
      </c>
      <c r="J848" s="23"/>
      <c r="K848" s="24" t="s">
        <v>1528</v>
      </c>
      <c r="L848" s="35">
        <v>0</v>
      </c>
    </row>
    <row r="849" spans="1:12" s="26" customFormat="1" x14ac:dyDescent="0.25">
      <c r="A849" s="27" t="s">
        <v>193</v>
      </c>
      <c r="B849" s="33" t="s">
        <v>415</v>
      </c>
      <c r="C849" s="29"/>
      <c r="D849" s="30"/>
      <c r="E849" s="30"/>
      <c r="F849" s="31">
        <v>6031086</v>
      </c>
      <c r="G849" s="30"/>
      <c r="H849" s="29"/>
      <c r="I849" s="29"/>
      <c r="J849" s="30"/>
      <c r="K849" s="32" t="s">
        <v>1529</v>
      </c>
      <c r="L849" s="29"/>
    </row>
    <row r="850" spans="1:12" s="26" customFormat="1" x14ac:dyDescent="0.25">
      <c r="A850" s="27" t="s">
        <v>1530</v>
      </c>
      <c r="B850" s="37" t="s">
        <v>418</v>
      </c>
      <c r="C850" s="29"/>
      <c r="D850" s="30"/>
      <c r="E850" s="30"/>
      <c r="F850" s="31">
        <v>5358649</v>
      </c>
      <c r="G850" s="30"/>
      <c r="H850" s="29"/>
      <c r="I850" s="29"/>
      <c r="J850" s="30"/>
      <c r="K850" s="32" t="s">
        <v>1531</v>
      </c>
      <c r="L850" s="29"/>
    </row>
    <row r="851" spans="1:12" x14ac:dyDescent="0.25">
      <c r="A851" s="16" t="s">
        <v>1532</v>
      </c>
      <c r="B851" s="38" t="s">
        <v>392</v>
      </c>
      <c r="C851" s="18">
        <v>5.568</v>
      </c>
      <c r="D851" s="19" t="s">
        <v>23</v>
      </c>
      <c r="E851" s="20">
        <v>214925.5</v>
      </c>
      <c r="F851" s="21">
        <v>1196630</v>
      </c>
      <c r="G851" s="22">
        <v>5.568</v>
      </c>
      <c r="H851" s="21">
        <f>ROUND(G851*E851,0)</f>
        <v>1196630</v>
      </c>
      <c r="I851" s="21">
        <f>H851-F851</f>
        <v>0</v>
      </c>
      <c r="J851" s="23"/>
      <c r="K851" s="24" t="s">
        <v>1533</v>
      </c>
      <c r="L851" s="35">
        <v>0</v>
      </c>
    </row>
    <row r="852" spans="1:12" x14ac:dyDescent="0.25">
      <c r="A852" s="16" t="s">
        <v>1534</v>
      </c>
      <c r="B852" s="38" t="s">
        <v>423</v>
      </c>
      <c r="C852" s="18">
        <v>104.78</v>
      </c>
      <c r="D852" s="19" t="s">
        <v>229</v>
      </c>
      <c r="E852" s="20">
        <v>13176.23</v>
      </c>
      <c r="F852" s="21">
        <v>1380605</v>
      </c>
      <c r="G852" s="22">
        <v>104.78</v>
      </c>
      <c r="H852" s="21">
        <f>ROUND(G852*E852,0)</f>
        <v>1380605</v>
      </c>
      <c r="I852" s="21">
        <f>H852-F852</f>
        <v>0</v>
      </c>
      <c r="J852" s="23"/>
      <c r="K852" s="24" t="s">
        <v>1535</v>
      </c>
      <c r="L852" s="35">
        <v>0</v>
      </c>
    </row>
    <row r="853" spans="1:12" x14ac:dyDescent="0.25">
      <c r="A853" s="16" t="s">
        <v>1536</v>
      </c>
      <c r="B853" s="38" t="s">
        <v>426</v>
      </c>
      <c r="C853" s="18">
        <v>152.112</v>
      </c>
      <c r="D853" s="19" t="s">
        <v>229</v>
      </c>
      <c r="E853" s="20">
        <v>13176.23</v>
      </c>
      <c r="F853" s="21">
        <v>2004259</v>
      </c>
      <c r="G853" s="22">
        <v>152.112</v>
      </c>
      <c r="H853" s="21">
        <f>ROUND(G853*E853,0)</f>
        <v>2004259</v>
      </c>
      <c r="I853" s="21">
        <f>H853-F853</f>
        <v>0</v>
      </c>
      <c r="J853" s="23"/>
      <c r="K853" s="24" t="s">
        <v>1537</v>
      </c>
      <c r="L853" s="35">
        <v>0</v>
      </c>
    </row>
    <row r="854" spans="1:12" x14ac:dyDescent="0.25">
      <c r="A854" s="16" t="s">
        <v>1538</v>
      </c>
      <c r="B854" s="38" t="s">
        <v>429</v>
      </c>
      <c r="C854" s="18">
        <v>0.675</v>
      </c>
      <c r="D854" s="19" t="s">
        <v>214</v>
      </c>
      <c r="E854" s="20">
        <v>1151545.01</v>
      </c>
      <c r="F854" s="21">
        <v>777155</v>
      </c>
      <c r="G854" s="22">
        <v>0.675</v>
      </c>
      <c r="H854" s="21">
        <f>ROUND(G854*E854,0)</f>
        <v>777155</v>
      </c>
      <c r="I854" s="21">
        <f>H854-F854</f>
        <v>0</v>
      </c>
      <c r="J854" s="23"/>
      <c r="K854" s="24" t="s">
        <v>1539</v>
      </c>
      <c r="L854" s="35">
        <v>0</v>
      </c>
    </row>
    <row r="855" spans="1:12" s="26" customFormat="1" x14ac:dyDescent="0.25">
      <c r="A855" s="27" t="s">
        <v>1540</v>
      </c>
      <c r="B855" s="37" t="s">
        <v>432</v>
      </c>
      <c r="C855" s="29"/>
      <c r="D855" s="30"/>
      <c r="E855" s="30"/>
      <c r="F855" s="31">
        <v>672437</v>
      </c>
      <c r="G855" s="30"/>
      <c r="H855" s="29"/>
      <c r="I855" s="29"/>
      <c r="J855" s="30"/>
      <c r="K855" s="32" t="s">
        <v>1541</v>
      </c>
      <c r="L855" s="29"/>
    </row>
    <row r="856" spans="1:12" x14ac:dyDescent="0.25">
      <c r="A856" s="16" t="s">
        <v>1542</v>
      </c>
      <c r="B856" s="38" t="s">
        <v>371</v>
      </c>
      <c r="C856" s="18">
        <v>1.4</v>
      </c>
      <c r="D856" s="19" t="s">
        <v>23</v>
      </c>
      <c r="E856" s="20">
        <v>208190.98</v>
      </c>
      <c r="F856" s="21">
        <v>291467</v>
      </c>
      <c r="G856" s="22">
        <v>1.4</v>
      </c>
      <c r="H856" s="21">
        <f>ROUND(G856*E856,0)</f>
        <v>291467</v>
      </c>
      <c r="I856" s="21">
        <f>H856-F856</f>
        <v>0</v>
      </c>
      <c r="J856" s="23"/>
      <c r="K856" s="24" t="s">
        <v>1543</v>
      </c>
      <c r="L856" s="35">
        <v>0</v>
      </c>
    </row>
    <row r="857" spans="1:12" x14ac:dyDescent="0.25">
      <c r="A857" s="16" t="s">
        <v>1544</v>
      </c>
      <c r="B857" s="38" t="s">
        <v>423</v>
      </c>
      <c r="C857" s="18">
        <v>10.85</v>
      </c>
      <c r="D857" s="19" t="s">
        <v>229</v>
      </c>
      <c r="E857" s="20">
        <v>13176.23</v>
      </c>
      <c r="F857" s="21">
        <v>142967</v>
      </c>
      <c r="G857" s="22">
        <v>10.85</v>
      </c>
      <c r="H857" s="21">
        <f>ROUND(G857*E857,0)</f>
        <v>142967</v>
      </c>
      <c r="I857" s="21">
        <f>H857-F857</f>
        <v>0</v>
      </c>
      <c r="J857" s="23"/>
      <c r="K857" s="24" t="s">
        <v>1545</v>
      </c>
      <c r="L857" s="35">
        <v>0</v>
      </c>
    </row>
    <row r="858" spans="1:12" x14ac:dyDescent="0.25">
      <c r="A858" s="16" t="s">
        <v>1546</v>
      </c>
      <c r="B858" s="38" t="s">
        <v>426</v>
      </c>
      <c r="C858" s="18">
        <v>7.576</v>
      </c>
      <c r="D858" s="19" t="s">
        <v>229</v>
      </c>
      <c r="E858" s="20">
        <v>13176.23</v>
      </c>
      <c r="F858" s="21">
        <v>99817</v>
      </c>
      <c r="G858" s="22">
        <v>7.576</v>
      </c>
      <c r="H858" s="21">
        <f>ROUND(G858*E858,0)</f>
        <v>99817</v>
      </c>
      <c r="I858" s="21">
        <f>H858-F858</f>
        <v>0</v>
      </c>
      <c r="J858" s="23"/>
      <c r="K858" s="24" t="s">
        <v>1547</v>
      </c>
      <c r="L858" s="35">
        <v>0</v>
      </c>
    </row>
    <row r="859" spans="1:12" x14ac:dyDescent="0.25">
      <c r="A859" s="16" t="s">
        <v>1548</v>
      </c>
      <c r="B859" s="38" t="s">
        <v>429</v>
      </c>
      <c r="C859" s="18">
        <v>0.12</v>
      </c>
      <c r="D859" s="19" t="s">
        <v>214</v>
      </c>
      <c r="E859" s="20">
        <v>1151545.01</v>
      </c>
      <c r="F859" s="21">
        <v>138186</v>
      </c>
      <c r="G859" s="22">
        <v>0.12</v>
      </c>
      <c r="H859" s="21">
        <f>ROUND(G859*E859,0)</f>
        <v>138186</v>
      </c>
      <c r="I859" s="21">
        <f>H859-F859</f>
        <v>0</v>
      </c>
      <c r="J859" s="23"/>
      <c r="K859" s="24" t="s">
        <v>1549</v>
      </c>
      <c r="L859" s="35">
        <v>0</v>
      </c>
    </row>
    <row r="860" spans="1:12" s="26" customFormat="1" x14ac:dyDescent="0.25">
      <c r="A860" s="27" t="s">
        <v>202</v>
      </c>
      <c r="B860" s="33" t="s">
        <v>1026</v>
      </c>
      <c r="C860" s="29"/>
      <c r="D860" s="30"/>
      <c r="E860" s="30"/>
      <c r="F860" s="31">
        <v>706360</v>
      </c>
      <c r="G860" s="30"/>
      <c r="H860" s="29"/>
      <c r="I860" s="29"/>
      <c r="J860" s="30"/>
      <c r="K860" s="32" t="s">
        <v>1550</v>
      </c>
      <c r="L860" s="29"/>
    </row>
    <row r="861" spans="1:12" x14ac:dyDescent="0.25">
      <c r="A861" s="16" t="s">
        <v>834</v>
      </c>
      <c r="B861" s="34" t="s">
        <v>671</v>
      </c>
      <c r="C861" s="18">
        <v>1.334</v>
      </c>
      <c r="D861" s="19" t="s">
        <v>23</v>
      </c>
      <c r="E861" s="20">
        <v>222495.38</v>
      </c>
      <c r="F861" s="21">
        <v>296809</v>
      </c>
      <c r="G861" s="22">
        <v>1.334</v>
      </c>
      <c r="H861" s="21">
        <f>ROUND(G861*E861,0)</f>
        <v>296809</v>
      </c>
      <c r="I861" s="21">
        <f>H861-F861</f>
        <v>0</v>
      </c>
      <c r="J861" s="23"/>
      <c r="K861" s="24" t="s">
        <v>1551</v>
      </c>
      <c r="L861" s="35">
        <v>0</v>
      </c>
    </row>
    <row r="862" spans="1:12" x14ac:dyDescent="0.25">
      <c r="A862" s="16" t="s">
        <v>850</v>
      </c>
      <c r="B862" s="34" t="s">
        <v>375</v>
      </c>
      <c r="C862" s="18">
        <v>7.694</v>
      </c>
      <c r="D862" s="19" t="s">
        <v>229</v>
      </c>
      <c r="E862" s="20">
        <v>13176.23</v>
      </c>
      <c r="F862" s="21">
        <v>101377</v>
      </c>
      <c r="G862" s="22">
        <v>7.694</v>
      </c>
      <c r="H862" s="21">
        <f>ROUND(G862*E862,0)</f>
        <v>101377</v>
      </c>
      <c r="I862" s="21">
        <f>H862-F862</f>
        <v>0</v>
      </c>
      <c r="J862" s="23"/>
      <c r="K862" s="24" t="s">
        <v>1552</v>
      </c>
      <c r="L862" s="35">
        <v>0</v>
      </c>
    </row>
    <row r="863" spans="1:12" x14ac:dyDescent="0.25">
      <c r="A863" s="16" t="s">
        <v>853</v>
      </c>
      <c r="B863" s="34" t="s">
        <v>377</v>
      </c>
      <c r="C863" s="18">
        <v>0.107</v>
      </c>
      <c r="D863" s="19" t="s">
        <v>214</v>
      </c>
      <c r="E863" s="20">
        <v>1151545.01</v>
      </c>
      <c r="F863" s="21">
        <v>123215</v>
      </c>
      <c r="G863" s="22">
        <v>0.107</v>
      </c>
      <c r="H863" s="21">
        <f>ROUND(G863*E863,0)</f>
        <v>123215</v>
      </c>
      <c r="I863" s="21">
        <f>H863-F863</f>
        <v>0</v>
      </c>
      <c r="J863" s="23"/>
      <c r="K863" s="24" t="s">
        <v>1553</v>
      </c>
      <c r="L863" s="35">
        <v>0</v>
      </c>
    </row>
    <row r="864" spans="1:12" x14ac:dyDescent="0.25">
      <c r="A864" s="16" t="s">
        <v>1554</v>
      </c>
      <c r="B864" s="34" t="s">
        <v>585</v>
      </c>
      <c r="C864" s="18">
        <v>1.07</v>
      </c>
      <c r="D864" s="19" t="s">
        <v>23</v>
      </c>
      <c r="E864" s="20">
        <v>54647.67</v>
      </c>
      <c r="F864" s="21">
        <v>58473</v>
      </c>
      <c r="G864" s="22">
        <v>1.07</v>
      </c>
      <c r="H864" s="21">
        <f>ROUND(G864*E864,0)</f>
        <v>58473</v>
      </c>
      <c r="I864" s="21">
        <f>H864-F864</f>
        <v>0</v>
      </c>
      <c r="J864" s="23"/>
      <c r="K864" s="24" t="s">
        <v>1555</v>
      </c>
      <c r="L864" s="35">
        <v>0</v>
      </c>
    </row>
    <row r="865" spans="1:12" x14ac:dyDescent="0.25">
      <c r="A865" s="16" t="s">
        <v>1556</v>
      </c>
      <c r="B865" s="34" t="s">
        <v>1032</v>
      </c>
      <c r="C865" s="18">
        <v>1.07</v>
      </c>
      <c r="D865" s="19" t="s">
        <v>23</v>
      </c>
      <c r="E865" s="20">
        <v>118211.25</v>
      </c>
      <c r="F865" s="21">
        <v>126486</v>
      </c>
      <c r="G865" s="22">
        <v>1.07</v>
      </c>
      <c r="H865" s="21">
        <f>ROUND(G865*E865,0)</f>
        <v>126486</v>
      </c>
      <c r="I865" s="21">
        <f>H865-F865</f>
        <v>0</v>
      </c>
      <c r="J865" s="23"/>
      <c r="K865" s="24" t="s">
        <v>1557</v>
      </c>
      <c r="L865" s="35">
        <v>0</v>
      </c>
    </row>
    <row r="866" spans="1:12" s="26" customFormat="1" x14ac:dyDescent="0.25">
      <c r="A866" s="27" t="s">
        <v>205</v>
      </c>
      <c r="B866" s="33" t="s">
        <v>554</v>
      </c>
      <c r="C866" s="29"/>
      <c r="D866" s="30"/>
      <c r="E866" s="30"/>
      <c r="F866" s="31">
        <v>9396254</v>
      </c>
      <c r="G866" s="30"/>
      <c r="H866" s="29"/>
      <c r="I866" s="29"/>
      <c r="J866" s="30"/>
      <c r="K866" s="32" t="s">
        <v>1558</v>
      </c>
      <c r="L866" s="29"/>
    </row>
    <row r="867" spans="1:12" x14ac:dyDescent="0.25">
      <c r="A867" s="16" t="s">
        <v>1559</v>
      </c>
      <c r="B867" s="34" t="s">
        <v>360</v>
      </c>
      <c r="C867" s="18">
        <v>1.575</v>
      </c>
      <c r="D867" s="19" t="s">
        <v>214</v>
      </c>
      <c r="E867" s="20">
        <v>124258.76</v>
      </c>
      <c r="F867" s="21">
        <v>195708</v>
      </c>
      <c r="G867" s="22">
        <v>1.575</v>
      </c>
      <c r="H867" s="21">
        <f>ROUND(G867*E867,0)</f>
        <v>195708</v>
      </c>
      <c r="I867" s="21">
        <f>H867-F867</f>
        <v>0</v>
      </c>
      <c r="J867" s="23"/>
      <c r="K867" s="24" t="s">
        <v>1560</v>
      </c>
      <c r="L867" s="35">
        <v>0</v>
      </c>
    </row>
    <row r="868" spans="1:12" x14ac:dyDescent="0.25">
      <c r="A868" s="16" t="s">
        <v>1561</v>
      </c>
      <c r="B868" s="34" t="s">
        <v>362</v>
      </c>
      <c r="C868" s="18">
        <v>1.575</v>
      </c>
      <c r="D868" s="19" t="s">
        <v>214</v>
      </c>
      <c r="E868" s="20">
        <v>53756.99</v>
      </c>
      <c r="F868" s="21">
        <v>84667</v>
      </c>
      <c r="G868" s="22">
        <v>1.575</v>
      </c>
      <c r="H868" s="21">
        <f>ROUND(G868*E868,0)</f>
        <v>84667</v>
      </c>
      <c r="I868" s="21">
        <f>H868-F868</f>
        <v>0</v>
      </c>
      <c r="J868" s="23"/>
      <c r="K868" s="24" t="s">
        <v>1562</v>
      </c>
      <c r="L868" s="35">
        <v>0</v>
      </c>
    </row>
    <row r="869" spans="1:12" x14ac:dyDescent="0.25">
      <c r="A869" s="16" t="s">
        <v>1563</v>
      </c>
      <c r="B869" s="34" t="s">
        <v>364</v>
      </c>
      <c r="C869" s="18">
        <v>1.575</v>
      </c>
      <c r="D869" s="19" t="s">
        <v>214</v>
      </c>
      <c r="E869" s="20">
        <v>345522.98</v>
      </c>
      <c r="F869" s="21">
        <v>544199</v>
      </c>
      <c r="G869" s="22">
        <v>1.575</v>
      </c>
      <c r="H869" s="21">
        <f>ROUND(G869*E869,0)</f>
        <v>544199</v>
      </c>
      <c r="I869" s="21">
        <f>H869-F869</f>
        <v>0</v>
      </c>
      <c r="J869" s="23"/>
      <c r="K869" s="24" t="s">
        <v>1564</v>
      </c>
      <c r="L869" s="35">
        <v>0</v>
      </c>
    </row>
    <row r="870" spans="1:12" x14ac:dyDescent="0.25">
      <c r="A870" s="16" t="s">
        <v>1565</v>
      </c>
      <c r="B870" s="34" t="s">
        <v>640</v>
      </c>
      <c r="C870" s="18">
        <v>1.575</v>
      </c>
      <c r="D870" s="19" t="s">
        <v>214</v>
      </c>
      <c r="E870" s="20">
        <v>1016530.97</v>
      </c>
      <c r="F870" s="21">
        <v>1601036</v>
      </c>
      <c r="G870" s="22">
        <v>1.575</v>
      </c>
      <c r="H870" s="21">
        <f>ROUND(G870*E870,0)</f>
        <v>1601036</v>
      </c>
      <c r="I870" s="21">
        <f>H870-F870</f>
        <v>0</v>
      </c>
      <c r="J870" s="23"/>
      <c r="K870" s="24" t="s">
        <v>1566</v>
      </c>
      <c r="L870" s="35">
        <v>0</v>
      </c>
    </row>
    <row r="871" spans="1:12" x14ac:dyDescent="0.25">
      <c r="A871" s="16" t="s">
        <v>1567</v>
      </c>
      <c r="B871" s="34" t="s">
        <v>1568</v>
      </c>
      <c r="C871" s="18">
        <v>63</v>
      </c>
      <c r="D871" s="19" t="s">
        <v>23</v>
      </c>
      <c r="E871" s="20">
        <v>24279.27</v>
      </c>
      <c r="F871" s="21">
        <v>1529594</v>
      </c>
      <c r="G871" s="22">
        <v>63</v>
      </c>
      <c r="H871" s="21">
        <f>ROUND(G871*E871,0)</f>
        <v>1529594</v>
      </c>
      <c r="I871" s="21">
        <f>H871-F871</f>
        <v>0</v>
      </c>
      <c r="J871" s="23"/>
      <c r="K871" s="24" t="s">
        <v>1569</v>
      </c>
      <c r="L871" s="35">
        <v>0</v>
      </c>
    </row>
    <row r="872" spans="1:12" x14ac:dyDescent="0.25">
      <c r="A872" s="16" t="s">
        <v>1570</v>
      </c>
      <c r="B872" s="34" t="s">
        <v>429</v>
      </c>
      <c r="C872" s="18">
        <v>4.725</v>
      </c>
      <c r="D872" s="19" t="s">
        <v>214</v>
      </c>
      <c r="E872" s="20">
        <v>1151545.01</v>
      </c>
      <c r="F872" s="21">
        <v>5441050</v>
      </c>
      <c r="G872" s="22">
        <v>4.725</v>
      </c>
      <c r="H872" s="21">
        <f>ROUND(G872*E872,0)</f>
        <v>5441050</v>
      </c>
      <c r="I872" s="21">
        <f>H872-F872</f>
        <v>0</v>
      </c>
      <c r="J872" s="23"/>
      <c r="K872" s="24" t="s">
        <v>1571</v>
      </c>
      <c r="L872" s="35">
        <v>0</v>
      </c>
    </row>
    <row r="873" spans="1:12" s="26" customFormat="1" x14ac:dyDescent="0.25">
      <c r="A873" s="27" t="s">
        <v>858</v>
      </c>
      <c r="B873" s="33" t="s">
        <v>1572</v>
      </c>
      <c r="C873" s="29"/>
      <c r="D873" s="30"/>
      <c r="E873" s="30"/>
      <c r="F873" s="31">
        <v>3038992</v>
      </c>
      <c r="G873" s="30"/>
      <c r="H873" s="29"/>
      <c r="I873" s="29"/>
      <c r="J873" s="30"/>
      <c r="K873" s="32" t="s">
        <v>1573</v>
      </c>
      <c r="L873" s="29"/>
    </row>
    <row r="874" spans="1:12" x14ac:dyDescent="0.25">
      <c r="A874" s="16" t="s">
        <v>1574</v>
      </c>
      <c r="B874" s="34" t="s">
        <v>360</v>
      </c>
      <c r="C874" s="18">
        <v>0.536</v>
      </c>
      <c r="D874" s="19" t="s">
        <v>214</v>
      </c>
      <c r="E874" s="20">
        <v>124258.76</v>
      </c>
      <c r="F874" s="21">
        <v>66634</v>
      </c>
      <c r="G874" s="22">
        <v>0.536</v>
      </c>
      <c r="H874" s="21">
        <f>ROUND(G874*E874,0)</f>
        <v>66634</v>
      </c>
      <c r="I874" s="21">
        <f>H874-F874</f>
        <v>0</v>
      </c>
      <c r="J874" s="23"/>
      <c r="K874" s="24" t="s">
        <v>1575</v>
      </c>
      <c r="L874" s="35">
        <v>0</v>
      </c>
    </row>
    <row r="875" spans="1:12" x14ac:dyDescent="0.25">
      <c r="A875" s="16" t="s">
        <v>1576</v>
      </c>
      <c r="B875" s="34" t="s">
        <v>362</v>
      </c>
      <c r="C875" s="18">
        <v>0.536</v>
      </c>
      <c r="D875" s="19" t="s">
        <v>214</v>
      </c>
      <c r="E875" s="20">
        <v>53756.99</v>
      </c>
      <c r="F875" s="21">
        <v>28827</v>
      </c>
      <c r="G875" s="22">
        <v>0.536</v>
      </c>
      <c r="H875" s="21">
        <f>ROUND(G875*E875,0)</f>
        <v>28827</v>
      </c>
      <c r="I875" s="21">
        <f>H875-F875</f>
        <v>0</v>
      </c>
      <c r="J875" s="23"/>
      <c r="K875" s="24" t="s">
        <v>1577</v>
      </c>
      <c r="L875" s="35">
        <v>0</v>
      </c>
    </row>
    <row r="876" spans="1:12" x14ac:dyDescent="0.25">
      <c r="A876" s="16" t="s">
        <v>1578</v>
      </c>
      <c r="B876" s="34" t="s">
        <v>364</v>
      </c>
      <c r="C876" s="18">
        <v>0.536</v>
      </c>
      <c r="D876" s="19" t="s">
        <v>214</v>
      </c>
      <c r="E876" s="20">
        <v>345522.98</v>
      </c>
      <c r="F876" s="21">
        <v>185287</v>
      </c>
      <c r="G876" s="22">
        <v>0.536</v>
      </c>
      <c r="H876" s="21">
        <f>ROUND(G876*E876,0)</f>
        <v>185287</v>
      </c>
      <c r="I876" s="21">
        <f>H876-F876</f>
        <v>0</v>
      </c>
      <c r="J876" s="23"/>
      <c r="K876" s="24" t="s">
        <v>1579</v>
      </c>
      <c r="L876" s="35">
        <v>0</v>
      </c>
    </row>
    <row r="877" spans="1:12" x14ac:dyDescent="0.25">
      <c r="A877" s="16" t="s">
        <v>1580</v>
      </c>
      <c r="B877" s="34" t="s">
        <v>640</v>
      </c>
      <c r="C877" s="18">
        <v>0.536</v>
      </c>
      <c r="D877" s="19" t="s">
        <v>214</v>
      </c>
      <c r="E877" s="20">
        <v>1016530.97</v>
      </c>
      <c r="F877" s="21">
        <v>545115</v>
      </c>
      <c r="G877" s="22">
        <v>0.536</v>
      </c>
      <c r="H877" s="21">
        <f>ROUND(G877*E877,0)</f>
        <v>545115</v>
      </c>
      <c r="I877" s="21">
        <f>H877-F877</f>
        <v>0</v>
      </c>
      <c r="J877" s="23"/>
      <c r="K877" s="24" t="s">
        <v>1581</v>
      </c>
      <c r="L877" s="35">
        <v>0</v>
      </c>
    </row>
    <row r="878" spans="1:12" x14ac:dyDescent="0.25">
      <c r="A878" s="16" t="s">
        <v>1582</v>
      </c>
      <c r="B878" s="34" t="s">
        <v>1583</v>
      </c>
      <c r="C878" s="18">
        <v>0.45</v>
      </c>
      <c r="D878" s="19" t="s">
        <v>23</v>
      </c>
      <c r="E878" s="20">
        <v>122466.89</v>
      </c>
      <c r="F878" s="21">
        <v>55110</v>
      </c>
      <c r="G878" s="22">
        <v>0.45</v>
      </c>
      <c r="H878" s="21">
        <f>ROUND(G878*E878,0)</f>
        <v>55110</v>
      </c>
      <c r="I878" s="21">
        <f>H878-F878</f>
        <v>0</v>
      </c>
      <c r="J878" s="23"/>
      <c r="K878" s="24" t="s">
        <v>1584</v>
      </c>
      <c r="L878" s="35">
        <v>0</v>
      </c>
    </row>
    <row r="879" spans="1:12" x14ac:dyDescent="0.25">
      <c r="A879" s="16" t="s">
        <v>1585</v>
      </c>
      <c r="B879" s="34" t="s">
        <v>1586</v>
      </c>
      <c r="C879" s="18">
        <v>10.725</v>
      </c>
      <c r="D879" s="19" t="s">
        <v>23</v>
      </c>
      <c r="E879" s="20">
        <v>24279.27</v>
      </c>
      <c r="F879" s="21">
        <v>260395</v>
      </c>
      <c r="G879" s="22">
        <v>10.725</v>
      </c>
      <c r="H879" s="21">
        <f>ROUND(G879*E879,0)</f>
        <v>260395</v>
      </c>
      <c r="I879" s="21">
        <f>H879-F879</f>
        <v>0</v>
      </c>
      <c r="J879" s="23"/>
      <c r="K879" s="24" t="s">
        <v>1587</v>
      </c>
      <c r="L879" s="35">
        <v>0</v>
      </c>
    </row>
    <row r="880" spans="1:12" x14ac:dyDescent="0.25">
      <c r="A880" s="16" t="s">
        <v>1588</v>
      </c>
      <c r="B880" s="34" t="s">
        <v>377</v>
      </c>
      <c r="C880" s="18">
        <v>1.609</v>
      </c>
      <c r="D880" s="19" t="s">
        <v>214</v>
      </c>
      <c r="E880" s="20">
        <v>1151545.01</v>
      </c>
      <c r="F880" s="21">
        <v>1852548</v>
      </c>
      <c r="G880" s="22">
        <v>1.609</v>
      </c>
      <c r="H880" s="21">
        <f>ROUND(G880*E880,0)</f>
        <v>1852548</v>
      </c>
      <c r="I880" s="21">
        <f>H880-F880</f>
        <v>0</v>
      </c>
      <c r="J880" s="23"/>
      <c r="K880" s="24" t="s">
        <v>1589</v>
      </c>
      <c r="L880" s="35">
        <v>0</v>
      </c>
    </row>
    <row r="881" spans="1:12" x14ac:dyDescent="0.25">
      <c r="A881" s="16" t="s">
        <v>1590</v>
      </c>
      <c r="B881" s="34" t="s">
        <v>447</v>
      </c>
      <c r="C881" s="18">
        <v>0.45</v>
      </c>
      <c r="D881" s="19" t="s">
        <v>23</v>
      </c>
      <c r="E881" s="20">
        <v>54647.67</v>
      </c>
      <c r="F881" s="21">
        <v>24592</v>
      </c>
      <c r="G881" s="22">
        <v>0.45</v>
      </c>
      <c r="H881" s="21">
        <f>ROUND(G881*E881,0)</f>
        <v>24592</v>
      </c>
      <c r="I881" s="21">
        <f>H881-F881</f>
        <v>0</v>
      </c>
      <c r="J881" s="23"/>
      <c r="K881" s="24" t="s">
        <v>1591</v>
      </c>
      <c r="L881" s="35">
        <v>0</v>
      </c>
    </row>
    <row r="882" spans="1:12" x14ac:dyDescent="0.25">
      <c r="A882" s="16" t="s">
        <v>1592</v>
      </c>
      <c r="B882" s="34" t="s">
        <v>250</v>
      </c>
      <c r="C882" s="18">
        <v>0.45</v>
      </c>
      <c r="D882" s="19" t="s">
        <v>23</v>
      </c>
      <c r="E882" s="20">
        <v>45520.53</v>
      </c>
      <c r="F882" s="21">
        <v>20484</v>
      </c>
      <c r="G882" s="22">
        <v>0.45</v>
      </c>
      <c r="H882" s="21">
        <f>ROUND(G882*E882,0)</f>
        <v>20484</v>
      </c>
      <c r="I882" s="21">
        <f>H882-F882</f>
        <v>0</v>
      </c>
      <c r="J882" s="23"/>
      <c r="K882" s="24" t="s">
        <v>1593</v>
      </c>
      <c r="L882" s="35">
        <v>0</v>
      </c>
    </row>
    <row r="883" spans="1:12" s="26" customFormat="1" x14ac:dyDescent="0.25">
      <c r="A883" s="27" t="s">
        <v>1594</v>
      </c>
      <c r="B883" s="28" t="s">
        <v>1595</v>
      </c>
      <c r="C883" s="29"/>
      <c r="D883" s="30"/>
      <c r="E883" s="30"/>
      <c r="F883" s="31">
        <v>108822774</v>
      </c>
      <c r="G883" s="30"/>
      <c r="H883" s="29"/>
      <c r="I883" s="29"/>
      <c r="J883" s="30"/>
      <c r="K883" s="32" t="s">
        <v>1596</v>
      </c>
      <c r="L883" s="29"/>
    </row>
    <row r="884" spans="1:12" x14ac:dyDescent="0.25">
      <c r="A884" s="16" t="s">
        <v>21</v>
      </c>
      <c r="B884" s="36" t="s">
        <v>1037</v>
      </c>
      <c r="C884" s="18">
        <v>95.702</v>
      </c>
      <c r="D884" s="19" t="s">
        <v>23</v>
      </c>
      <c r="E884" s="20">
        <v>122466.89</v>
      </c>
      <c r="F884" s="21">
        <v>11720351</v>
      </c>
      <c r="G884" s="22">
        <v>95.702</v>
      </c>
      <c r="H884" s="21">
        <f>ROUND(G884*E884,0)</f>
        <v>11720351</v>
      </c>
      <c r="I884" s="21">
        <f>H884-F884</f>
        <v>0</v>
      </c>
      <c r="J884" s="23"/>
      <c r="K884" s="24" t="s">
        <v>1597</v>
      </c>
      <c r="L884" s="35">
        <v>0</v>
      </c>
    </row>
    <row r="885" spans="1:12" x14ac:dyDescent="0.25">
      <c r="A885" s="16" t="s">
        <v>25</v>
      </c>
      <c r="B885" s="36" t="s">
        <v>1039</v>
      </c>
      <c r="C885" s="18">
        <v>95.702</v>
      </c>
      <c r="D885" s="19" t="s">
        <v>23</v>
      </c>
      <c r="E885" s="20">
        <v>54647.67</v>
      </c>
      <c r="F885" s="21">
        <v>5229902</v>
      </c>
      <c r="G885" s="22">
        <v>95.702</v>
      </c>
      <c r="H885" s="21">
        <f>ROUND(G885*E885,0)</f>
        <v>5229902</v>
      </c>
      <c r="I885" s="21">
        <f>H885-F885</f>
        <v>0</v>
      </c>
      <c r="J885" s="23"/>
      <c r="K885" s="24" t="s">
        <v>1598</v>
      </c>
      <c r="L885" s="35">
        <v>0</v>
      </c>
    </row>
    <row r="886" spans="1:12" x14ac:dyDescent="0.25">
      <c r="A886" s="16" t="s">
        <v>29</v>
      </c>
      <c r="B886" s="36" t="s">
        <v>1041</v>
      </c>
      <c r="C886" s="18">
        <v>115.642</v>
      </c>
      <c r="D886" s="19" t="s">
        <v>23</v>
      </c>
      <c r="E886" s="20">
        <v>45520.53</v>
      </c>
      <c r="F886" s="21">
        <v>5264094</v>
      </c>
      <c r="G886" s="22">
        <v>115.642</v>
      </c>
      <c r="H886" s="21">
        <f>ROUND(G886*E886,0)</f>
        <v>5264094</v>
      </c>
      <c r="I886" s="21">
        <f>H886-F886</f>
        <v>0</v>
      </c>
      <c r="J886" s="23"/>
      <c r="K886" s="24" t="s">
        <v>1599</v>
      </c>
      <c r="L886" s="35">
        <v>0</v>
      </c>
    </row>
    <row r="887" spans="1:12" x14ac:dyDescent="0.25">
      <c r="A887" s="16" t="s">
        <v>33</v>
      </c>
      <c r="B887" s="36" t="s">
        <v>452</v>
      </c>
      <c r="C887" s="18">
        <v>5.335</v>
      </c>
      <c r="D887" s="19" t="s">
        <v>23</v>
      </c>
      <c r="E887" s="20">
        <v>56201.8</v>
      </c>
      <c r="F887" s="21">
        <v>299859</v>
      </c>
      <c r="G887" s="22">
        <v>5.335</v>
      </c>
      <c r="H887" s="21">
        <f>ROUND(G887*E887,0)</f>
        <v>299859</v>
      </c>
      <c r="I887" s="21">
        <f>H887-F887</f>
        <v>0</v>
      </c>
      <c r="J887" s="23"/>
      <c r="K887" s="24" t="s">
        <v>1600</v>
      </c>
      <c r="L887" s="35">
        <v>0</v>
      </c>
    </row>
    <row r="888" spans="1:12" s="26" customFormat="1" x14ac:dyDescent="0.25">
      <c r="A888" s="27" t="s">
        <v>36</v>
      </c>
      <c r="B888" s="33" t="s">
        <v>468</v>
      </c>
      <c r="C888" s="29"/>
      <c r="D888" s="30"/>
      <c r="E888" s="30"/>
      <c r="F888" s="31">
        <v>30714326</v>
      </c>
      <c r="G888" s="30"/>
      <c r="H888" s="29"/>
      <c r="I888" s="29"/>
      <c r="J888" s="30"/>
      <c r="K888" s="32" t="s">
        <v>1601</v>
      </c>
      <c r="L888" s="29"/>
    </row>
    <row r="889" spans="1:12" x14ac:dyDescent="0.25">
      <c r="A889" s="16" t="s">
        <v>269</v>
      </c>
      <c r="B889" s="34" t="s">
        <v>470</v>
      </c>
      <c r="C889" s="18">
        <v>51.04</v>
      </c>
      <c r="D889" s="19" t="s">
        <v>23</v>
      </c>
      <c r="E889" s="20">
        <v>342098.29</v>
      </c>
      <c r="F889" s="21">
        <v>17460697</v>
      </c>
      <c r="G889" s="22">
        <v>51.04</v>
      </c>
      <c r="H889" s="21">
        <f>ROUND(G889*E889,0)</f>
        <v>17460697</v>
      </c>
      <c r="I889" s="21">
        <f>H889-F889</f>
        <v>0</v>
      </c>
      <c r="J889" s="23"/>
      <c r="K889" s="24" t="s">
        <v>1602</v>
      </c>
      <c r="L889" s="35">
        <v>0</v>
      </c>
    </row>
    <row r="890" spans="1:12" x14ac:dyDescent="0.25">
      <c r="A890" s="16" t="s">
        <v>272</v>
      </c>
      <c r="B890" s="34" t="s">
        <v>472</v>
      </c>
      <c r="C890" s="18">
        <v>164.7</v>
      </c>
      <c r="D890" s="19" t="s">
        <v>38</v>
      </c>
      <c r="E890" s="20">
        <v>19268.19</v>
      </c>
      <c r="F890" s="21">
        <v>3173471</v>
      </c>
      <c r="G890" s="22">
        <v>164.7</v>
      </c>
      <c r="H890" s="21">
        <f>ROUND(G890*E890,0)</f>
        <v>3173471</v>
      </c>
      <c r="I890" s="21">
        <f>H890-F890</f>
        <v>0</v>
      </c>
      <c r="J890" s="23"/>
      <c r="K890" s="24" t="s">
        <v>1603</v>
      </c>
      <c r="L890" s="35">
        <v>0</v>
      </c>
    </row>
    <row r="891" spans="1:12" x14ac:dyDescent="0.25">
      <c r="A891" s="16" t="s">
        <v>275</v>
      </c>
      <c r="B891" s="34" t="s">
        <v>827</v>
      </c>
      <c r="C891" s="18">
        <v>83.232</v>
      </c>
      <c r="D891" s="19" t="s">
        <v>23</v>
      </c>
      <c r="E891" s="20">
        <v>110928.31</v>
      </c>
      <c r="F891" s="21">
        <v>9232729</v>
      </c>
      <c r="G891" s="22">
        <v>83.232</v>
      </c>
      <c r="H891" s="21">
        <f>ROUND(G891*E891,0)</f>
        <v>9232729</v>
      </c>
      <c r="I891" s="21">
        <f>H891-F891</f>
        <v>0</v>
      </c>
      <c r="J891" s="23"/>
      <c r="K891" s="24" t="s">
        <v>1604</v>
      </c>
      <c r="L891" s="35">
        <v>0</v>
      </c>
    </row>
    <row r="892" spans="1:12" x14ac:dyDescent="0.25">
      <c r="A892" s="16" t="s">
        <v>277</v>
      </c>
      <c r="B892" s="34" t="s">
        <v>476</v>
      </c>
      <c r="C892" s="18">
        <v>9.25</v>
      </c>
      <c r="D892" s="19" t="s">
        <v>38</v>
      </c>
      <c r="E892" s="20">
        <v>91613.93</v>
      </c>
      <c r="F892" s="21">
        <v>847429</v>
      </c>
      <c r="G892" s="22">
        <v>9.25</v>
      </c>
      <c r="H892" s="21">
        <f>ROUND(G892*E892,0)</f>
        <v>847429</v>
      </c>
      <c r="I892" s="21">
        <f>H892-F892</f>
        <v>0</v>
      </c>
      <c r="J892" s="23"/>
      <c r="K892" s="24" t="s">
        <v>1605</v>
      </c>
      <c r="L892" s="35">
        <v>0</v>
      </c>
    </row>
    <row r="893" spans="1:12" x14ac:dyDescent="0.25">
      <c r="A893" s="16" t="s">
        <v>40</v>
      </c>
      <c r="B893" s="36" t="s">
        <v>478</v>
      </c>
      <c r="C893" s="18">
        <v>58.798</v>
      </c>
      <c r="D893" s="19" t="s">
        <v>23</v>
      </c>
      <c r="E893" s="20">
        <v>241006.97</v>
      </c>
      <c r="F893" s="21">
        <v>14170728</v>
      </c>
      <c r="G893" s="22">
        <v>58.798</v>
      </c>
      <c r="H893" s="21">
        <f>ROUND(G893*E893,0)</f>
        <v>14170728</v>
      </c>
      <c r="I893" s="21">
        <f>H893-F893</f>
        <v>0</v>
      </c>
      <c r="J893" s="23"/>
      <c r="K893" s="24" t="s">
        <v>1606</v>
      </c>
      <c r="L893" s="35">
        <v>0</v>
      </c>
    </row>
    <row r="894" spans="1:12" x14ac:dyDescent="0.25">
      <c r="A894" s="16" t="s">
        <v>140</v>
      </c>
      <c r="B894" s="36" t="s">
        <v>486</v>
      </c>
      <c r="C894" s="18">
        <v>35.896</v>
      </c>
      <c r="D894" s="19" t="s">
        <v>38</v>
      </c>
      <c r="E894" s="20">
        <v>214927.86</v>
      </c>
      <c r="F894" s="21">
        <v>7715051</v>
      </c>
      <c r="G894" s="22">
        <v>35.896</v>
      </c>
      <c r="H894" s="21">
        <f>ROUND(G894*E894,0)</f>
        <v>7715051</v>
      </c>
      <c r="I894" s="21">
        <f>H894-F894</f>
        <v>0</v>
      </c>
      <c r="J894" s="23"/>
      <c r="K894" s="24" t="s">
        <v>1607</v>
      </c>
      <c r="L894" s="35">
        <v>0</v>
      </c>
    </row>
    <row r="895" spans="1:12" x14ac:dyDescent="0.25">
      <c r="A895" s="16" t="s">
        <v>143</v>
      </c>
      <c r="B895" s="36" t="s">
        <v>1608</v>
      </c>
      <c r="C895" s="18">
        <v>10.769</v>
      </c>
      <c r="D895" s="19" t="s">
        <v>23</v>
      </c>
      <c r="E895" s="20">
        <v>99462.99</v>
      </c>
      <c r="F895" s="21">
        <v>1071097</v>
      </c>
      <c r="G895" s="22">
        <v>10.769</v>
      </c>
      <c r="H895" s="21">
        <f>ROUND(G895*E895,0)</f>
        <v>1071097</v>
      </c>
      <c r="I895" s="21">
        <f>H895-F895</f>
        <v>0</v>
      </c>
      <c r="J895" s="23"/>
      <c r="K895" s="24" t="s">
        <v>1609</v>
      </c>
      <c r="L895" s="35">
        <v>0</v>
      </c>
    </row>
    <row r="896" spans="1:12" x14ac:dyDescent="0.25">
      <c r="A896" s="16" t="s">
        <v>146</v>
      </c>
      <c r="B896" s="36" t="s">
        <v>1610</v>
      </c>
      <c r="C896" s="18">
        <v>4.644</v>
      </c>
      <c r="D896" s="19" t="s">
        <v>23</v>
      </c>
      <c r="E896" s="20">
        <v>2584499.76</v>
      </c>
      <c r="F896" s="21">
        <v>12001900</v>
      </c>
      <c r="G896" s="22">
        <v>4.644</v>
      </c>
      <c r="H896" s="21">
        <f>ROUND(G896*E896,0)</f>
        <v>12001900</v>
      </c>
      <c r="I896" s="21">
        <f>H896-F896</f>
        <v>0</v>
      </c>
      <c r="J896" s="23"/>
      <c r="K896" s="24" t="s">
        <v>1611</v>
      </c>
      <c r="L896" s="35">
        <v>0</v>
      </c>
    </row>
    <row r="897" spans="1:12" x14ac:dyDescent="0.25">
      <c r="A897" s="16" t="s">
        <v>150</v>
      </c>
      <c r="B897" s="36" t="s">
        <v>1612</v>
      </c>
      <c r="C897" s="18">
        <v>2.4</v>
      </c>
      <c r="D897" s="19" t="s">
        <v>23</v>
      </c>
      <c r="E897" s="20">
        <v>835849.05</v>
      </c>
      <c r="F897" s="21">
        <v>2006038</v>
      </c>
      <c r="G897" s="22">
        <v>2.4</v>
      </c>
      <c r="H897" s="21">
        <f>ROUND(G897*E897,0)</f>
        <v>2006038</v>
      </c>
      <c r="I897" s="21">
        <f>H897-F897</f>
        <v>0</v>
      </c>
      <c r="J897" s="23"/>
      <c r="K897" s="24" t="s">
        <v>1613</v>
      </c>
      <c r="L897" s="35">
        <v>0</v>
      </c>
    </row>
    <row r="898" spans="1:12" x14ac:dyDescent="0.25">
      <c r="A898" s="16" t="s">
        <v>175</v>
      </c>
      <c r="B898" s="36" t="s">
        <v>1614</v>
      </c>
      <c r="C898" s="18">
        <v>115.642</v>
      </c>
      <c r="D898" s="19" t="s">
        <v>23</v>
      </c>
      <c r="E898" s="20">
        <v>100014.84</v>
      </c>
      <c r="F898" s="21">
        <v>11565936</v>
      </c>
      <c r="G898" s="22">
        <v>115.642</v>
      </c>
      <c r="H898" s="21">
        <f>ROUND(G898*E898,0)</f>
        <v>11565936</v>
      </c>
      <c r="I898" s="21">
        <f>H898-F898</f>
        <v>0</v>
      </c>
      <c r="J898" s="23"/>
      <c r="K898" s="24" t="s">
        <v>1615</v>
      </c>
      <c r="L898" s="35">
        <v>0</v>
      </c>
    </row>
    <row r="899" spans="1:12" x14ac:dyDescent="0.25">
      <c r="A899" s="16" t="s">
        <v>184</v>
      </c>
      <c r="B899" s="36" t="s">
        <v>1126</v>
      </c>
      <c r="C899" s="18">
        <v>1</v>
      </c>
      <c r="D899" s="19" t="s">
        <v>155</v>
      </c>
      <c r="E899" s="20">
        <v>386714.63</v>
      </c>
      <c r="F899" s="21">
        <v>386715</v>
      </c>
      <c r="G899" s="22">
        <v>1</v>
      </c>
      <c r="H899" s="21">
        <f>ROUND(G899*E899,0)</f>
        <v>386715</v>
      </c>
      <c r="I899" s="21">
        <f>H899-F899</f>
        <v>0</v>
      </c>
      <c r="J899" s="23"/>
      <c r="K899" s="24" t="s">
        <v>1616</v>
      </c>
      <c r="L899" s="35">
        <v>0</v>
      </c>
    </row>
    <row r="900" spans="1:12" x14ac:dyDescent="0.25">
      <c r="A900" s="16" t="s">
        <v>193</v>
      </c>
      <c r="B900" s="36" t="s">
        <v>1617</v>
      </c>
      <c r="C900" s="18">
        <v>11</v>
      </c>
      <c r="D900" s="19" t="s">
        <v>31</v>
      </c>
      <c r="E900" s="20">
        <v>156785.85</v>
      </c>
      <c r="F900" s="21">
        <v>1724644</v>
      </c>
      <c r="G900" s="22">
        <v>11</v>
      </c>
      <c r="H900" s="21">
        <f>ROUND(G900*E900,0)</f>
        <v>1724644</v>
      </c>
      <c r="I900" s="21">
        <f>H900-F900</f>
        <v>0</v>
      </c>
      <c r="J900" s="23"/>
      <c r="K900" s="24" t="s">
        <v>1618</v>
      </c>
      <c r="L900" s="35">
        <v>0</v>
      </c>
    </row>
    <row r="901" spans="1:12" x14ac:dyDescent="0.25">
      <c r="A901" s="16" t="s">
        <v>202</v>
      </c>
      <c r="B901" s="36" t="s">
        <v>497</v>
      </c>
      <c r="C901" s="18">
        <v>6</v>
      </c>
      <c r="D901" s="19" t="s">
        <v>148</v>
      </c>
      <c r="E901" s="20">
        <v>424608.39</v>
      </c>
      <c r="F901" s="21">
        <v>2547650</v>
      </c>
      <c r="G901" s="22">
        <v>6</v>
      </c>
      <c r="H901" s="21">
        <f>ROUND(G901*E901,0)</f>
        <v>2547650</v>
      </c>
      <c r="I901" s="21">
        <f>H901-F901</f>
        <v>0</v>
      </c>
      <c r="J901" s="23"/>
      <c r="K901" s="24" t="s">
        <v>1619</v>
      </c>
      <c r="L901" s="35">
        <v>0</v>
      </c>
    </row>
    <row r="902" spans="1:12" x14ac:dyDescent="0.25">
      <c r="A902" s="16" t="s">
        <v>205</v>
      </c>
      <c r="B902" s="36" t="s">
        <v>1620</v>
      </c>
      <c r="C902" s="18">
        <v>4</v>
      </c>
      <c r="D902" s="19" t="s">
        <v>148</v>
      </c>
      <c r="E902" s="20">
        <v>230693.18</v>
      </c>
      <c r="F902" s="21">
        <v>922773</v>
      </c>
      <c r="G902" s="22">
        <v>4</v>
      </c>
      <c r="H902" s="21">
        <f>ROUND(G902*E902,0)</f>
        <v>922773</v>
      </c>
      <c r="I902" s="21">
        <f>H902-F902</f>
        <v>0</v>
      </c>
      <c r="J902" s="23"/>
      <c r="K902" s="24" t="s">
        <v>1621</v>
      </c>
      <c r="L902" s="35">
        <v>0</v>
      </c>
    </row>
    <row r="903" spans="1:12" x14ac:dyDescent="0.25">
      <c r="A903" s="16" t="s">
        <v>858</v>
      </c>
      <c r="B903" s="36" t="s">
        <v>1622</v>
      </c>
      <c r="C903" s="18">
        <v>1</v>
      </c>
      <c r="D903" s="19" t="s">
        <v>148</v>
      </c>
      <c r="E903" s="20">
        <v>66848.01</v>
      </c>
      <c r="F903" s="21">
        <v>66848</v>
      </c>
      <c r="G903" s="22">
        <v>1</v>
      </c>
      <c r="H903" s="21">
        <f>ROUND(G903*E903,0)</f>
        <v>66848</v>
      </c>
      <c r="I903" s="21">
        <f>H903-F903</f>
        <v>0</v>
      </c>
      <c r="J903" s="23"/>
      <c r="K903" s="24" t="s">
        <v>1623</v>
      </c>
      <c r="L903" s="35">
        <v>0</v>
      </c>
    </row>
    <row r="904" spans="1:12" x14ac:dyDescent="0.25">
      <c r="A904" s="16" t="s">
        <v>861</v>
      </c>
      <c r="B904" s="36" t="s">
        <v>948</v>
      </c>
      <c r="C904" s="18">
        <v>4</v>
      </c>
      <c r="D904" s="19" t="s">
        <v>148</v>
      </c>
      <c r="E904" s="20">
        <v>55282.67</v>
      </c>
      <c r="F904" s="21">
        <v>221131</v>
      </c>
      <c r="G904" s="22">
        <v>4</v>
      </c>
      <c r="H904" s="21">
        <f>ROUND(G904*E904,0)</f>
        <v>221131</v>
      </c>
      <c r="I904" s="21">
        <f>H904-F904</f>
        <v>0</v>
      </c>
      <c r="J904" s="23"/>
      <c r="K904" s="24" t="s">
        <v>1624</v>
      </c>
      <c r="L904" s="35">
        <v>0</v>
      </c>
    </row>
    <row r="905" spans="1:12" x14ac:dyDescent="0.25">
      <c r="A905" s="16" t="s">
        <v>863</v>
      </c>
      <c r="B905" s="36" t="s">
        <v>942</v>
      </c>
      <c r="C905" s="18">
        <v>6</v>
      </c>
      <c r="D905" s="19" t="s">
        <v>31</v>
      </c>
      <c r="E905" s="20">
        <v>160506.41</v>
      </c>
      <c r="F905" s="21">
        <v>963038</v>
      </c>
      <c r="G905" s="22">
        <v>6</v>
      </c>
      <c r="H905" s="21">
        <f>ROUND(G905*E905,0)</f>
        <v>963038</v>
      </c>
      <c r="I905" s="21">
        <f>H905-F905</f>
        <v>0</v>
      </c>
      <c r="J905" s="23"/>
      <c r="K905" s="24" t="s">
        <v>1625</v>
      </c>
      <c r="L905" s="35">
        <v>0</v>
      </c>
    </row>
    <row r="906" spans="1:12" x14ac:dyDescent="0.25">
      <c r="A906" s="16" t="s">
        <v>950</v>
      </c>
      <c r="B906" s="36" t="s">
        <v>1626</v>
      </c>
      <c r="C906" s="18">
        <v>1</v>
      </c>
      <c r="D906" s="19" t="s">
        <v>31</v>
      </c>
      <c r="E906" s="20">
        <v>230693.18</v>
      </c>
      <c r="F906" s="21">
        <v>230693</v>
      </c>
      <c r="G906" s="22">
        <v>1</v>
      </c>
      <c r="H906" s="21">
        <f>ROUND(G906*E906,0)</f>
        <v>230693</v>
      </c>
      <c r="I906" s="21">
        <f>H906-F906</f>
        <v>0</v>
      </c>
      <c r="J906" s="23"/>
      <c r="K906" s="24" t="s">
        <v>1627</v>
      </c>
      <c r="L906" s="35">
        <v>0</v>
      </c>
    </row>
    <row r="907" spans="1:12" s="8" customFormat="1" x14ac:dyDescent="0.25">
      <c r="A907" s="9" t="s">
        <v>1628</v>
      </c>
      <c r="B907" s="10" t="s">
        <v>1629</v>
      </c>
      <c r="C907" s="11"/>
      <c r="D907" s="12"/>
      <c r="E907" s="12"/>
      <c r="F907" s="13">
        <v>207900525</v>
      </c>
      <c r="G907" s="12"/>
      <c r="H907" s="11"/>
      <c r="I907" s="11"/>
      <c r="J907" s="12"/>
      <c r="K907" s="14" t="s">
        <v>1628</v>
      </c>
      <c r="L907" s="15"/>
    </row>
    <row r="908" spans="1:12" s="26" customFormat="1" x14ac:dyDescent="0.25">
      <c r="A908" s="27" t="s">
        <v>1630</v>
      </c>
      <c r="B908" s="28" t="s">
        <v>1631</v>
      </c>
      <c r="C908" s="29"/>
      <c r="D908" s="30"/>
      <c r="E908" s="30"/>
      <c r="F908" s="31">
        <v>127225502</v>
      </c>
      <c r="G908" s="30"/>
      <c r="H908" s="29"/>
      <c r="I908" s="29"/>
      <c r="J908" s="30"/>
      <c r="K908" s="32" t="s">
        <v>1632</v>
      </c>
      <c r="L908" s="29"/>
    </row>
    <row r="909" spans="1:12" x14ac:dyDescent="0.25">
      <c r="A909" s="16" t="s">
        <v>21</v>
      </c>
      <c r="B909" s="36" t="s">
        <v>1633</v>
      </c>
      <c r="C909" s="18">
        <v>66</v>
      </c>
      <c r="D909" s="19" t="s">
        <v>38</v>
      </c>
      <c r="E909" s="20">
        <v>5066.5</v>
      </c>
      <c r="F909" s="21">
        <v>334389</v>
      </c>
      <c r="G909" s="22">
        <v>66</v>
      </c>
      <c r="H909" s="21">
        <f>ROUND(G909*E909,0)</f>
        <v>334389</v>
      </c>
      <c r="I909" s="21">
        <f>H909-F909</f>
        <v>0</v>
      </c>
      <c r="J909" s="23"/>
      <c r="K909" s="24" t="s">
        <v>1634</v>
      </c>
      <c r="L909" s="35">
        <v>0</v>
      </c>
    </row>
    <row r="910" spans="1:12" x14ac:dyDescent="0.25">
      <c r="A910" s="16" t="s">
        <v>25</v>
      </c>
      <c r="B910" s="36" t="s">
        <v>1635</v>
      </c>
      <c r="C910" s="18">
        <v>52.8</v>
      </c>
      <c r="D910" s="19" t="s">
        <v>214</v>
      </c>
      <c r="E910" s="20">
        <v>56660.36</v>
      </c>
      <c r="F910" s="21">
        <v>2991667</v>
      </c>
      <c r="G910" s="22">
        <v>52.8</v>
      </c>
      <c r="H910" s="21">
        <f>ROUND(G910*E910,0)</f>
        <v>2991667</v>
      </c>
      <c r="I910" s="21">
        <f>H910-F910</f>
        <v>0</v>
      </c>
      <c r="J910" s="23"/>
      <c r="K910" s="24" t="s">
        <v>1636</v>
      </c>
      <c r="L910" s="35">
        <v>0</v>
      </c>
    </row>
    <row r="911" spans="1:12" x14ac:dyDescent="0.25">
      <c r="A911" s="16" t="s">
        <v>29</v>
      </c>
      <c r="B911" s="36" t="s">
        <v>1637</v>
      </c>
      <c r="C911" s="18">
        <v>52.8</v>
      </c>
      <c r="D911" s="19" t="s">
        <v>214</v>
      </c>
      <c r="E911" s="20">
        <v>53756.99</v>
      </c>
      <c r="F911" s="21">
        <v>2838369</v>
      </c>
      <c r="G911" s="22">
        <v>52.8</v>
      </c>
      <c r="H911" s="21">
        <f>ROUND(G911*E911,0)</f>
        <v>2838369</v>
      </c>
      <c r="I911" s="21">
        <f>H911-F911</f>
        <v>0</v>
      </c>
      <c r="J911" s="23"/>
      <c r="K911" s="24" t="s">
        <v>1638</v>
      </c>
      <c r="L911" s="35">
        <v>0</v>
      </c>
    </row>
    <row r="912" spans="1:12" x14ac:dyDescent="0.25">
      <c r="A912" s="16" t="s">
        <v>33</v>
      </c>
      <c r="B912" s="36" t="s">
        <v>1639</v>
      </c>
      <c r="C912" s="18">
        <v>23.1</v>
      </c>
      <c r="D912" s="19" t="s">
        <v>214</v>
      </c>
      <c r="E912" s="20">
        <v>760000</v>
      </c>
      <c r="F912" s="21">
        <v>17556000</v>
      </c>
      <c r="G912" s="22">
        <v>23.1</v>
      </c>
      <c r="H912" s="21">
        <f>ROUND(G912*E912,0)</f>
        <v>17556000</v>
      </c>
      <c r="I912" s="21">
        <f>H912-F912</f>
        <v>0</v>
      </c>
      <c r="J912" s="23"/>
      <c r="K912" s="24" t="s">
        <v>1640</v>
      </c>
      <c r="L912" s="35">
        <v>0</v>
      </c>
    </row>
    <row r="913" spans="1:12" x14ac:dyDescent="0.25">
      <c r="A913" s="16" t="s">
        <v>36</v>
      </c>
      <c r="B913" s="36" t="s">
        <v>1641</v>
      </c>
      <c r="C913" s="18">
        <v>1.98</v>
      </c>
      <c r="D913" s="19" t="s">
        <v>214</v>
      </c>
      <c r="E913" s="20">
        <v>1016530.97</v>
      </c>
      <c r="F913" s="21">
        <v>2012731</v>
      </c>
      <c r="G913" s="22">
        <v>1.98</v>
      </c>
      <c r="H913" s="21">
        <f>ROUND(G913*E913,0)</f>
        <v>2012731</v>
      </c>
      <c r="I913" s="21">
        <f>H913-F913</f>
        <v>0</v>
      </c>
      <c r="J913" s="23"/>
      <c r="K913" s="24" t="s">
        <v>1642</v>
      </c>
      <c r="L913" s="35">
        <v>0</v>
      </c>
    </row>
    <row r="914" spans="1:12" x14ac:dyDescent="0.25">
      <c r="A914" s="16" t="s">
        <v>40</v>
      </c>
      <c r="B914" s="36" t="s">
        <v>1643</v>
      </c>
      <c r="C914" s="18">
        <v>36.36</v>
      </c>
      <c r="D914" s="19" t="s">
        <v>38</v>
      </c>
      <c r="E914" s="20">
        <v>200000</v>
      </c>
      <c r="F914" s="21">
        <v>7272000</v>
      </c>
      <c r="G914" s="22">
        <v>36.36</v>
      </c>
      <c r="H914" s="21">
        <f>ROUND(G914*E914,0)</f>
        <v>7272000</v>
      </c>
      <c r="I914" s="21">
        <f>H914-F914</f>
        <v>0</v>
      </c>
      <c r="J914" s="23"/>
      <c r="K914" s="24" t="s">
        <v>1644</v>
      </c>
      <c r="L914" s="35">
        <v>0</v>
      </c>
    </row>
    <row r="915" spans="1:12" x14ac:dyDescent="0.25">
      <c r="A915" s="16" t="s">
        <v>140</v>
      </c>
      <c r="B915" s="36" t="s">
        <v>1645</v>
      </c>
      <c r="C915" s="18">
        <v>26.4</v>
      </c>
      <c r="D915" s="19" t="s">
        <v>23</v>
      </c>
      <c r="E915" s="20">
        <v>54647.67</v>
      </c>
      <c r="F915" s="21">
        <v>1442699</v>
      </c>
      <c r="G915" s="22">
        <v>26.4</v>
      </c>
      <c r="H915" s="21">
        <f>ROUND(G915*E915,0)</f>
        <v>1442699</v>
      </c>
      <c r="I915" s="21">
        <f>H915-F915</f>
        <v>0</v>
      </c>
      <c r="J915" s="23"/>
      <c r="K915" s="24" t="s">
        <v>1646</v>
      </c>
      <c r="L915" s="35">
        <v>0</v>
      </c>
    </row>
    <row r="916" spans="1:12" x14ac:dyDescent="0.25">
      <c r="A916" s="16" t="s">
        <v>143</v>
      </c>
      <c r="B916" s="36" t="s">
        <v>1647</v>
      </c>
      <c r="C916" s="18">
        <v>26.4</v>
      </c>
      <c r="D916" s="19" t="s">
        <v>23</v>
      </c>
      <c r="E916" s="20">
        <v>45520.53</v>
      </c>
      <c r="F916" s="21">
        <v>1201742</v>
      </c>
      <c r="G916" s="22">
        <v>26.4</v>
      </c>
      <c r="H916" s="21">
        <f>ROUND(G916*E916,0)</f>
        <v>1201742</v>
      </c>
      <c r="I916" s="21">
        <f>H916-F916</f>
        <v>0</v>
      </c>
      <c r="J916" s="23"/>
      <c r="K916" s="24" t="s">
        <v>1648</v>
      </c>
      <c r="L916" s="35">
        <v>0</v>
      </c>
    </row>
    <row r="917" spans="1:12" x14ac:dyDescent="0.25">
      <c r="A917" s="16" t="s">
        <v>146</v>
      </c>
      <c r="B917" s="36" t="s">
        <v>253</v>
      </c>
      <c r="C917" s="18">
        <v>132</v>
      </c>
      <c r="D917" s="19" t="s">
        <v>38</v>
      </c>
      <c r="E917" s="20">
        <v>54483.92</v>
      </c>
      <c r="F917" s="21">
        <v>7191877</v>
      </c>
      <c r="G917" s="22">
        <v>132</v>
      </c>
      <c r="H917" s="21">
        <f>ROUND(G917*E917,0)</f>
        <v>7191877</v>
      </c>
      <c r="I917" s="21">
        <f>H917-F917</f>
        <v>0</v>
      </c>
      <c r="J917" s="23"/>
      <c r="K917" s="24" t="s">
        <v>1649</v>
      </c>
      <c r="L917" s="35">
        <v>0</v>
      </c>
    </row>
    <row r="918" spans="1:12" s="26" customFormat="1" x14ac:dyDescent="0.25">
      <c r="A918" s="27" t="s">
        <v>150</v>
      </c>
      <c r="B918" s="33" t="s">
        <v>1650</v>
      </c>
      <c r="C918" s="29"/>
      <c r="D918" s="30"/>
      <c r="E918" s="30"/>
      <c r="F918" s="31">
        <v>16018444</v>
      </c>
      <c r="G918" s="30"/>
      <c r="H918" s="29"/>
      <c r="I918" s="29"/>
      <c r="J918" s="30"/>
      <c r="K918" s="32" t="s">
        <v>1651</v>
      </c>
      <c r="L918" s="29"/>
    </row>
    <row r="919" spans="1:12" x14ac:dyDescent="0.25">
      <c r="A919" s="16" t="s">
        <v>153</v>
      </c>
      <c r="B919" s="34" t="s">
        <v>1292</v>
      </c>
      <c r="C919" s="18">
        <v>18</v>
      </c>
      <c r="D919" s="19" t="s">
        <v>23</v>
      </c>
      <c r="E919" s="20">
        <v>222495.38</v>
      </c>
      <c r="F919" s="21">
        <v>4004917</v>
      </c>
      <c r="G919" s="22">
        <v>18</v>
      </c>
      <c r="H919" s="21">
        <f>ROUND(G919*E919,0)</f>
        <v>4004917</v>
      </c>
      <c r="I919" s="21">
        <f>H919-F919</f>
        <v>0</v>
      </c>
      <c r="J919" s="23"/>
      <c r="K919" s="24" t="s">
        <v>1652</v>
      </c>
      <c r="L919" s="35">
        <v>0</v>
      </c>
    </row>
    <row r="920" spans="1:12" x14ac:dyDescent="0.25">
      <c r="A920" s="16" t="s">
        <v>157</v>
      </c>
      <c r="B920" s="34" t="s">
        <v>289</v>
      </c>
      <c r="C920" s="18">
        <v>462.6</v>
      </c>
      <c r="D920" s="19" t="s">
        <v>229</v>
      </c>
      <c r="E920" s="20">
        <v>19248.5</v>
      </c>
      <c r="F920" s="21">
        <v>8904356</v>
      </c>
      <c r="G920" s="22">
        <v>462.6</v>
      </c>
      <c r="H920" s="21">
        <f>ROUND(G920*E920,0)</f>
        <v>8904356</v>
      </c>
      <c r="I920" s="21">
        <f>H920-F920</f>
        <v>0</v>
      </c>
      <c r="J920" s="23"/>
      <c r="K920" s="24" t="s">
        <v>1653</v>
      </c>
      <c r="L920" s="35">
        <v>0</v>
      </c>
    </row>
    <row r="921" spans="1:12" x14ac:dyDescent="0.25">
      <c r="A921" s="16" t="s">
        <v>160</v>
      </c>
      <c r="B921" s="34" t="s">
        <v>377</v>
      </c>
      <c r="C921" s="18">
        <v>2.7</v>
      </c>
      <c r="D921" s="19" t="s">
        <v>214</v>
      </c>
      <c r="E921" s="20">
        <v>1151545.01</v>
      </c>
      <c r="F921" s="21">
        <v>3109171</v>
      </c>
      <c r="G921" s="22">
        <v>2.7</v>
      </c>
      <c r="H921" s="21">
        <f>ROUND(G921*E921,0)</f>
        <v>3109171</v>
      </c>
      <c r="I921" s="21">
        <f>H921-F921</f>
        <v>0</v>
      </c>
      <c r="J921" s="23"/>
      <c r="K921" s="24" t="s">
        <v>1654</v>
      </c>
      <c r="L921" s="35">
        <v>0</v>
      </c>
    </row>
    <row r="922" spans="1:12" s="26" customFormat="1" x14ac:dyDescent="0.25">
      <c r="A922" s="27" t="s">
        <v>175</v>
      </c>
      <c r="B922" s="33" t="s">
        <v>1655</v>
      </c>
      <c r="C922" s="29"/>
      <c r="D922" s="30"/>
      <c r="E922" s="30"/>
      <c r="F922" s="31">
        <v>28878104</v>
      </c>
      <c r="G922" s="30"/>
      <c r="H922" s="29"/>
      <c r="I922" s="29"/>
      <c r="J922" s="30"/>
      <c r="K922" s="32" t="s">
        <v>1656</v>
      </c>
      <c r="L922" s="29"/>
    </row>
    <row r="923" spans="1:12" x14ac:dyDescent="0.25">
      <c r="A923" s="16" t="s">
        <v>178</v>
      </c>
      <c r="B923" s="34" t="s">
        <v>1635</v>
      </c>
      <c r="C923" s="18">
        <v>7.26</v>
      </c>
      <c r="D923" s="19" t="s">
        <v>214</v>
      </c>
      <c r="E923" s="20">
        <v>56660.36</v>
      </c>
      <c r="F923" s="21">
        <v>411354</v>
      </c>
      <c r="G923" s="22">
        <v>7.26</v>
      </c>
      <c r="H923" s="21">
        <f>ROUND(G923*E923,0)</f>
        <v>411354</v>
      </c>
      <c r="I923" s="21">
        <f>H923-F923</f>
        <v>0</v>
      </c>
      <c r="J923" s="23"/>
      <c r="K923" s="24" t="s">
        <v>1657</v>
      </c>
      <c r="L923" s="35">
        <v>0</v>
      </c>
    </row>
    <row r="924" spans="1:12" x14ac:dyDescent="0.25">
      <c r="A924" s="16" t="s">
        <v>181</v>
      </c>
      <c r="B924" s="34" t="s">
        <v>258</v>
      </c>
      <c r="C924" s="18">
        <v>28.8</v>
      </c>
      <c r="D924" s="19" t="s">
        <v>23</v>
      </c>
      <c r="E924" s="20">
        <v>246976.42</v>
      </c>
      <c r="F924" s="21">
        <v>7112921</v>
      </c>
      <c r="G924" s="22">
        <v>28.8</v>
      </c>
      <c r="H924" s="21">
        <f>ROUND(G924*E924,0)</f>
        <v>7112921</v>
      </c>
      <c r="I924" s="21">
        <f>H924-F924</f>
        <v>0</v>
      </c>
      <c r="J924" s="23"/>
      <c r="K924" s="24" t="s">
        <v>1658</v>
      </c>
      <c r="L924" s="35">
        <v>0</v>
      </c>
    </row>
    <row r="925" spans="1:12" x14ac:dyDescent="0.25">
      <c r="A925" s="16" t="s">
        <v>411</v>
      </c>
      <c r="B925" s="34" t="s">
        <v>289</v>
      </c>
      <c r="C925" s="18">
        <v>221.92</v>
      </c>
      <c r="D925" s="19" t="s">
        <v>229</v>
      </c>
      <c r="E925" s="20">
        <v>13176.23</v>
      </c>
      <c r="F925" s="21">
        <v>2924069</v>
      </c>
      <c r="G925" s="22">
        <v>221.92</v>
      </c>
      <c r="H925" s="21">
        <f>ROUND(G925*E925,0)</f>
        <v>2924069</v>
      </c>
      <c r="I925" s="21">
        <f>H925-F925</f>
        <v>0</v>
      </c>
      <c r="J925" s="23"/>
      <c r="K925" s="24" t="s">
        <v>1659</v>
      </c>
      <c r="L925" s="35">
        <v>0</v>
      </c>
    </row>
    <row r="926" spans="1:12" x14ac:dyDescent="0.25">
      <c r="A926" s="16" t="s">
        <v>413</v>
      </c>
      <c r="B926" s="34" t="s">
        <v>377</v>
      </c>
      <c r="C926" s="18">
        <v>2.11</v>
      </c>
      <c r="D926" s="19" t="s">
        <v>214</v>
      </c>
      <c r="E926" s="20">
        <v>1151545.01</v>
      </c>
      <c r="F926" s="21">
        <v>2429760</v>
      </c>
      <c r="G926" s="22">
        <v>2.11</v>
      </c>
      <c r="H926" s="21">
        <f>ROUND(G926*E926,0)</f>
        <v>2429760</v>
      </c>
      <c r="I926" s="21">
        <f>H926-F926</f>
        <v>0</v>
      </c>
      <c r="J926" s="23"/>
      <c r="K926" s="24" t="s">
        <v>1660</v>
      </c>
      <c r="L926" s="35">
        <v>0</v>
      </c>
    </row>
    <row r="927" spans="1:12" x14ac:dyDescent="0.25">
      <c r="A927" s="16" t="s">
        <v>1661</v>
      </c>
      <c r="B927" s="34" t="s">
        <v>1662</v>
      </c>
      <c r="C927" s="18">
        <v>5</v>
      </c>
      <c r="D927" s="19" t="s">
        <v>31</v>
      </c>
      <c r="E927" s="20">
        <v>3200000</v>
      </c>
      <c r="F927" s="21">
        <v>16000000</v>
      </c>
      <c r="G927" s="22">
        <v>5</v>
      </c>
      <c r="H927" s="21">
        <f>ROUND(G927*E927,0)</f>
        <v>16000000</v>
      </c>
      <c r="I927" s="21">
        <f>H927-F927</f>
        <v>0</v>
      </c>
      <c r="J927" s="23"/>
      <c r="K927" s="24" t="s">
        <v>1663</v>
      </c>
      <c r="L927" s="35">
        <v>0</v>
      </c>
    </row>
    <row r="928" spans="1:12" s="26" customFormat="1" x14ac:dyDescent="0.25">
      <c r="A928" s="27" t="s">
        <v>184</v>
      </c>
      <c r="B928" s="33" t="s">
        <v>1664</v>
      </c>
      <c r="C928" s="29"/>
      <c r="D928" s="30"/>
      <c r="E928" s="30"/>
      <c r="F928" s="31">
        <v>39487480</v>
      </c>
      <c r="G928" s="30"/>
      <c r="H928" s="29"/>
      <c r="I928" s="29"/>
      <c r="J928" s="30"/>
      <c r="K928" s="32" t="s">
        <v>1665</v>
      </c>
      <c r="L928" s="29"/>
    </row>
    <row r="929" spans="1:12" x14ac:dyDescent="0.25">
      <c r="A929" s="16" t="s">
        <v>187</v>
      </c>
      <c r="B929" s="34" t="s">
        <v>1635</v>
      </c>
      <c r="C929" s="18">
        <v>119.67</v>
      </c>
      <c r="D929" s="19" t="s">
        <v>214</v>
      </c>
      <c r="E929" s="20">
        <v>56660.36</v>
      </c>
      <c r="F929" s="21">
        <v>6780545</v>
      </c>
      <c r="G929" s="22">
        <v>119.67</v>
      </c>
      <c r="H929" s="21">
        <f>ROUND(G929*E929,0)</f>
        <v>6780545</v>
      </c>
      <c r="I929" s="21">
        <f>H929-F929</f>
        <v>0</v>
      </c>
      <c r="J929" s="23"/>
      <c r="K929" s="24" t="s">
        <v>1666</v>
      </c>
      <c r="L929" s="35">
        <v>0</v>
      </c>
    </row>
    <row r="930" spans="1:12" x14ac:dyDescent="0.25">
      <c r="A930" s="16" t="s">
        <v>190</v>
      </c>
      <c r="B930" s="34" t="s">
        <v>462</v>
      </c>
      <c r="C930" s="18">
        <v>5.44</v>
      </c>
      <c r="D930" s="19" t="s">
        <v>214</v>
      </c>
      <c r="E930" s="20">
        <v>345522.98</v>
      </c>
      <c r="F930" s="21">
        <v>1879645</v>
      </c>
      <c r="G930" s="22">
        <v>5.44</v>
      </c>
      <c r="H930" s="21">
        <f>ROUND(G930*E930,0)</f>
        <v>1879645</v>
      </c>
      <c r="I930" s="21">
        <f>H930-F930</f>
        <v>0</v>
      </c>
      <c r="J930" s="23"/>
      <c r="K930" s="24" t="s">
        <v>1667</v>
      </c>
      <c r="L930" s="35">
        <v>0</v>
      </c>
    </row>
    <row r="931" spans="1:12" x14ac:dyDescent="0.25">
      <c r="A931" s="16" t="s">
        <v>826</v>
      </c>
      <c r="B931" s="34" t="s">
        <v>1383</v>
      </c>
      <c r="C931" s="18">
        <v>72.53</v>
      </c>
      <c r="D931" s="19" t="s">
        <v>23</v>
      </c>
      <c r="E931" s="20">
        <v>122466.89</v>
      </c>
      <c r="F931" s="21">
        <v>8882524</v>
      </c>
      <c r="G931" s="22">
        <v>72.53</v>
      </c>
      <c r="H931" s="21">
        <f>ROUND(G931*E931,0)</f>
        <v>8882524</v>
      </c>
      <c r="I931" s="21">
        <f>H931-F931</f>
        <v>0</v>
      </c>
      <c r="J931" s="23"/>
      <c r="K931" s="24" t="s">
        <v>1668</v>
      </c>
      <c r="L931" s="35">
        <v>0</v>
      </c>
    </row>
    <row r="932" spans="1:12" x14ac:dyDescent="0.25">
      <c r="A932" s="16" t="s">
        <v>829</v>
      </c>
      <c r="B932" s="34" t="s">
        <v>447</v>
      </c>
      <c r="C932" s="18">
        <v>188.33</v>
      </c>
      <c r="D932" s="19" t="s">
        <v>23</v>
      </c>
      <c r="E932" s="20">
        <v>54647.67</v>
      </c>
      <c r="F932" s="21">
        <v>10291796</v>
      </c>
      <c r="G932" s="22">
        <v>188.33</v>
      </c>
      <c r="H932" s="21">
        <f>ROUND(G932*E932,0)</f>
        <v>10291796</v>
      </c>
      <c r="I932" s="21">
        <f>H932-F932</f>
        <v>0</v>
      </c>
      <c r="J932" s="23"/>
      <c r="K932" s="24" t="s">
        <v>1669</v>
      </c>
      <c r="L932" s="35">
        <v>0</v>
      </c>
    </row>
    <row r="933" spans="1:12" x14ac:dyDescent="0.25">
      <c r="A933" s="16" t="s">
        <v>1670</v>
      </c>
      <c r="B933" s="34" t="s">
        <v>1647</v>
      </c>
      <c r="C933" s="18">
        <v>188.33</v>
      </c>
      <c r="D933" s="19" t="s">
        <v>23</v>
      </c>
      <c r="E933" s="20">
        <v>45520.53</v>
      </c>
      <c r="F933" s="21">
        <v>8572881</v>
      </c>
      <c r="G933" s="22">
        <v>188.33</v>
      </c>
      <c r="H933" s="21">
        <f>ROUND(G933*E933,0)</f>
        <v>8572881</v>
      </c>
      <c r="I933" s="21">
        <f>H933-F933</f>
        <v>0</v>
      </c>
      <c r="J933" s="23"/>
      <c r="K933" s="24" t="s">
        <v>1671</v>
      </c>
      <c r="L933" s="35">
        <v>0</v>
      </c>
    </row>
    <row r="934" spans="1:12" x14ac:dyDescent="0.25">
      <c r="A934" s="16" t="s">
        <v>1672</v>
      </c>
      <c r="B934" s="34" t="s">
        <v>1673</v>
      </c>
      <c r="C934" s="18">
        <v>3.03</v>
      </c>
      <c r="D934" s="19" t="s">
        <v>214</v>
      </c>
      <c r="E934" s="20">
        <v>1016530.97</v>
      </c>
      <c r="F934" s="21">
        <v>3080089</v>
      </c>
      <c r="G934" s="22">
        <v>3.03</v>
      </c>
      <c r="H934" s="21">
        <f>ROUND(G934*E934,0)</f>
        <v>3080089</v>
      </c>
      <c r="I934" s="21">
        <f>H934-F934</f>
        <v>0</v>
      </c>
      <c r="J934" s="23"/>
      <c r="K934" s="24" t="s">
        <v>1674</v>
      </c>
      <c r="L934" s="35">
        <v>0</v>
      </c>
    </row>
    <row r="935" spans="1:12" s="26" customFormat="1" x14ac:dyDescent="0.25">
      <c r="A935" s="27" t="s">
        <v>1675</v>
      </c>
      <c r="B935" s="28" t="s">
        <v>1676</v>
      </c>
      <c r="C935" s="29"/>
      <c r="D935" s="30"/>
      <c r="E935" s="30"/>
      <c r="F935" s="31">
        <v>11082555</v>
      </c>
      <c r="G935" s="30"/>
      <c r="H935" s="29"/>
      <c r="I935" s="29"/>
      <c r="J935" s="30"/>
      <c r="K935" s="32" t="s">
        <v>1677</v>
      </c>
      <c r="L935" s="29"/>
    </row>
    <row r="936" spans="1:12" x14ac:dyDescent="0.25">
      <c r="A936" s="16" t="s">
        <v>21</v>
      </c>
      <c r="B936" s="36" t="s">
        <v>1678</v>
      </c>
      <c r="C936" s="18">
        <v>4</v>
      </c>
      <c r="D936" s="19" t="s">
        <v>38</v>
      </c>
      <c r="E936" s="20">
        <v>5066.5</v>
      </c>
      <c r="F936" s="21">
        <v>20266</v>
      </c>
      <c r="G936" s="22">
        <v>4</v>
      </c>
      <c r="H936" s="21">
        <f>ROUND(G936*E936,0)</f>
        <v>20266</v>
      </c>
      <c r="I936" s="21">
        <f>H936-F936</f>
        <v>0</v>
      </c>
      <c r="J936" s="23"/>
      <c r="K936" s="24" t="s">
        <v>1679</v>
      </c>
      <c r="L936" s="35">
        <v>0</v>
      </c>
    </row>
    <row r="937" spans="1:12" x14ac:dyDescent="0.25">
      <c r="A937" s="16" t="s">
        <v>25</v>
      </c>
      <c r="B937" s="36" t="s">
        <v>1680</v>
      </c>
      <c r="C937" s="18">
        <v>4.8</v>
      </c>
      <c r="D937" s="19" t="s">
        <v>214</v>
      </c>
      <c r="E937" s="20">
        <v>53756.99</v>
      </c>
      <c r="F937" s="21">
        <v>258034</v>
      </c>
      <c r="G937" s="22">
        <v>4.8</v>
      </c>
      <c r="H937" s="21">
        <f>ROUND(G937*E937,0)</f>
        <v>258034</v>
      </c>
      <c r="I937" s="21">
        <f>H937-F937</f>
        <v>0</v>
      </c>
      <c r="J937" s="23"/>
      <c r="K937" s="24" t="s">
        <v>1681</v>
      </c>
      <c r="L937" s="35">
        <v>0</v>
      </c>
    </row>
    <row r="938" spans="1:12" x14ac:dyDescent="0.25">
      <c r="A938" s="16" t="s">
        <v>29</v>
      </c>
      <c r="B938" s="36" t="s">
        <v>1682</v>
      </c>
      <c r="C938" s="18">
        <v>7.2</v>
      </c>
      <c r="D938" s="19" t="s">
        <v>214</v>
      </c>
      <c r="E938" s="20">
        <v>364825.99</v>
      </c>
      <c r="F938" s="21">
        <v>2626747</v>
      </c>
      <c r="G938" s="22">
        <v>7.2</v>
      </c>
      <c r="H938" s="21">
        <f>ROUND(G938*E938,0)</f>
        <v>2626747</v>
      </c>
      <c r="I938" s="21">
        <f>H938-F938</f>
        <v>0</v>
      </c>
      <c r="J938" s="23"/>
      <c r="K938" s="24" t="s">
        <v>1683</v>
      </c>
      <c r="L938" s="35">
        <v>0</v>
      </c>
    </row>
    <row r="939" spans="1:12" x14ac:dyDescent="0.25">
      <c r="A939" s="16" t="s">
        <v>33</v>
      </c>
      <c r="B939" s="36" t="s">
        <v>696</v>
      </c>
      <c r="C939" s="18">
        <v>2.4</v>
      </c>
      <c r="D939" s="19" t="s">
        <v>214</v>
      </c>
      <c r="E939" s="20">
        <v>190415.6</v>
      </c>
      <c r="F939" s="21">
        <v>456997</v>
      </c>
      <c r="G939" s="22">
        <v>2.4</v>
      </c>
      <c r="H939" s="21">
        <f>ROUND(G939*E939,0)</f>
        <v>456997</v>
      </c>
      <c r="I939" s="21">
        <f>H939-F939</f>
        <v>0</v>
      </c>
      <c r="J939" s="23"/>
      <c r="K939" s="24" t="s">
        <v>1684</v>
      </c>
      <c r="L939" s="35">
        <v>0</v>
      </c>
    </row>
    <row r="940" spans="1:12" x14ac:dyDescent="0.25">
      <c r="A940" s="16" t="s">
        <v>36</v>
      </c>
      <c r="B940" s="36" t="s">
        <v>698</v>
      </c>
      <c r="C940" s="18">
        <v>2.4</v>
      </c>
      <c r="D940" s="19" t="s">
        <v>214</v>
      </c>
      <c r="E940" s="20">
        <v>53756.99</v>
      </c>
      <c r="F940" s="21">
        <v>129017</v>
      </c>
      <c r="G940" s="22">
        <v>2.4</v>
      </c>
      <c r="H940" s="21">
        <f>ROUND(G940*E940,0)</f>
        <v>129017</v>
      </c>
      <c r="I940" s="21">
        <f>H940-F940</f>
        <v>0</v>
      </c>
      <c r="J940" s="23"/>
      <c r="K940" s="24" t="s">
        <v>1685</v>
      </c>
      <c r="L940" s="35">
        <v>0</v>
      </c>
    </row>
    <row r="941" spans="1:12" x14ac:dyDescent="0.25">
      <c r="A941" s="16" t="s">
        <v>40</v>
      </c>
      <c r="B941" s="36" t="s">
        <v>640</v>
      </c>
      <c r="C941" s="18">
        <v>1.2</v>
      </c>
      <c r="D941" s="19" t="s">
        <v>214</v>
      </c>
      <c r="E941" s="20">
        <v>1016530.97</v>
      </c>
      <c r="F941" s="21">
        <v>1219837</v>
      </c>
      <c r="G941" s="22">
        <v>1.2</v>
      </c>
      <c r="H941" s="21">
        <f>ROUND(G941*E941,0)</f>
        <v>1219837</v>
      </c>
      <c r="I941" s="21">
        <f>H941-F941</f>
        <v>0</v>
      </c>
      <c r="J941" s="23"/>
      <c r="K941" s="24" t="s">
        <v>1686</v>
      </c>
      <c r="L941" s="35">
        <v>0</v>
      </c>
    </row>
    <row r="942" spans="1:12" s="26" customFormat="1" x14ac:dyDescent="0.25">
      <c r="A942" s="27" t="s">
        <v>140</v>
      </c>
      <c r="B942" s="33" t="s">
        <v>1687</v>
      </c>
      <c r="C942" s="29"/>
      <c r="D942" s="30"/>
      <c r="E942" s="30"/>
      <c r="F942" s="31">
        <v>6371657</v>
      </c>
      <c r="G942" s="30"/>
      <c r="H942" s="29"/>
      <c r="I942" s="29"/>
      <c r="J942" s="30"/>
      <c r="K942" s="32" t="s">
        <v>1688</v>
      </c>
      <c r="L942" s="29"/>
    </row>
    <row r="943" spans="1:12" x14ac:dyDescent="0.25">
      <c r="A943" s="16" t="s">
        <v>301</v>
      </c>
      <c r="B943" s="34" t="s">
        <v>258</v>
      </c>
      <c r="C943" s="18">
        <v>1.2</v>
      </c>
      <c r="D943" s="19" t="s">
        <v>23</v>
      </c>
      <c r="E943" s="20">
        <v>246976.42</v>
      </c>
      <c r="F943" s="21">
        <v>296372</v>
      </c>
      <c r="G943" s="22">
        <v>1.2</v>
      </c>
      <c r="H943" s="21">
        <f>ROUND(G943*E943,0)</f>
        <v>296372</v>
      </c>
      <c r="I943" s="21">
        <f>H943-F943</f>
        <v>0</v>
      </c>
      <c r="J943" s="23"/>
      <c r="K943" s="24" t="s">
        <v>1689</v>
      </c>
      <c r="L943" s="35">
        <v>0</v>
      </c>
    </row>
    <row r="944" spans="1:12" x14ac:dyDescent="0.25">
      <c r="A944" s="16" t="s">
        <v>304</v>
      </c>
      <c r="B944" s="34" t="s">
        <v>1690</v>
      </c>
      <c r="C944" s="18">
        <v>24.8</v>
      </c>
      <c r="D944" s="19" t="s">
        <v>23</v>
      </c>
      <c r="E944" s="20">
        <v>24279.27</v>
      </c>
      <c r="F944" s="21">
        <v>602126</v>
      </c>
      <c r="G944" s="22">
        <v>24.8</v>
      </c>
      <c r="H944" s="21">
        <f>ROUND(G944*E944,0)</f>
        <v>602126</v>
      </c>
      <c r="I944" s="21">
        <f>H944-F944</f>
        <v>0</v>
      </c>
      <c r="J944" s="23"/>
      <c r="K944" s="24" t="s">
        <v>1691</v>
      </c>
      <c r="L944" s="35">
        <v>0</v>
      </c>
    </row>
    <row r="945" spans="1:12" x14ac:dyDescent="0.25">
      <c r="A945" s="16" t="s">
        <v>307</v>
      </c>
      <c r="B945" s="34" t="s">
        <v>1692</v>
      </c>
      <c r="C945" s="18">
        <v>0.462</v>
      </c>
      <c r="D945" s="19" t="s">
        <v>229</v>
      </c>
      <c r="E945" s="20">
        <v>795247.21</v>
      </c>
      <c r="F945" s="21">
        <v>367404</v>
      </c>
      <c r="G945" s="22">
        <v>0.462</v>
      </c>
      <c r="H945" s="21">
        <f>ROUND(G945*E945,0)</f>
        <v>367404</v>
      </c>
      <c r="I945" s="21">
        <f>H945-F945</f>
        <v>0</v>
      </c>
      <c r="J945" s="23"/>
      <c r="K945" s="24" t="s">
        <v>1693</v>
      </c>
      <c r="L945" s="35">
        <v>0</v>
      </c>
    </row>
    <row r="946" spans="1:12" x14ac:dyDescent="0.25">
      <c r="A946" s="16" t="s">
        <v>310</v>
      </c>
      <c r="B946" s="34" t="s">
        <v>1694</v>
      </c>
      <c r="C946" s="18">
        <v>14.4</v>
      </c>
      <c r="D946" s="19" t="s">
        <v>23</v>
      </c>
      <c r="E946" s="20">
        <v>11356.33</v>
      </c>
      <c r="F946" s="21">
        <v>163531</v>
      </c>
      <c r="G946" s="22">
        <v>14.4</v>
      </c>
      <c r="H946" s="21">
        <f>ROUND(G946*E946,0)</f>
        <v>163531</v>
      </c>
      <c r="I946" s="21">
        <f>H946-F946</f>
        <v>0</v>
      </c>
      <c r="J946" s="23"/>
      <c r="K946" s="24" t="s">
        <v>1695</v>
      </c>
      <c r="L946" s="35">
        <v>0</v>
      </c>
    </row>
    <row r="947" spans="1:12" x14ac:dyDescent="0.25">
      <c r="A947" s="16" t="s">
        <v>1696</v>
      </c>
      <c r="B947" s="34" t="s">
        <v>1697</v>
      </c>
      <c r="C947" s="18">
        <v>0</v>
      </c>
      <c r="D947" s="19" t="s">
        <v>836</v>
      </c>
      <c r="E947" s="20">
        <v>0</v>
      </c>
      <c r="F947" s="21">
        <v>0</v>
      </c>
      <c r="G947" s="22">
        <v>0</v>
      </c>
      <c r="H947" s="21">
        <f>ROUND(G947*E947,0)</f>
        <v>0</v>
      </c>
      <c r="I947" s="21">
        <f>H947-F947</f>
        <v>0</v>
      </c>
      <c r="J947" s="23"/>
      <c r="K947" s="24" t="s">
        <v>1698</v>
      </c>
      <c r="L947" s="35">
        <v>0</v>
      </c>
    </row>
    <row r="948" spans="1:12" x14ac:dyDescent="0.25">
      <c r="A948" s="16" t="s">
        <v>1699</v>
      </c>
      <c r="B948" s="34" t="s">
        <v>1700</v>
      </c>
      <c r="C948" s="18">
        <v>6.31</v>
      </c>
      <c r="D948" s="19" t="s">
        <v>229</v>
      </c>
      <c r="E948" s="20">
        <v>19248.5</v>
      </c>
      <c r="F948" s="21">
        <v>121458</v>
      </c>
      <c r="G948" s="22">
        <v>6.31</v>
      </c>
      <c r="H948" s="21">
        <f>ROUND(G948*E948,0)</f>
        <v>121458</v>
      </c>
      <c r="I948" s="21">
        <f>H948-F948</f>
        <v>0</v>
      </c>
      <c r="J948" s="23"/>
      <c r="K948" s="24" t="s">
        <v>1701</v>
      </c>
      <c r="L948" s="35">
        <v>0</v>
      </c>
    </row>
    <row r="949" spans="1:12" x14ac:dyDescent="0.25">
      <c r="A949" s="16" t="s">
        <v>1702</v>
      </c>
      <c r="B949" s="34" t="s">
        <v>1703</v>
      </c>
      <c r="C949" s="18">
        <v>4.7</v>
      </c>
      <c r="D949" s="19" t="s">
        <v>229</v>
      </c>
      <c r="E949" s="20">
        <v>19248.5</v>
      </c>
      <c r="F949" s="21">
        <v>90468</v>
      </c>
      <c r="G949" s="22">
        <v>4.7</v>
      </c>
      <c r="H949" s="21">
        <f>ROUND(G949*E949,0)</f>
        <v>90468</v>
      </c>
      <c r="I949" s="21">
        <f>H949-F949</f>
        <v>0</v>
      </c>
      <c r="J949" s="23"/>
      <c r="K949" s="24" t="s">
        <v>1704</v>
      </c>
      <c r="L949" s="35">
        <v>0</v>
      </c>
    </row>
    <row r="950" spans="1:12" x14ac:dyDescent="0.25">
      <c r="A950" s="16" t="s">
        <v>1705</v>
      </c>
      <c r="B950" s="34" t="s">
        <v>1706</v>
      </c>
      <c r="C950" s="18">
        <v>10.21</v>
      </c>
      <c r="D950" s="19" t="s">
        <v>229</v>
      </c>
      <c r="E950" s="20">
        <v>19248.5</v>
      </c>
      <c r="F950" s="21">
        <v>196527</v>
      </c>
      <c r="G950" s="22">
        <v>10.21</v>
      </c>
      <c r="H950" s="21">
        <f>ROUND(G950*E950,0)</f>
        <v>196527</v>
      </c>
      <c r="I950" s="21">
        <f>H950-F950</f>
        <v>0</v>
      </c>
      <c r="J950" s="23"/>
      <c r="K950" s="24" t="s">
        <v>1707</v>
      </c>
      <c r="L950" s="35">
        <v>0</v>
      </c>
    </row>
    <row r="951" spans="1:12" x14ac:dyDescent="0.25">
      <c r="A951" s="16" t="s">
        <v>312</v>
      </c>
      <c r="B951" s="34" t="s">
        <v>1708</v>
      </c>
      <c r="C951" s="18">
        <v>5.6</v>
      </c>
      <c r="D951" s="19" t="s">
        <v>38</v>
      </c>
      <c r="E951" s="20">
        <v>43447.23</v>
      </c>
      <c r="F951" s="21">
        <v>243305</v>
      </c>
      <c r="G951" s="22">
        <v>5.6</v>
      </c>
      <c r="H951" s="21">
        <f>ROUND(G951*E951,0)</f>
        <v>243305</v>
      </c>
      <c r="I951" s="21">
        <f>H951-F951</f>
        <v>0</v>
      </c>
      <c r="J951" s="23"/>
      <c r="K951" s="24" t="s">
        <v>1709</v>
      </c>
      <c r="L951" s="35">
        <v>0</v>
      </c>
    </row>
    <row r="952" spans="1:12" x14ac:dyDescent="0.25">
      <c r="A952" s="16" t="s">
        <v>1710</v>
      </c>
      <c r="B952" s="34" t="s">
        <v>1711</v>
      </c>
      <c r="C952" s="18">
        <v>3.6</v>
      </c>
      <c r="D952" s="19" t="s">
        <v>214</v>
      </c>
      <c r="E952" s="20">
        <v>1151545.01</v>
      </c>
      <c r="F952" s="21">
        <v>4145562</v>
      </c>
      <c r="G952" s="22">
        <v>3.6</v>
      </c>
      <c r="H952" s="21">
        <f>ROUND(G952*E952,0)</f>
        <v>4145562</v>
      </c>
      <c r="I952" s="21">
        <f>H952-F952</f>
        <v>0</v>
      </c>
      <c r="J952" s="23"/>
      <c r="K952" s="24" t="s">
        <v>1712</v>
      </c>
      <c r="L952" s="35">
        <v>0</v>
      </c>
    </row>
    <row r="953" spans="1:12" x14ac:dyDescent="0.25">
      <c r="A953" s="16" t="s">
        <v>1713</v>
      </c>
      <c r="B953" s="34" t="s">
        <v>297</v>
      </c>
      <c r="C953" s="18">
        <v>3.6</v>
      </c>
      <c r="D953" s="19" t="s">
        <v>214</v>
      </c>
      <c r="E953" s="20">
        <v>40251.08</v>
      </c>
      <c r="F953" s="21">
        <v>144904</v>
      </c>
      <c r="G953" s="22">
        <v>3.6</v>
      </c>
      <c r="H953" s="21">
        <f>ROUND(G953*E953,0)</f>
        <v>144904</v>
      </c>
      <c r="I953" s="21">
        <f>H953-F953</f>
        <v>0</v>
      </c>
      <c r="J953" s="23"/>
      <c r="K953" s="24" t="s">
        <v>1714</v>
      </c>
      <c r="L953" s="35">
        <v>0</v>
      </c>
    </row>
    <row r="954" spans="1:12" s="26" customFormat="1" x14ac:dyDescent="0.25">
      <c r="A954" s="27" t="s">
        <v>1715</v>
      </c>
      <c r="B954" s="28" t="s">
        <v>1716</v>
      </c>
      <c r="C954" s="29"/>
      <c r="D954" s="30"/>
      <c r="E954" s="30"/>
      <c r="F954" s="31">
        <v>69592468</v>
      </c>
      <c r="G954" s="30"/>
      <c r="H954" s="29"/>
      <c r="I954" s="29"/>
      <c r="J954" s="30"/>
      <c r="K954" s="32" t="s">
        <v>1717</v>
      </c>
      <c r="L954" s="29"/>
    </row>
    <row r="955" spans="1:12" x14ac:dyDescent="0.25">
      <c r="A955" s="16" t="s">
        <v>21</v>
      </c>
      <c r="B955" s="36" t="s">
        <v>1718</v>
      </c>
      <c r="C955" s="18">
        <v>9.1</v>
      </c>
      <c r="D955" s="19" t="s">
        <v>214</v>
      </c>
      <c r="E955" s="20">
        <v>56660.36</v>
      </c>
      <c r="F955" s="21">
        <v>515609</v>
      </c>
      <c r="G955" s="22">
        <v>9.1</v>
      </c>
      <c r="H955" s="21">
        <f>ROUND(G955*E955,0)</f>
        <v>515609</v>
      </c>
      <c r="I955" s="21">
        <f>H955-F955</f>
        <v>0</v>
      </c>
      <c r="J955" s="23"/>
      <c r="K955" s="24" t="s">
        <v>1719</v>
      </c>
      <c r="L955" s="35">
        <v>0</v>
      </c>
    </row>
    <row r="956" spans="1:12" x14ac:dyDescent="0.25">
      <c r="A956" s="16" t="s">
        <v>25</v>
      </c>
      <c r="B956" s="36" t="s">
        <v>364</v>
      </c>
      <c r="C956" s="18">
        <v>4.55</v>
      </c>
      <c r="D956" s="19" t="s">
        <v>214</v>
      </c>
      <c r="E956" s="20">
        <v>345522.98</v>
      </c>
      <c r="F956" s="21">
        <v>1572130</v>
      </c>
      <c r="G956" s="22">
        <v>4.55</v>
      </c>
      <c r="H956" s="21">
        <f>ROUND(G956*E956,0)</f>
        <v>1572130</v>
      </c>
      <c r="I956" s="21">
        <f>H956-F956</f>
        <v>0</v>
      </c>
      <c r="J956" s="23"/>
      <c r="K956" s="24" t="s">
        <v>1720</v>
      </c>
      <c r="L956" s="35">
        <v>0</v>
      </c>
    </row>
    <row r="957" spans="1:12" x14ac:dyDescent="0.25">
      <c r="A957" s="16" t="s">
        <v>29</v>
      </c>
      <c r="B957" s="36" t="s">
        <v>1721</v>
      </c>
      <c r="C957" s="18">
        <v>145</v>
      </c>
      <c r="D957" s="19" t="s">
        <v>38</v>
      </c>
      <c r="E957" s="20">
        <v>287459.63</v>
      </c>
      <c r="F957" s="21">
        <v>41681646</v>
      </c>
      <c r="G957" s="22">
        <v>145</v>
      </c>
      <c r="H957" s="21">
        <f>ROUND(G957*E957,0)</f>
        <v>41681646</v>
      </c>
      <c r="I957" s="21">
        <f>H957-F957</f>
        <v>0</v>
      </c>
      <c r="J957" s="23"/>
      <c r="K957" s="24" t="s">
        <v>1722</v>
      </c>
      <c r="L957" s="35">
        <v>0</v>
      </c>
    </row>
    <row r="958" spans="1:12" x14ac:dyDescent="0.25">
      <c r="A958" s="16" t="s">
        <v>33</v>
      </c>
      <c r="B958" s="36" t="s">
        <v>1723</v>
      </c>
      <c r="C958" s="18">
        <v>10.92</v>
      </c>
      <c r="D958" s="19" t="s">
        <v>214</v>
      </c>
      <c r="E958" s="20">
        <v>124258.76</v>
      </c>
      <c r="F958" s="21">
        <v>1356906</v>
      </c>
      <c r="G958" s="22">
        <v>10.92</v>
      </c>
      <c r="H958" s="21">
        <f>ROUND(G958*E958,0)</f>
        <v>1356906</v>
      </c>
      <c r="I958" s="21">
        <f>H958-F958</f>
        <v>0</v>
      </c>
      <c r="J958" s="23"/>
      <c r="K958" s="24" t="s">
        <v>1724</v>
      </c>
      <c r="L958" s="35">
        <v>0</v>
      </c>
    </row>
    <row r="959" spans="1:12" x14ac:dyDescent="0.25">
      <c r="A959" s="16" t="s">
        <v>36</v>
      </c>
      <c r="B959" s="36" t="s">
        <v>324</v>
      </c>
      <c r="C959" s="18">
        <v>6.37</v>
      </c>
      <c r="D959" s="19" t="s">
        <v>214</v>
      </c>
      <c r="E959" s="20">
        <v>345522.98</v>
      </c>
      <c r="F959" s="21">
        <v>2200981</v>
      </c>
      <c r="G959" s="22">
        <v>6.37</v>
      </c>
      <c r="H959" s="21">
        <f>ROUND(G959*E959,0)</f>
        <v>2200981</v>
      </c>
      <c r="I959" s="21">
        <f>H959-F959</f>
        <v>0</v>
      </c>
      <c r="J959" s="23"/>
      <c r="K959" s="24" t="s">
        <v>1725</v>
      </c>
      <c r="L959" s="35">
        <v>0</v>
      </c>
    </row>
    <row r="960" spans="1:12" x14ac:dyDescent="0.25">
      <c r="A960" s="16" t="s">
        <v>40</v>
      </c>
      <c r="B960" s="36" t="s">
        <v>1726</v>
      </c>
      <c r="C960" s="18">
        <v>6.37</v>
      </c>
      <c r="D960" s="19" t="s">
        <v>214</v>
      </c>
      <c r="E960" s="20">
        <v>53756.99</v>
      </c>
      <c r="F960" s="21">
        <v>342432</v>
      </c>
      <c r="G960" s="22">
        <v>6.37</v>
      </c>
      <c r="H960" s="21">
        <f>ROUND(G960*E960,0)</f>
        <v>342432</v>
      </c>
      <c r="I960" s="21">
        <f>H960-F960</f>
        <v>0</v>
      </c>
      <c r="J960" s="23"/>
      <c r="K960" s="24" t="s">
        <v>1727</v>
      </c>
      <c r="L960" s="35">
        <v>0</v>
      </c>
    </row>
    <row r="961" spans="1:12" x14ac:dyDescent="0.25">
      <c r="A961" s="16" t="s">
        <v>140</v>
      </c>
      <c r="B961" s="36" t="s">
        <v>1728</v>
      </c>
      <c r="C961" s="18">
        <v>91</v>
      </c>
      <c r="D961" s="19" t="s">
        <v>23</v>
      </c>
      <c r="E961" s="20">
        <v>240909.49</v>
      </c>
      <c r="F961" s="21">
        <v>21922764</v>
      </c>
      <c r="G961" s="22">
        <v>91</v>
      </c>
      <c r="H961" s="21">
        <f>ROUND(G961*E961,0)</f>
        <v>21922764</v>
      </c>
      <c r="I961" s="21">
        <f>H961-F961</f>
        <v>0</v>
      </c>
      <c r="J961" s="23"/>
      <c r="K961" s="24" t="s">
        <v>1729</v>
      </c>
      <c r="L961" s="35">
        <v>0</v>
      </c>
    </row>
    <row r="962" spans="1:12" s="8" customFormat="1" x14ac:dyDescent="0.25">
      <c r="A962" s="9" t="s">
        <v>1730</v>
      </c>
      <c r="B962" s="10" t="s">
        <v>1731</v>
      </c>
      <c r="C962" s="11"/>
      <c r="D962" s="12"/>
      <c r="E962" s="12"/>
      <c r="F962" s="13">
        <v>10495186</v>
      </c>
      <c r="G962" s="12"/>
      <c r="H962" s="11"/>
      <c r="I962" s="11"/>
      <c r="J962" s="12"/>
      <c r="K962" s="14" t="s">
        <v>1730</v>
      </c>
      <c r="L962" s="15"/>
    </row>
    <row r="963" spans="1:12" x14ac:dyDescent="0.25">
      <c r="A963" s="16" t="s">
        <v>21</v>
      </c>
      <c r="B963" s="17" t="s">
        <v>1732</v>
      </c>
      <c r="C963" s="18">
        <v>442</v>
      </c>
      <c r="D963" s="19" t="s">
        <v>23</v>
      </c>
      <c r="E963" s="20">
        <v>10015.24</v>
      </c>
      <c r="F963" s="21">
        <v>4426736</v>
      </c>
      <c r="G963" s="22">
        <v>442</v>
      </c>
      <c r="H963" s="21">
        <f>ROUND(G963*E963,0)</f>
        <v>4426736</v>
      </c>
      <c r="I963" s="21">
        <f>H963-F963</f>
        <v>0</v>
      </c>
      <c r="J963" s="23"/>
      <c r="K963" s="24" t="s">
        <v>1733</v>
      </c>
      <c r="L963" s="35">
        <v>0</v>
      </c>
    </row>
    <row r="964" spans="1:12" x14ac:dyDescent="0.25">
      <c r="A964" s="16" t="s">
        <v>25</v>
      </c>
      <c r="B964" s="17" t="s">
        <v>1734</v>
      </c>
      <c r="C964" s="18">
        <v>2</v>
      </c>
      <c r="D964" s="19" t="s">
        <v>1735</v>
      </c>
      <c r="E964" s="20">
        <v>832939.96</v>
      </c>
      <c r="F964" s="21">
        <v>1665880</v>
      </c>
      <c r="G964" s="22">
        <v>2</v>
      </c>
      <c r="H964" s="21">
        <f>ROUND(G964*E964,0)</f>
        <v>1665880</v>
      </c>
      <c r="I964" s="21">
        <f>H964-F964</f>
        <v>0</v>
      </c>
      <c r="J964" s="23"/>
      <c r="K964" s="24" t="s">
        <v>1736</v>
      </c>
      <c r="L964" s="35">
        <v>0</v>
      </c>
    </row>
    <row r="965" spans="1:12" x14ac:dyDescent="0.25">
      <c r="A965" s="16" t="s">
        <v>29</v>
      </c>
      <c r="B965" s="17" t="s">
        <v>1737</v>
      </c>
      <c r="C965" s="18">
        <v>2</v>
      </c>
      <c r="D965" s="19" t="s">
        <v>1735</v>
      </c>
      <c r="E965" s="20">
        <v>701342.5</v>
      </c>
      <c r="F965" s="21">
        <v>1402685</v>
      </c>
      <c r="G965" s="22">
        <v>2</v>
      </c>
      <c r="H965" s="21">
        <f>ROUND(G965*E965,0)</f>
        <v>1402685</v>
      </c>
      <c r="I965" s="21">
        <f>H965-F965</f>
        <v>0</v>
      </c>
      <c r="J965" s="23"/>
      <c r="K965" s="24" t="s">
        <v>1738</v>
      </c>
      <c r="L965" s="35">
        <v>0</v>
      </c>
    </row>
    <row r="966" spans="1:12" x14ac:dyDescent="0.25">
      <c r="A966" s="16" t="s">
        <v>33</v>
      </c>
      <c r="B966" s="17" t="s">
        <v>1739</v>
      </c>
      <c r="C966" s="18">
        <v>2</v>
      </c>
      <c r="D966" s="19" t="s">
        <v>1735</v>
      </c>
      <c r="E966" s="20">
        <v>713609.08</v>
      </c>
      <c r="F966" s="21">
        <v>1427218</v>
      </c>
      <c r="G966" s="22">
        <v>2</v>
      </c>
      <c r="H966" s="21">
        <f>ROUND(G966*E966,0)</f>
        <v>1427218</v>
      </c>
      <c r="I966" s="21">
        <f>H966-F966</f>
        <v>0</v>
      </c>
      <c r="J966" s="23"/>
      <c r="K966" s="24" t="s">
        <v>1740</v>
      </c>
      <c r="L966" s="35">
        <v>0</v>
      </c>
    </row>
    <row r="967" spans="1:12" x14ac:dyDescent="0.25">
      <c r="A967" s="16" t="s">
        <v>36</v>
      </c>
      <c r="B967" s="17" t="s">
        <v>1741</v>
      </c>
      <c r="C967" s="18">
        <v>2</v>
      </c>
      <c r="D967" s="19" t="s">
        <v>1735</v>
      </c>
      <c r="E967" s="20">
        <v>786333.46</v>
      </c>
      <c r="F967" s="21">
        <v>1572667</v>
      </c>
      <c r="G967" s="22">
        <v>2</v>
      </c>
      <c r="H967" s="21">
        <f>ROUND(G967*E967,0)</f>
        <v>1572667</v>
      </c>
      <c r="I967" s="21">
        <f>H967-F967</f>
        <v>0</v>
      </c>
      <c r="J967" s="23"/>
      <c r="K967" s="24" t="s">
        <v>1742</v>
      </c>
      <c r="L967" s="35">
        <v>0</v>
      </c>
    </row>
    <row r="968" spans="1:12" s="8" customFormat="1" x14ac:dyDescent="0.25">
      <c r="A968" s="9" t="s">
        <v>1743</v>
      </c>
      <c r="B968" s="10" t="s">
        <v>1744</v>
      </c>
      <c r="C968" s="11"/>
      <c r="D968" s="12"/>
      <c r="E968" s="12"/>
      <c r="F968" s="13">
        <v>115569525</v>
      </c>
      <c r="G968" s="12"/>
      <c r="H968" s="11"/>
      <c r="I968" s="11"/>
      <c r="J968" s="12"/>
      <c r="K968" s="14" t="s">
        <v>1743</v>
      </c>
      <c r="L968" s="15"/>
    </row>
    <row r="969" spans="1:12" x14ac:dyDescent="0.25">
      <c r="A969" s="16" t="s">
        <v>21</v>
      </c>
      <c r="B969" s="17" t="s">
        <v>1745</v>
      </c>
      <c r="C969" s="18">
        <v>411.4</v>
      </c>
      <c r="D969" s="19" t="s">
        <v>214</v>
      </c>
      <c r="E969" s="20">
        <v>124258.76</v>
      </c>
      <c r="F969" s="21">
        <v>51120054</v>
      </c>
      <c r="G969" s="22">
        <v>411.4</v>
      </c>
      <c r="H969" s="21">
        <f>ROUND(G969*E969,0)</f>
        <v>51120054</v>
      </c>
      <c r="I969" s="21">
        <f>H969-F969</f>
        <v>0</v>
      </c>
      <c r="J969" s="23"/>
      <c r="K969" s="24" t="s">
        <v>1746</v>
      </c>
      <c r="L969" s="25">
        <v>161</v>
      </c>
    </row>
    <row r="970" spans="1:12" x14ac:dyDescent="0.25">
      <c r="A970" s="16" t="s">
        <v>25</v>
      </c>
      <c r="B970" s="17" t="s">
        <v>1747</v>
      </c>
      <c r="C970" s="18">
        <v>411.4</v>
      </c>
      <c r="D970" s="19" t="s">
        <v>214</v>
      </c>
      <c r="E970" s="20">
        <v>156658.9</v>
      </c>
      <c r="F970" s="21">
        <v>64449471</v>
      </c>
      <c r="G970" s="22">
        <v>411.4</v>
      </c>
      <c r="H970" s="21">
        <f>ROUND(G970*E970,0)</f>
        <v>64449471</v>
      </c>
      <c r="I970" s="21">
        <f>H970-F970</f>
        <v>0</v>
      </c>
      <c r="J970" s="23"/>
      <c r="K970" s="24" t="s">
        <v>1748</v>
      </c>
      <c r="L970" s="25">
        <v>105</v>
      </c>
    </row>
    <row r="971" spans="1:12" s="8" customFormat="1" x14ac:dyDescent="0.25">
      <c r="A971" s="9" t="s">
        <v>1749</v>
      </c>
      <c r="B971" s="10" t="s">
        <v>1750</v>
      </c>
      <c r="C971" s="11"/>
      <c r="D971" s="12"/>
      <c r="E971" s="12"/>
      <c r="F971" s="13">
        <v>318286865</v>
      </c>
      <c r="G971" s="12"/>
      <c r="H971" s="11"/>
      <c r="I971" s="11"/>
      <c r="J971" s="12"/>
      <c r="K971" s="14" t="s">
        <v>1749</v>
      </c>
      <c r="L971" s="15"/>
    </row>
    <row r="972" spans="1:12" s="26" customFormat="1" x14ac:dyDescent="0.25">
      <c r="A972" s="27" t="s">
        <v>1751</v>
      </c>
      <c r="B972" s="28" t="s">
        <v>317</v>
      </c>
      <c r="C972" s="29"/>
      <c r="D972" s="30"/>
      <c r="E972" s="30"/>
      <c r="F972" s="31">
        <v>145211050</v>
      </c>
      <c r="G972" s="30"/>
      <c r="H972" s="29"/>
      <c r="I972" s="29"/>
      <c r="J972" s="30"/>
      <c r="K972" s="32" t="s">
        <v>1752</v>
      </c>
      <c r="L972" s="29"/>
    </row>
    <row r="973" spans="1:12" x14ac:dyDescent="0.25">
      <c r="A973" s="16" t="s">
        <v>21</v>
      </c>
      <c r="B973" s="36" t="s">
        <v>319</v>
      </c>
      <c r="C973" s="18">
        <v>48.2</v>
      </c>
      <c r="D973" s="19" t="s">
        <v>38</v>
      </c>
      <c r="E973" s="20">
        <v>147990.68</v>
      </c>
      <c r="F973" s="21">
        <v>7133151</v>
      </c>
      <c r="G973" s="22">
        <v>48.2</v>
      </c>
      <c r="H973" s="21">
        <f>ROUND(G973*E973,0)</f>
        <v>7133151</v>
      </c>
      <c r="I973" s="21">
        <f>H973-F973</f>
        <v>0</v>
      </c>
      <c r="J973" s="23"/>
      <c r="K973" s="24" t="s">
        <v>1753</v>
      </c>
      <c r="L973" s="25">
        <v>48.2</v>
      </c>
    </row>
    <row r="974" spans="1:12" s="26" customFormat="1" x14ac:dyDescent="0.25">
      <c r="A974" s="27" t="s">
        <v>25</v>
      </c>
      <c r="B974" s="33" t="s">
        <v>321</v>
      </c>
      <c r="C974" s="29"/>
      <c r="D974" s="30"/>
      <c r="E974" s="30"/>
      <c r="F974" s="31">
        <v>8860442</v>
      </c>
      <c r="G974" s="30"/>
      <c r="H974" s="29"/>
      <c r="I974" s="29"/>
      <c r="J974" s="30"/>
      <c r="K974" s="32" t="s">
        <v>1754</v>
      </c>
      <c r="L974" s="29"/>
    </row>
    <row r="975" spans="1:12" x14ac:dyDescent="0.25">
      <c r="A975" s="16" t="s">
        <v>224</v>
      </c>
      <c r="B975" s="34" t="s">
        <v>213</v>
      </c>
      <c r="C975" s="18">
        <v>9.6</v>
      </c>
      <c r="D975" s="19" t="s">
        <v>214</v>
      </c>
      <c r="E975" s="20">
        <v>56660.36</v>
      </c>
      <c r="F975" s="21">
        <v>543940</v>
      </c>
      <c r="G975" s="22">
        <v>9.6</v>
      </c>
      <c r="H975" s="21">
        <f>ROUND(G975*E975,0)</f>
        <v>543940</v>
      </c>
      <c r="I975" s="21">
        <f>H975-F975</f>
        <v>0</v>
      </c>
      <c r="J975" s="23"/>
      <c r="K975" s="24" t="s">
        <v>1755</v>
      </c>
      <c r="L975" s="25">
        <v>9.6</v>
      </c>
    </row>
    <row r="976" spans="1:12" x14ac:dyDescent="0.25">
      <c r="A976" s="16" t="s">
        <v>227</v>
      </c>
      <c r="B976" s="34" t="s">
        <v>324</v>
      </c>
      <c r="C976" s="18">
        <v>0.56</v>
      </c>
      <c r="D976" s="19" t="s">
        <v>214</v>
      </c>
      <c r="E976" s="20">
        <v>345522.98</v>
      </c>
      <c r="F976" s="21">
        <v>193493</v>
      </c>
      <c r="G976" s="22">
        <v>0.56</v>
      </c>
      <c r="H976" s="21">
        <f>ROUND(G976*E976,0)</f>
        <v>193493</v>
      </c>
      <c r="I976" s="21">
        <f>H976-F976</f>
        <v>0</v>
      </c>
      <c r="J976" s="23"/>
      <c r="K976" s="24" t="s">
        <v>1756</v>
      </c>
      <c r="L976" s="25">
        <v>0.56</v>
      </c>
    </row>
    <row r="977" spans="1:12" x14ac:dyDescent="0.25">
      <c r="A977" s="16" t="s">
        <v>231</v>
      </c>
      <c r="B977" s="34" t="s">
        <v>326</v>
      </c>
      <c r="C977" s="18">
        <v>0.24</v>
      </c>
      <c r="D977" s="19" t="s">
        <v>214</v>
      </c>
      <c r="E977" s="20">
        <v>1016530.97</v>
      </c>
      <c r="F977" s="21">
        <v>243968</v>
      </c>
      <c r="G977" s="22">
        <v>0.24</v>
      </c>
      <c r="H977" s="21">
        <f>ROUND(G977*E977,0)</f>
        <v>243968</v>
      </c>
      <c r="I977" s="21">
        <f>H977-F977</f>
        <v>0</v>
      </c>
      <c r="J977" s="23"/>
      <c r="K977" s="24" t="s">
        <v>1757</v>
      </c>
      <c r="L977" s="25">
        <v>0.24</v>
      </c>
    </row>
    <row r="978" spans="1:12" x14ac:dyDescent="0.25">
      <c r="A978" s="16" t="s">
        <v>234</v>
      </c>
      <c r="B978" s="34" t="s">
        <v>328</v>
      </c>
      <c r="C978" s="18">
        <v>9.6</v>
      </c>
      <c r="D978" s="19" t="s">
        <v>23</v>
      </c>
      <c r="E978" s="20">
        <v>130392.01</v>
      </c>
      <c r="F978" s="21">
        <v>1251763</v>
      </c>
      <c r="G978" s="22">
        <v>9.6</v>
      </c>
      <c r="H978" s="21">
        <f>ROUND(G978*E978,0)</f>
        <v>1251763</v>
      </c>
      <c r="I978" s="21">
        <f>H978-F978</f>
        <v>0</v>
      </c>
      <c r="J978" s="23"/>
      <c r="K978" s="24" t="s">
        <v>1758</v>
      </c>
      <c r="L978" s="25">
        <v>9.6</v>
      </c>
    </row>
    <row r="979" spans="1:12" x14ac:dyDescent="0.25">
      <c r="A979" s="16" t="s">
        <v>330</v>
      </c>
      <c r="B979" s="34" t="s">
        <v>666</v>
      </c>
      <c r="C979" s="18">
        <v>44.39</v>
      </c>
      <c r="D979" s="19" t="s">
        <v>229</v>
      </c>
      <c r="E979" s="20">
        <v>13176.23</v>
      </c>
      <c r="F979" s="21">
        <v>584893</v>
      </c>
      <c r="G979" s="22">
        <v>44.39</v>
      </c>
      <c r="H979" s="21">
        <f>ROUND(G979*E979,0)</f>
        <v>584893</v>
      </c>
      <c r="I979" s="21">
        <f>H979-F979</f>
        <v>0</v>
      </c>
      <c r="J979" s="23"/>
      <c r="K979" s="24" t="s">
        <v>1759</v>
      </c>
      <c r="L979" s="25">
        <v>44.39</v>
      </c>
    </row>
    <row r="980" spans="1:12" x14ac:dyDescent="0.25">
      <c r="A980" s="16" t="s">
        <v>333</v>
      </c>
      <c r="B980" s="34" t="s">
        <v>429</v>
      </c>
      <c r="C980" s="18">
        <v>1.54</v>
      </c>
      <c r="D980" s="19" t="s">
        <v>214</v>
      </c>
      <c r="E980" s="20">
        <v>1151545.01</v>
      </c>
      <c r="F980" s="21">
        <v>1773379</v>
      </c>
      <c r="G980" s="22">
        <v>1.54</v>
      </c>
      <c r="H980" s="21">
        <f>ROUND(G980*E980,0)</f>
        <v>1773379</v>
      </c>
      <c r="I980" s="21">
        <f>H980-F980</f>
        <v>0</v>
      </c>
      <c r="J980" s="23"/>
      <c r="K980" s="24" t="s">
        <v>1760</v>
      </c>
      <c r="L980" s="25">
        <v>1.54</v>
      </c>
    </row>
    <row r="981" spans="1:12" x14ac:dyDescent="0.25">
      <c r="A981" s="16" t="s">
        <v>336</v>
      </c>
      <c r="B981" s="34" t="s">
        <v>270</v>
      </c>
      <c r="C981" s="18">
        <v>160</v>
      </c>
      <c r="D981" s="19" t="s">
        <v>38</v>
      </c>
      <c r="E981" s="20">
        <v>26681.29</v>
      </c>
      <c r="F981" s="21">
        <v>4269006</v>
      </c>
      <c r="G981" s="22">
        <v>160</v>
      </c>
      <c r="H981" s="21">
        <f>ROUND(G981*E981,0)</f>
        <v>4269006</v>
      </c>
      <c r="I981" s="21">
        <f>H981-F981</f>
        <v>0</v>
      </c>
      <c r="J981" s="23"/>
      <c r="K981" s="24" t="s">
        <v>1761</v>
      </c>
      <c r="L981" s="25">
        <v>160</v>
      </c>
    </row>
    <row r="982" spans="1:12" s="26" customFormat="1" x14ac:dyDescent="0.25">
      <c r="A982" s="27" t="s">
        <v>29</v>
      </c>
      <c r="B982" s="33" t="s">
        <v>338</v>
      </c>
      <c r="C982" s="29"/>
      <c r="D982" s="30"/>
      <c r="E982" s="30"/>
      <c r="F982" s="31">
        <v>22537676</v>
      </c>
      <c r="G982" s="30"/>
      <c r="H982" s="29"/>
      <c r="I982" s="29"/>
      <c r="J982" s="30"/>
      <c r="K982" s="32" t="s">
        <v>1762</v>
      </c>
      <c r="L982" s="29"/>
    </row>
    <row r="983" spans="1:12" x14ac:dyDescent="0.25">
      <c r="A983" s="16" t="s">
        <v>239</v>
      </c>
      <c r="B983" s="34" t="s">
        <v>1763</v>
      </c>
      <c r="C983" s="18">
        <v>37.58</v>
      </c>
      <c r="D983" s="19" t="s">
        <v>214</v>
      </c>
      <c r="E983" s="20">
        <v>56660.36</v>
      </c>
      <c r="F983" s="21">
        <v>2129296</v>
      </c>
      <c r="G983" s="22">
        <v>37.58</v>
      </c>
      <c r="H983" s="21">
        <f>ROUND(G983*E983,0)</f>
        <v>2129296</v>
      </c>
      <c r="I983" s="21">
        <f>H983-F983</f>
        <v>0</v>
      </c>
      <c r="J983" s="23"/>
      <c r="K983" s="24" t="s">
        <v>1764</v>
      </c>
      <c r="L983" s="25">
        <v>37.58</v>
      </c>
    </row>
    <row r="984" spans="1:12" x14ac:dyDescent="0.25">
      <c r="A984" s="16" t="s">
        <v>241</v>
      </c>
      <c r="B984" s="34" t="s">
        <v>342</v>
      </c>
      <c r="C984" s="18">
        <v>0</v>
      </c>
      <c r="D984" s="19" t="s">
        <v>38</v>
      </c>
      <c r="E984" s="20">
        <v>26681.29</v>
      </c>
      <c r="F984" s="21">
        <v>0</v>
      </c>
      <c r="G984" s="22">
        <v>0</v>
      </c>
      <c r="H984" s="21">
        <f>ROUND(G984*E984,0)</f>
        <v>0</v>
      </c>
      <c r="I984" s="21">
        <f>H984-F984</f>
        <v>0</v>
      </c>
      <c r="J984" s="23"/>
      <c r="K984" s="24" t="s">
        <v>1765</v>
      </c>
      <c r="L984" s="35">
        <v>0</v>
      </c>
    </row>
    <row r="985" spans="1:12" x14ac:dyDescent="0.25">
      <c r="A985" s="16" t="s">
        <v>244</v>
      </c>
      <c r="B985" s="34" t="s">
        <v>344</v>
      </c>
      <c r="C985" s="18">
        <v>3.02</v>
      </c>
      <c r="D985" s="19" t="s">
        <v>214</v>
      </c>
      <c r="E985" s="20">
        <v>345522.98</v>
      </c>
      <c r="F985" s="21">
        <v>1043480</v>
      </c>
      <c r="G985" s="22">
        <v>3.02</v>
      </c>
      <c r="H985" s="21">
        <f>ROUND(G985*E985,0)</f>
        <v>1043480</v>
      </c>
      <c r="I985" s="21">
        <f>H985-F985</f>
        <v>0</v>
      </c>
      <c r="J985" s="23"/>
      <c r="K985" s="24" t="s">
        <v>1766</v>
      </c>
      <c r="L985" s="25">
        <v>3.02</v>
      </c>
    </row>
    <row r="986" spans="1:12" x14ac:dyDescent="0.25">
      <c r="A986" s="16" t="s">
        <v>247</v>
      </c>
      <c r="B986" s="34" t="s">
        <v>346</v>
      </c>
      <c r="C986" s="18">
        <v>23.76</v>
      </c>
      <c r="D986" s="19" t="s">
        <v>214</v>
      </c>
      <c r="E986" s="20">
        <v>815021.06</v>
      </c>
      <c r="F986" s="21">
        <v>19364900</v>
      </c>
      <c r="G986" s="22">
        <v>23.76</v>
      </c>
      <c r="H986" s="21">
        <f>ROUND(G986*E986,0)</f>
        <v>19364900</v>
      </c>
      <c r="I986" s="21">
        <f>H986-F986</f>
        <v>0</v>
      </c>
      <c r="J986" s="23"/>
      <c r="K986" s="24" t="s">
        <v>1767</v>
      </c>
      <c r="L986" s="25">
        <v>23.76</v>
      </c>
    </row>
    <row r="987" spans="1:12" x14ac:dyDescent="0.25">
      <c r="A987" s="16" t="s">
        <v>33</v>
      </c>
      <c r="B987" s="36" t="s">
        <v>348</v>
      </c>
      <c r="C987" s="18">
        <v>16.65</v>
      </c>
      <c r="D987" s="19" t="s">
        <v>229</v>
      </c>
      <c r="E987" s="20">
        <v>13176.23</v>
      </c>
      <c r="F987" s="21">
        <v>219384</v>
      </c>
      <c r="G987" s="22">
        <v>16.65</v>
      </c>
      <c r="H987" s="21">
        <f>ROUND(G987*E987,0)</f>
        <v>219384</v>
      </c>
      <c r="I987" s="21">
        <f>H987-F987</f>
        <v>0</v>
      </c>
      <c r="J987" s="23"/>
      <c r="K987" s="24" t="s">
        <v>1768</v>
      </c>
      <c r="L987" s="25">
        <v>16.65</v>
      </c>
    </row>
    <row r="988" spans="1:12" s="26" customFormat="1" x14ac:dyDescent="0.25">
      <c r="A988" s="27" t="s">
        <v>36</v>
      </c>
      <c r="B988" s="33" t="s">
        <v>350</v>
      </c>
      <c r="C988" s="29"/>
      <c r="D988" s="30"/>
      <c r="E988" s="30"/>
      <c r="F988" s="31">
        <v>16835543</v>
      </c>
      <c r="G988" s="30"/>
      <c r="H988" s="29"/>
      <c r="I988" s="29"/>
      <c r="J988" s="30"/>
      <c r="K988" s="32" t="s">
        <v>1769</v>
      </c>
      <c r="L988" s="29"/>
    </row>
    <row r="989" spans="1:12" x14ac:dyDescent="0.25">
      <c r="A989" s="16" t="s">
        <v>269</v>
      </c>
      <c r="B989" s="34" t="s">
        <v>258</v>
      </c>
      <c r="C989" s="18">
        <v>32.4</v>
      </c>
      <c r="D989" s="19" t="s">
        <v>23</v>
      </c>
      <c r="E989" s="20">
        <v>246976.42</v>
      </c>
      <c r="F989" s="21">
        <v>8002036</v>
      </c>
      <c r="G989" s="22">
        <v>32.4</v>
      </c>
      <c r="H989" s="21">
        <f>ROUND(G989*E989,0)</f>
        <v>8002036</v>
      </c>
      <c r="I989" s="21">
        <f>H989-F989</f>
        <v>0</v>
      </c>
      <c r="J989" s="23"/>
      <c r="K989" s="24" t="s">
        <v>1770</v>
      </c>
      <c r="L989" s="25">
        <v>32.4</v>
      </c>
    </row>
    <row r="990" spans="1:12" x14ac:dyDescent="0.25">
      <c r="A990" s="16" t="s">
        <v>272</v>
      </c>
      <c r="B990" s="34" t="s">
        <v>353</v>
      </c>
      <c r="C990" s="18">
        <v>166.46</v>
      </c>
      <c r="D990" s="19" t="s">
        <v>229</v>
      </c>
      <c r="E990" s="20">
        <v>13176.23</v>
      </c>
      <c r="F990" s="21">
        <v>2193315</v>
      </c>
      <c r="G990" s="22">
        <v>166.46</v>
      </c>
      <c r="H990" s="21">
        <f>ROUND(G990*E990,0)</f>
        <v>2193315</v>
      </c>
      <c r="I990" s="21">
        <f>H990-F990</f>
        <v>0</v>
      </c>
      <c r="J990" s="23"/>
      <c r="K990" s="24" t="s">
        <v>1771</v>
      </c>
      <c r="L990" s="25">
        <v>166.46</v>
      </c>
    </row>
    <row r="991" spans="1:12" x14ac:dyDescent="0.25">
      <c r="A991" s="16" t="s">
        <v>275</v>
      </c>
      <c r="B991" s="34" t="s">
        <v>426</v>
      </c>
      <c r="C991" s="18">
        <v>150</v>
      </c>
      <c r="D991" s="19" t="s">
        <v>229</v>
      </c>
      <c r="E991" s="20">
        <v>13176.23</v>
      </c>
      <c r="F991" s="21">
        <v>1976435</v>
      </c>
      <c r="G991" s="22">
        <v>150</v>
      </c>
      <c r="H991" s="21">
        <f>ROUND(G991*E991,0)</f>
        <v>1976435</v>
      </c>
      <c r="I991" s="21">
        <f>H991-F991</f>
        <v>0</v>
      </c>
      <c r="J991" s="23"/>
      <c r="K991" s="24" t="s">
        <v>1772</v>
      </c>
      <c r="L991" s="25">
        <v>150</v>
      </c>
    </row>
    <row r="992" spans="1:12" x14ac:dyDescent="0.25">
      <c r="A992" s="16" t="s">
        <v>277</v>
      </c>
      <c r="B992" s="34" t="s">
        <v>429</v>
      </c>
      <c r="C992" s="18">
        <v>4.05</v>
      </c>
      <c r="D992" s="19" t="s">
        <v>214</v>
      </c>
      <c r="E992" s="20">
        <v>1151545.01</v>
      </c>
      <c r="F992" s="21">
        <v>4663757</v>
      </c>
      <c r="G992" s="22">
        <v>4.05</v>
      </c>
      <c r="H992" s="21">
        <f>ROUND(G992*E992,0)</f>
        <v>4663757</v>
      </c>
      <c r="I992" s="21">
        <f>H992-F992</f>
        <v>0</v>
      </c>
      <c r="J992" s="23"/>
      <c r="K992" s="24" t="s">
        <v>1773</v>
      </c>
      <c r="L992" s="25">
        <v>4.05</v>
      </c>
    </row>
    <row r="993" spans="1:12" s="26" customFormat="1" x14ac:dyDescent="0.25">
      <c r="A993" s="27" t="s">
        <v>40</v>
      </c>
      <c r="B993" s="33" t="s">
        <v>1486</v>
      </c>
      <c r="C993" s="29"/>
      <c r="D993" s="30"/>
      <c r="E993" s="30"/>
      <c r="F993" s="31">
        <v>11964236</v>
      </c>
      <c r="G993" s="30"/>
      <c r="H993" s="29"/>
      <c r="I993" s="29"/>
      <c r="J993" s="30"/>
      <c r="K993" s="32" t="s">
        <v>1774</v>
      </c>
      <c r="L993" s="29"/>
    </row>
    <row r="994" spans="1:12" x14ac:dyDescent="0.25">
      <c r="A994" s="16" t="s">
        <v>281</v>
      </c>
      <c r="B994" s="34" t="s">
        <v>258</v>
      </c>
      <c r="C994" s="18">
        <v>0.16</v>
      </c>
      <c r="D994" s="19" t="s">
        <v>23</v>
      </c>
      <c r="E994" s="20">
        <v>246976.42</v>
      </c>
      <c r="F994" s="21">
        <v>39516</v>
      </c>
      <c r="G994" s="22">
        <v>0.16</v>
      </c>
      <c r="H994" s="21">
        <f>ROUND(G994*E994,0)</f>
        <v>39516</v>
      </c>
      <c r="I994" s="21">
        <f>H994-F994</f>
        <v>0</v>
      </c>
      <c r="J994" s="23"/>
      <c r="K994" s="24" t="s">
        <v>1775</v>
      </c>
      <c r="L994" s="35">
        <v>0</v>
      </c>
    </row>
    <row r="995" spans="1:12" x14ac:dyDescent="0.25">
      <c r="A995" s="16" t="s">
        <v>284</v>
      </c>
      <c r="B995" s="34" t="s">
        <v>409</v>
      </c>
      <c r="C995" s="18">
        <v>2.14</v>
      </c>
      <c r="D995" s="19" t="s">
        <v>229</v>
      </c>
      <c r="E995" s="20">
        <v>13176.23</v>
      </c>
      <c r="F995" s="21">
        <v>28197</v>
      </c>
      <c r="G995" s="22">
        <v>2.14</v>
      </c>
      <c r="H995" s="21">
        <f>ROUND(G995*E995,0)</f>
        <v>28197</v>
      </c>
      <c r="I995" s="21">
        <f>H995-F995</f>
        <v>0</v>
      </c>
      <c r="J995" s="23"/>
      <c r="K995" s="24" t="s">
        <v>1776</v>
      </c>
      <c r="L995" s="25">
        <v>2.14</v>
      </c>
    </row>
    <row r="996" spans="1:12" x14ac:dyDescent="0.25">
      <c r="A996" s="16" t="s">
        <v>286</v>
      </c>
      <c r="B996" s="34" t="s">
        <v>426</v>
      </c>
      <c r="C996" s="18">
        <v>13.19</v>
      </c>
      <c r="D996" s="19" t="s">
        <v>229</v>
      </c>
      <c r="E996" s="20">
        <v>13176.23</v>
      </c>
      <c r="F996" s="21">
        <v>173795</v>
      </c>
      <c r="G996" s="22">
        <v>13.19</v>
      </c>
      <c r="H996" s="21">
        <f>ROUND(G996*E996,0)</f>
        <v>173795</v>
      </c>
      <c r="I996" s="21">
        <f>H996-F996</f>
        <v>0</v>
      </c>
      <c r="J996" s="23"/>
      <c r="K996" s="24" t="s">
        <v>1777</v>
      </c>
      <c r="L996" s="25">
        <v>13.19</v>
      </c>
    </row>
    <row r="997" spans="1:12" x14ac:dyDescent="0.25">
      <c r="A997" s="16" t="s">
        <v>288</v>
      </c>
      <c r="B997" s="34" t="s">
        <v>429</v>
      </c>
      <c r="C997" s="18">
        <v>10.18</v>
      </c>
      <c r="D997" s="19" t="s">
        <v>214</v>
      </c>
      <c r="E997" s="20">
        <v>1151545.01</v>
      </c>
      <c r="F997" s="21">
        <v>11722728</v>
      </c>
      <c r="G997" s="22">
        <v>10.18</v>
      </c>
      <c r="H997" s="21">
        <f>ROUND(G997*E997,0)</f>
        <v>11722728</v>
      </c>
      <c r="I997" s="21">
        <f>H997-F997</f>
        <v>0</v>
      </c>
      <c r="J997" s="23"/>
      <c r="K997" s="24" t="s">
        <v>1778</v>
      </c>
      <c r="L997" s="35">
        <v>0</v>
      </c>
    </row>
    <row r="998" spans="1:12" s="26" customFormat="1" x14ac:dyDescent="0.25">
      <c r="A998" s="27" t="s">
        <v>140</v>
      </c>
      <c r="B998" s="33" t="s">
        <v>554</v>
      </c>
      <c r="C998" s="29"/>
      <c r="D998" s="30"/>
      <c r="E998" s="30"/>
      <c r="F998" s="31">
        <v>21477152</v>
      </c>
      <c r="G998" s="30"/>
      <c r="H998" s="29"/>
      <c r="I998" s="29"/>
      <c r="J998" s="30"/>
      <c r="K998" s="32" t="s">
        <v>1779</v>
      </c>
      <c r="L998" s="29"/>
    </row>
    <row r="999" spans="1:12" x14ac:dyDescent="0.25">
      <c r="A999" s="16" t="s">
        <v>301</v>
      </c>
      <c r="B999" s="34" t="s">
        <v>360</v>
      </c>
      <c r="C999" s="18">
        <v>3.6</v>
      </c>
      <c r="D999" s="19" t="s">
        <v>214</v>
      </c>
      <c r="E999" s="20">
        <v>124258.76</v>
      </c>
      <c r="F999" s="21">
        <v>447332</v>
      </c>
      <c r="G999" s="22">
        <v>3.6</v>
      </c>
      <c r="H999" s="21">
        <f>ROUND(G999*E999,0)</f>
        <v>447332</v>
      </c>
      <c r="I999" s="21">
        <f>H999-F999</f>
        <v>0</v>
      </c>
      <c r="J999" s="23"/>
      <c r="K999" s="24" t="s">
        <v>1780</v>
      </c>
      <c r="L999" s="35">
        <v>0</v>
      </c>
    </row>
    <row r="1000" spans="1:12" x14ac:dyDescent="0.25">
      <c r="A1000" s="16" t="s">
        <v>304</v>
      </c>
      <c r="B1000" s="34" t="s">
        <v>362</v>
      </c>
      <c r="C1000" s="18">
        <v>3.6</v>
      </c>
      <c r="D1000" s="19" t="s">
        <v>214</v>
      </c>
      <c r="E1000" s="20">
        <v>53756.99</v>
      </c>
      <c r="F1000" s="21">
        <v>193525</v>
      </c>
      <c r="G1000" s="22">
        <v>3.6</v>
      </c>
      <c r="H1000" s="21">
        <f>ROUND(G1000*E1000,0)</f>
        <v>193525</v>
      </c>
      <c r="I1000" s="21">
        <f>H1000-F1000</f>
        <v>0</v>
      </c>
      <c r="J1000" s="23"/>
      <c r="K1000" s="24" t="s">
        <v>1781</v>
      </c>
      <c r="L1000" s="35">
        <v>0</v>
      </c>
    </row>
    <row r="1001" spans="1:12" x14ac:dyDescent="0.25">
      <c r="A1001" s="16" t="s">
        <v>307</v>
      </c>
      <c r="B1001" s="34" t="s">
        <v>364</v>
      </c>
      <c r="C1001" s="18">
        <v>3.6</v>
      </c>
      <c r="D1001" s="19" t="s">
        <v>214</v>
      </c>
      <c r="E1001" s="20">
        <v>345522.98</v>
      </c>
      <c r="F1001" s="21">
        <v>1243883</v>
      </c>
      <c r="G1001" s="22">
        <v>3.6</v>
      </c>
      <c r="H1001" s="21">
        <f>ROUND(G1001*E1001,0)</f>
        <v>1243883</v>
      </c>
      <c r="I1001" s="21">
        <f>H1001-F1001</f>
        <v>0</v>
      </c>
      <c r="J1001" s="23"/>
      <c r="K1001" s="24" t="s">
        <v>1782</v>
      </c>
      <c r="L1001" s="35">
        <v>0</v>
      </c>
    </row>
    <row r="1002" spans="1:12" x14ac:dyDescent="0.25">
      <c r="A1002" s="16" t="s">
        <v>310</v>
      </c>
      <c r="B1002" s="34" t="s">
        <v>640</v>
      </c>
      <c r="C1002" s="18">
        <v>3.6</v>
      </c>
      <c r="D1002" s="19" t="s">
        <v>214</v>
      </c>
      <c r="E1002" s="20">
        <v>1016530.97</v>
      </c>
      <c r="F1002" s="21">
        <v>3659511</v>
      </c>
      <c r="G1002" s="22">
        <v>3.6</v>
      </c>
      <c r="H1002" s="21">
        <f>ROUND(G1002*E1002,0)</f>
        <v>3659511</v>
      </c>
      <c r="I1002" s="21">
        <f>H1002-F1002</f>
        <v>0</v>
      </c>
      <c r="J1002" s="23"/>
      <c r="K1002" s="24" t="s">
        <v>1783</v>
      </c>
      <c r="L1002" s="35">
        <v>0</v>
      </c>
    </row>
    <row r="1003" spans="1:12" x14ac:dyDescent="0.25">
      <c r="A1003" s="16" t="s">
        <v>312</v>
      </c>
      <c r="B1003" s="34" t="s">
        <v>1568</v>
      </c>
      <c r="C1003" s="18">
        <v>144</v>
      </c>
      <c r="D1003" s="19" t="s">
        <v>23</v>
      </c>
      <c r="E1003" s="20">
        <v>24279.27</v>
      </c>
      <c r="F1003" s="21">
        <v>3496215</v>
      </c>
      <c r="G1003" s="22">
        <v>144</v>
      </c>
      <c r="H1003" s="21">
        <f>ROUND(G1003*E1003,0)</f>
        <v>3496215</v>
      </c>
      <c r="I1003" s="21">
        <f>H1003-F1003</f>
        <v>0</v>
      </c>
      <c r="J1003" s="23"/>
      <c r="K1003" s="24" t="s">
        <v>1784</v>
      </c>
      <c r="L1003" s="35">
        <v>0</v>
      </c>
    </row>
    <row r="1004" spans="1:12" x14ac:dyDescent="0.25">
      <c r="A1004" s="16" t="s">
        <v>563</v>
      </c>
      <c r="B1004" s="34" t="s">
        <v>429</v>
      </c>
      <c r="C1004" s="18">
        <v>10.8</v>
      </c>
      <c r="D1004" s="19" t="s">
        <v>214</v>
      </c>
      <c r="E1004" s="20">
        <v>1151545.01</v>
      </c>
      <c r="F1004" s="21">
        <v>12436686</v>
      </c>
      <c r="G1004" s="22">
        <v>10.8</v>
      </c>
      <c r="H1004" s="21">
        <f>ROUND(G1004*E1004,0)</f>
        <v>12436686</v>
      </c>
      <c r="I1004" s="21">
        <f>H1004-F1004</f>
        <v>0</v>
      </c>
      <c r="J1004" s="23"/>
      <c r="K1004" s="24" t="s">
        <v>1785</v>
      </c>
      <c r="L1004" s="35">
        <v>0</v>
      </c>
    </row>
    <row r="1005" spans="1:12" s="26" customFormat="1" x14ac:dyDescent="0.25">
      <c r="A1005" s="27" t="s">
        <v>143</v>
      </c>
      <c r="B1005" s="33" t="s">
        <v>1016</v>
      </c>
      <c r="C1005" s="29"/>
      <c r="D1005" s="30"/>
      <c r="E1005" s="30"/>
      <c r="F1005" s="31">
        <v>4271993</v>
      </c>
      <c r="G1005" s="30"/>
      <c r="H1005" s="29"/>
      <c r="I1005" s="29"/>
      <c r="J1005" s="30"/>
      <c r="K1005" s="32" t="s">
        <v>1786</v>
      </c>
      <c r="L1005" s="29"/>
    </row>
    <row r="1006" spans="1:12" x14ac:dyDescent="0.25">
      <c r="A1006" s="16" t="s">
        <v>381</v>
      </c>
      <c r="B1006" s="34" t="s">
        <v>456</v>
      </c>
      <c r="C1006" s="18">
        <v>0.9</v>
      </c>
      <c r="D1006" s="19" t="s">
        <v>214</v>
      </c>
      <c r="E1006" s="20">
        <v>56660.36</v>
      </c>
      <c r="F1006" s="21">
        <v>50994</v>
      </c>
      <c r="G1006" s="22">
        <v>0.9</v>
      </c>
      <c r="H1006" s="21">
        <f>ROUND(G1006*E1006,0)</f>
        <v>50994</v>
      </c>
      <c r="I1006" s="21">
        <f>H1006-F1006</f>
        <v>0</v>
      </c>
      <c r="J1006" s="23"/>
      <c r="K1006" s="24" t="s">
        <v>1787</v>
      </c>
      <c r="L1006" s="35">
        <v>0</v>
      </c>
    </row>
    <row r="1007" spans="1:12" x14ac:dyDescent="0.25">
      <c r="A1007" s="16" t="s">
        <v>383</v>
      </c>
      <c r="B1007" s="34" t="s">
        <v>458</v>
      </c>
      <c r="C1007" s="18">
        <v>13.18</v>
      </c>
      <c r="D1007" s="19" t="s">
        <v>23</v>
      </c>
      <c r="E1007" s="20">
        <v>122466.89</v>
      </c>
      <c r="F1007" s="21">
        <v>1614114</v>
      </c>
      <c r="G1007" s="22">
        <v>13.18</v>
      </c>
      <c r="H1007" s="21">
        <f>ROUND(G1007*E1007,0)</f>
        <v>1614114</v>
      </c>
      <c r="I1007" s="21">
        <f>H1007-F1007</f>
        <v>0</v>
      </c>
      <c r="J1007" s="23"/>
      <c r="K1007" s="24" t="s">
        <v>1788</v>
      </c>
      <c r="L1007" s="35">
        <v>0</v>
      </c>
    </row>
    <row r="1008" spans="1:12" x14ac:dyDescent="0.25">
      <c r="A1008" s="16" t="s">
        <v>385</v>
      </c>
      <c r="B1008" s="34" t="s">
        <v>360</v>
      </c>
      <c r="C1008" s="18">
        <v>1.44</v>
      </c>
      <c r="D1008" s="19" t="s">
        <v>214</v>
      </c>
      <c r="E1008" s="20">
        <v>124258.76</v>
      </c>
      <c r="F1008" s="21">
        <v>178933</v>
      </c>
      <c r="G1008" s="22">
        <v>1.44</v>
      </c>
      <c r="H1008" s="21">
        <f>ROUND(G1008*E1008,0)</f>
        <v>178933</v>
      </c>
      <c r="I1008" s="21">
        <f>H1008-F1008</f>
        <v>0</v>
      </c>
      <c r="J1008" s="23"/>
      <c r="K1008" s="24" t="s">
        <v>1789</v>
      </c>
      <c r="L1008" s="35">
        <v>0</v>
      </c>
    </row>
    <row r="1009" spans="1:12" x14ac:dyDescent="0.25">
      <c r="A1009" s="16" t="s">
        <v>387</v>
      </c>
      <c r="B1009" s="34" t="s">
        <v>362</v>
      </c>
      <c r="C1009" s="18">
        <v>1.44</v>
      </c>
      <c r="D1009" s="19" t="s">
        <v>214</v>
      </c>
      <c r="E1009" s="20">
        <v>53756.99</v>
      </c>
      <c r="F1009" s="21">
        <v>77410</v>
      </c>
      <c r="G1009" s="22">
        <v>1.44</v>
      </c>
      <c r="H1009" s="21">
        <f>ROUND(G1009*E1009,0)</f>
        <v>77410</v>
      </c>
      <c r="I1009" s="21">
        <f>H1009-F1009</f>
        <v>0</v>
      </c>
      <c r="J1009" s="23"/>
      <c r="K1009" s="24" t="s">
        <v>1790</v>
      </c>
      <c r="L1009" s="35">
        <v>0</v>
      </c>
    </row>
    <row r="1010" spans="1:12" x14ac:dyDescent="0.25">
      <c r="A1010" s="16" t="s">
        <v>573</v>
      </c>
      <c r="B1010" s="34" t="s">
        <v>462</v>
      </c>
      <c r="C1010" s="18">
        <v>0.86</v>
      </c>
      <c r="D1010" s="19" t="s">
        <v>214</v>
      </c>
      <c r="E1010" s="20">
        <v>345522.98</v>
      </c>
      <c r="F1010" s="21">
        <v>297150</v>
      </c>
      <c r="G1010" s="22">
        <v>0.86</v>
      </c>
      <c r="H1010" s="21">
        <f>ROUND(G1010*E1010,0)</f>
        <v>297150</v>
      </c>
      <c r="I1010" s="21">
        <f>H1010-F1010</f>
        <v>0</v>
      </c>
      <c r="J1010" s="23"/>
      <c r="K1010" s="24" t="s">
        <v>1791</v>
      </c>
      <c r="L1010" s="35">
        <v>0</v>
      </c>
    </row>
    <row r="1011" spans="1:12" x14ac:dyDescent="0.25">
      <c r="A1011" s="16" t="s">
        <v>575</v>
      </c>
      <c r="B1011" s="34" t="s">
        <v>1023</v>
      </c>
      <c r="C1011" s="18">
        <v>2.02</v>
      </c>
      <c r="D1011" s="19" t="s">
        <v>214</v>
      </c>
      <c r="E1011" s="20">
        <v>1016530.97</v>
      </c>
      <c r="F1011" s="21">
        <v>2053392</v>
      </c>
      <c r="G1011" s="22">
        <v>2.02</v>
      </c>
      <c r="H1011" s="21">
        <f>ROUND(G1011*E1011,0)</f>
        <v>2053392</v>
      </c>
      <c r="I1011" s="21">
        <f>H1011-F1011</f>
        <v>0</v>
      </c>
      <c r="J1011" s="23"/>
      <c r="K1011" s="24" t="s">
        <v>1792</v>
      </c>
      <c r="L1011" s="35">
        <v>0</v>
      </c>
    </row>
    <row r="1012" spans="1:12" s="26" customFormat="1" x14ac:dyDescent="0.25">
      <c r="A1012" s="27" t="s">
        <v>146</v>
      </c>
      <c r="B1012" s="33" t="s">
        <v>369</v>
      </c>
      <c r="C1012" s="29"/>
      <c r="D1012" s="30"/>
      <c r="E1012" s="30"/>
      <c r="F1012" s="31">
        <v>2501131</v>
      </c>
      <c r="G1012" s="30"/>
      <c r="H1012" s="29"/>
      <c r="I1012" s="29"/>
      <c r="J1012" s="30"/>
      <c r="K1012" s="32" t="s">
        <v>1793</v>
      </c>
      <c r="L1012" s="29"/>
    </row>
    <row r="1013" spans="1:12" x14ac:dyDescent="0.25">
      <c r="A1013" s="16" t="s">
        <v>391</v>
      </c>
      <c r="B1013" s="34" t="s">
        <v>736</v>
      </c>
      <c r="C1013" s="18">
        <v>6.4</v>
      </c>
      <c r="D1013" s="19" t="s">
        <v>23</v>
      </c>
      <c r="E1013" s="20">
        <v>208190.98</v>
      </c>
      <c r="F1013" s="21">
        <v>1332422</v>
      </c>
      <c r="G1013" s="22">
        <v>6.4</v>
      </c>
      <c r="H1013" s="21">
        <f>ROUND(G1013*E1013,0)</f>
        <v>1332422</v>
      </c>
      <c r="I1013" s="21">
        <f>H1013-F1013</f>
        <v>0</v>
      </c>
      <c r="J1013" s="23"/>
      <c r="K1013" s="24" t="s">
        <v>1794</v>
      </c>
      <c r="L1013" s="35">
        <v>0</v>
      </c>
    </row>
    <row r="1014" spans="1:12" x14ac:dyDescent="0.25">
      <c r="A1014" s="16" t="s">
        <v>394</v>
      </c>
      <c r="B1014" s="34" t="s">
        <v>373</v>
      </c>
      <c r="C1014" s="18">
        <v>41.43</v>
      </c>
      <c r="D1014" s="19" t="s">
        <v>229</v>
      </c>
      <c r="E1014" s="20">
        <v>13176.23</v>
      </c>
      <c r="F1014" s="21">
        <v>545891</v>
      </c>
      <c r="G1014" s="22">
        <v>41.43</v>
      </c>
      <c r="H1014" s="21">
        <f>ROUND(G1014*E1014,0)</f>
        <v>545891</v>
      </c>
      <c r="I1014" s="21">
        <f>H1014-F1014</f>
        <v>0</v>
      </c>
      <c r="J1014" s="23"/>
      <c r="K1014" s="24" t="s">
        <v>1795</v>
      </c>
      <c r="L1014" s="35">
        <v>0</v>
      </c>
    </row>
    <row r="1015" spans="1:12" x14ac:dyDescent="0.25">
      <c r="A1015" s="16" t="s">
        <v>396</v>
      </c>
      <c r="B1015" s="34" t="s">
        <v>375</v>
      </c>
      <c r="C1015" s="18">
        <v>12.31</v>
      </c>
      <c r="D1015" s="19" t="s">
        <v>229</v>
      </c>
      <c r="E1015" s="20">
        <v>13176.23</v>
      </c>
      <c r="F1015" s="21">
        <v>162200</v>
      </c>
      <c r="G1015" s="22">
        <v>12.31</v>
      </c>
      <c r="H1015" s="21">
        <f>ROUND(G1015*E1015,0)</f>
        <v>162200</v>
      </c>
      <c r="I1015" s="21">
        <f>H1015-F1015</f>
        <v>0</v>
      </c>
      <c r="J1015" s="23"/>
      <c r="K1015" s="24" t="s">
        <v>1796</v>
      </c>
      <c r="L1015" s="35">
        <v>0</v>
      </c>
    </row>
    <row r="1016" spans="1:12" x14ac:dyDescent="0.25">
      <c r="A1016" s="16" t="s">
        <v>398</v>
      </c>
      <c r="B1016" s="34" t="s">
        <v>429</v>
      </c>
      <c r="C1016" s="18">
        <v>0.4</v>
      </c>
      <c r="D1016" s="19" t="s">
        <v>214</v>
      </c>
      <c r="E1016" s="20">
        <v>1151545.01</v>
      </c>
      <c r="F1016" s="21">
        <v>460618</v>
      </c>
      <c r="G1016" s="22">
        <v>0.4</v>
      </c>
      <c r="H1016" s="21">
        <f>ROUND(G1016*E1016,0)</f>
        <v>460618</v>
      </c>
      <c r="I1016" s="21">
        <f>H1016-F1016</f>
        <v>0</v>
      </c>
      <c r="J1016" s="23"/>
      <c r="K1016" s="24" t="s">
        <v>1797</v>
      </c>
      <c r="L1016" s="35">
        <v>0</v>
      </c>
    </row>
    <row r="1017" spans="1:12" s="26" customFormat="1" x14ac:dyDescent="0.25">
      <c r="A1017" s="27" t="s">
        <v>150</v>
      </c>
      <c r="B1017" s="33" t="s">
        <v>379</v>
      </c>
      <c r="C1017" s="29"/>
      <c r="D1017" s="30"/>
      <c r="E1017" s="30"/>
      <c r="F1017" s="31">
        <v>11654309</v>
      </c>
      <c r="G1017" s="30"/>
      <c r="H1017" s="29"/>
      <c r="I1017" s="29"/>
      <c r="J1017" s="30"/>
      <c r="K1017" s="32" t="s">
        <v>1798</v>
      </c>
      <c r="L1017" s="29"/>
    </row>
    <row r="1018" spans="1:12" x14ac:dyDescent="0.25">
      <c r="A1018" s="16" t="s">
        <v>153</v>
      </c>
      <c r="B1018" s="34" t="s">
        <v>736</v>
      </c>
      <c r="C1018" s="18">
        <v>31.04</v>
      </c>
      <c r="D1018" s="19" t="s">
        <v>23</v>
      </c>
      <c r="E1018" s="20">
        <v>208190.98</v>
      </c>
      <c r="F1018" s="21">
        <v>6462248</v>
      </c>
      <c r="G1018" s="22">
        <v>31.04</v>
      </c>
      <c r="H1018" s="21">
        <f>ROUND(G1018*E1018,0)</f>
        <v>6462248</v>
      </c>
      <c r="I1018" s="21">
        <f>H1018-F1018</f>
        <v>0</v>
      </c>
      <c r="J1018" s="23"/>
      <c r="K1018" s="24" t="s">
        <v>1799</v>
      </c>
      <c r="L1018" s="35">
        <v>0</v>
      </c>
    </row>
    <row r="1019" spans="1:12" x14ac:dyDescent="0.25">
      <c r="A1019" s="16" t="s">
        <v>157</v>
      </c>
      <c r="B1019" s="34" t="s">
        <v>373</v>
      </c>
      <c r="C1019" s="18">
        <v>162.95</v>
      </c>
      <c r="D1019" s="19" t="s">
        <v>229</v>
      </c>
      <c r="E1019" s="20">
        <v>13176.23</v>
      </c>
      <c r="F1019" s="21">
        <v>2147067</v>
      </c>
      <c r="G1019" s="22">
        <v>162.95</v>
      </c>
      <c r="H1019" s="21">
        <f>ROUND(G1019*E1019,0)</f>
        <v>2147067</v>
      </c>
      <c r="I1019" s="21">
        <f>H1019-F1019</f>
        <v>0</v>
      </c>
      <c r="J1019" s="23"/>
      <c r="K1019" s="24" t="s">
        <v>1800</v>
      </c>
      <c r="L1019" s="35">
        <v>0</v>
      </c>
    </row>
    <row r="1020" spans="1:12" x14ac:dyDescent="0.25">
      <c r="A1020" s="16" t="s">
        <v>160</v>
      </c>
      <c r="B1020" s="34" t="s">
        <v>375</v>
      </c>
      <c r="C1020" s="18">
        <v>61.55</v>
      </c>
      <c r="D1020" s="19" t="s">
        <v>229</v>
      </c>
      <c r="E1020" s="20">
        <v>13176.23</v>
      </c>
      <c r="F1020" s="21">
        <v>810997</v>
      </c>
      <c r="G1020" s="22">
        <v>61.55</v>
      </c>
      <c r="H1020" s="21">
        <f>ROUND(G1020*E1020,0)</f>
        <v>810997</v>
      </c>
      <c r="I1020" s="21">
        <f>H1020-F1020</f>
        <v>0</v>
      </c>
      <c r="J1020" s="23"/>
      <c r="K1020" s="24" t="s">
        <v>1801</v>
      </c>
      <c r="L1020" s="35">
        <v>0</v>
      </c>
    </row>
    <row r="1021" spans="1:12" x14ac:dyDescent="0.25">
      <c r="A1021" s="16" t="s">
        <v>163</v>
      </c>
      <c r="B1021" s="34" t="s">
        <v>429</v>
      </c>
      <c r="C1021" s="18">
        <v>1.94</v>
      </c>
      <c r="D1021" s="19" t="s">
        <v>214</v>
      </c>
      <c r="E1021" s="20">
        <v>1151545.01</v>
      </c>
      <c r="F1021" s="21">
        <v>2233997</v>
      </c>
      <c r="G1021" s="22">
        <v>1.94</v>
      </c>
      <c r="H1021" s="21">
        <f>ROUND(G1021*E1021,0)</f>
        <v>2233997</v>
      </c>
      <c r="I1021" s="21">
        <f>H1021-F1021</f>
        <v>0</v>
      </c>
      <c r="J1021" s="23"/>
      <c r="K1021" s="24" t="s">
        <v>1802</v>
      </c>
      <c r="L1021" s="35">
        <v>0</v>
      </c>
    </row>
    <row r="1022" spans="1:12" s="26" customFormat="1" x14ac:dyDescent="0.25">
      <c r="A1022" s="27" t="s">
        <v>175</v>
      </c>
      <c r="B1022" s="33" t="s">
        <v>741</v>
      </c>
      <c r="C1022" s="29"/>
      <c r="D1022" s="30"/>
      <c r="E1022" s="30"/>
      <c r="F1022" s="31">
        <v>4229462</v>
      </c>
      <c r="G1022" s="30"/>
      <c r="H1022" s="29"/>
      <c r="I1022" s="29"/>
      <c r="J1022" s="30"/>
      <c r="K1022" s="32" t="s">
        <v>1803</v>
      </c>
      <c r="L1022" s="29"/>
    </row>
    <row r="1023" spans="1:12" x14ac:dyDescent="0.25">
      <c r="A1023" s="16" t="s">
        <v>178</v>
      </c>
      <c r="B1023" s="34" t="s">
        <v>736</v>
      </c>
      <c r="C1023" s="18">
        <v>11.64</v>
      </c>
      <c r="D1023" s="19" t="s">
        <v>23</v>
      </c>
      <c r="E1023" s="20">
        <v>208190.98</v>
      </c>
      <c r="F1023" s="21">
        <v>2423343</v>
      </c>
      <c r="G1023" s="22">
        <v>11.64</v>
      </c>
      <c r="H1023" s="21">
        <f>ROUND(G1023*E1023,0)</f>
        <v>2423343</v>
      </c>
      <c r="I1023" s="21">
        <f>H1023-F1023</f>
        <v>0</v>
      </c>
      <c r="J1023" s="23"/>
      <c r="K1023" s="24" t="s">
        <v>1804</v>
      </c>
      <c r="L1023" s="35">
        <v>0</v>
      </c>
    </row>
    <row r="1024" spans="1:12" x14ac:dyDescent="0.25">
      <c r="A1024" s="16" t="s">
        <v>181</v>
      </c>
      <c r="B1024" s="34" t="s">
        <v>409</v>
      </c>
      <c r="C1024" s="18">
        <v>50.92</v>
      </c>
      <c r="D1024" s="19" t="s">
        <v>229</v>
      </c>
      <c r="E1024" s="20">
        <v>13176.23</v>
      </c>
      <c r="F1024" s="21">
        <v>670933</v>
      </c>
      <c r="G1024" s="22">
        <v>50.92</v>
      </c>
      <c r="H1024" s="21">
        <f>ROUND(G1024*E1024,0)</f>
        <v>670933</v>
      </c>
      <c r="I1024" s="21">
        <f>H1024-F1024</f>
        <v>0</v>
      </c>
      <c r="J1024" s="23"/>
      <c r="K1024" s="24" t="s">
        <v>1805</v>
      </c>
      <c r="L1024" s="35">
        <v>0</v>
      </c>
    </row>
    <row r="1025" spans="1:12" x14ac:dyDescent="0.25">
      <c r="A1025" s="16" t="s">
        <v>411</v>
      </c>
      <c r="B1025" s="34" t="s">
        <v>375</v>
      </c>
      <c r="C1025" s="18">
        <v>47.7</v>
      </c>
      <c r="D1025" s="19" t="s">
        <v>229</v>
      </c>
      <c r="E1025" s="20">
        <v>13176.23</v>
      </c>
      <c r="F1025" s="21">
        <v>628506</v>
      </c>
      <c r="G1025" s="22">
        <v>47.7</v>
      </c>
      <c r="H1025" s="21">
        <f>ROUND(G1025*E1025,0)</f>
        <v>628506</v>
      </c>
      <c r="I1025" s="21">
        <f>H1025-F1025</f>
        <v>0</v>
      </c>
      <c r="J1025" s="23"/>
      <c r="K1025" s="24" t="s">
        <v>1806</v>
      </c>
      <c r="L1025" s="35">
        <v>0</v>
      </c>
    </row>
    <row r="1026" spans="1:12" x14ac:dyDescent="0.25">
      <c r="A1026" s="16" t="s">
        <v>413</v>
      </c>
      <c r="B1026" s="34" t="s">
        <v>429</v>
      </c>
      <c r="C1026" s="18">
        <v>0.44</v>
      </c>
      <c r="D1026" s="19" t="s">
        <v>214</v>
      </c>
      <c r="E1026" s="20">
        <v>1151545.01</v>
      </c>
      <c r="F1026" s="21">
        <v>506680</v>
      </c>
      <c r="G1026" s="22">
        <v>0.44</v>
      </c>
      <c r="H1026" s="21">
        <f>ROUND(G1026*E1026,0)</f>
        <v>506680</v>
      </c>
      <c r="I1026" s="21">
        <f>H1026-F1026</f>
        <v>0</v>
      </c>
      <c r="J1026" s="23"/>
      <c r="K1026" s="24" t="s">
        <v>1807</v>
      </c>
      <c r="L1026" s="35">
        <v>0</v>
      </c>
    </row>
    <row r="1027" spans="1:12" s="26" customFormat="1" x14ac:dyDescent="0.25">
      <c r="A1027" s="27" t="s">
        <v>184</v>
      </c>
      <c r="B1027" s="33" t="s">
        <v>389</v>
      </c>
      <c r="C1027" s="29"/>
      <c r="D1027" s="30"/>
      <c r="E1027" s="30"/>
      <c r="F1027" s="31">
        <v>12645269</v>
      </c>
      <c r="G1027" s="30"/>
      <c r="H1027" s="29"/>
      <c r="I1027" s="29"/>
      <c r="J1027" s="30"/>
      <c r="K1027" s="32" t="s">
        <v>1808</v>
      </c>
      <c r="L1027" s="29"/>
    </row>
    <row r="1028" spans="1:12" x14ac:dyDescent="0.25">
      <c r="A1028" s="16" t="s">
        <v>187</v>
      </c>
      <c r="B1028" s="34" t="s">
        <v>748</v>
      </c>
      <c r="C1028" s="18">
        <v>32.4</v>
      </c>
      <c r="D1028" s="19" t="s">
        <v>23</v>
      </c>
      <c r="E1028" s="20">
        <v>214925.5</v>
      </c>
      <c r="F1028" s="21">
        <v>6963586</v>
      </c>
      <c r="G1028" s="22">
        <v>32.4</v>
      </c>
      <c r="H1028" s="21">
        <f>ROUND(G1028*E1028,0)</f>
        <v>6963586</v>
      </c>
      <c r="I1028" s="21">
        <f>H1028-F1028</f>
        <v>0</v>
      </c>
      <c r="J1028" s="23"/>
      <c r="K1028" s="24" t="s">
        <v>1809</v>
      </c>
      <c r="L1028" s="35">
        <v>0</v>
      </c>
    </row>
    <row r="1029" spans="1:12" x14ac:dyDescent="0.25">
      <c r="A1029" s="16" t="s">
        <v>190</v>
      </c>
      <c r="B1029" s="34" t="s">
        <v>353</v>
      </c>
      <c r="C1029" s="18">
        <v>110.97</v>
      </c>
      <c r="D1029" s="19" t="s">
        <v>229</v>
      </c>
      <c r="E1029" s="20">
        <v>13176.23</v>
      </c>
      <c r="F1029" s="21">
        <v>1462166</v>
      </c>
      <c r="G1029" s="22">
        <v>110.97</v>
      </c>
      <c r="H1029" s="21">
        <f>ROUND(G1029*E1029,0)</f>
        <v>1462166</v>
      </c>
      <c r="I1029" s="21">
        <f>H1029-F1029</f>
        <v>0</v>
      </c>
      <c r="J1029" s="23"/>
      <c r="K1029" s="24" t="s">
        <v>1810</v>
      </c>
      <c r="L1029" s="35">
        <v>0</v>
      </c>
    </row>
    <row r="1030" spans="1:12" x14ac:dyDescent="0.25">
      <c r="A1030" s="16" t="s">
        <v>826</v>
      </c>
      <c r="B1030" s="34" t="s">
        <v>355</v>
      </c>
      <c r="C1030" s="18">
        <v>100</v>
      </c>
      <c r="D1030" s="19" t="s">
        <v>229</v>
      </c>
      <c r="E1030" s="20">
        <v>13176.23</v>
      </c>
      <c r="F1030" s="21">
        <v>1317623</v>
      </c>
      <c r="G1030" s="22">
        <v>100</v>
      </c>
      <c r="H1030" s="21">
        <f>ROUND(G1030*E1030,0)</f>
        <v>1317623</v>
      </c>
      <c r="I1030" s="21">
        <f>H1030-F1030</f>
        <v>0</v>
      </c>
      <c r="J1030" s="23"/>
      <c r="K1030" s="24" t="s">
        <v>1811</v>
      </c>
      <c r="L1030" s="35">
        <v>0</v>
      </c>
    </row>
    <row r="1031" spans="1:12" x14ac:dyDescent="0.25">
      <c r="A1031" s="16" t="s">
        <v>829</v>
      </c>
      <c r="B1031" s="34" t="s">
        <v>429</v>
      </c>
      <c r="C1031" s="18">
        <v>2.52</v>
      </c>
      <c r="D1031" s="19" t="s">
        <v>214</v>
      </c>
      <c r="E1031" s="20">
        <v>1151545.01</v>
      </c>
      <c r="F1031" s="21">
        <v>2901894</v>
      </c>
      <c r="G1031" s="22">
        <v>2.52</v>
      </c>
      <c r="H1031" s="21">
        <f>ROUND(G1031*E1031,0)</f>
        <v>2901894</v>
      </c>
      <c r="I1031" s="21">
        <f>H1031-F1031</f>
        <v>0</v>
      </c>
      <c r="J1031" s="23"/>
      <c r="K1031" s="24" t="s">
        <v>1812</v>
      </c>
      <c r="L1031" s="35">
        <v>0</v>
      </c>
    </row>
    <row r="1032" spans="1:12" s="26" customFormat="1" x14ac:dyDescent="0.25">
      <c r="A1032" s="27" t="s">
        <v>193</v>
      </c>
      <c r="B1032" s="33" t="s">
        <v>400</v>
      </c>
      <c r="C1032" s="29"/>
      <c r="D1032" s="30"/>
      <c r="E1032" s="30"/>
      <c r="F1032" s="31">
        <v>8430091</v>
      </c>
      <c r="G1032" s="30"/>
      <c r="H1032" s="29"/>
      <c r="I1032" s="29"/>
      <c r="J1032" s="30"/>
      <c r="K1032" s="32" t="s">
        <v>1813</v>
      </c>
      <c r="L1032" s="29"/>
    </row>
    <row r="1033" spans="1:12" x14ac:dyDescent="0.25">
      <c r="A1033" s="16" t="s">
        <v>196</v>
      </c>
      <c r="B1033" s="34" t="s">
        <v>748</v>
      </c>
      <c r="C1033" s="18">
        <v>21.6</v>
      </c>
      <c r="D1033" s="19" t="s">
        <v>23</v>
      </c>
      <c r="E1033" s="20">
        <v>214925.5</v>
      </c>
      <c r="F1033" s="21">
        <v>4642391</v>
      </c>
      <c r="G1033" s="22">
        <v>21.6</v>
      </c>
      <c r="H1033" s="21">
        <f>ROUND(G1033*E1033,0)</f>
        <v>4642391</v>
      </c>
      <c r="I1033" s="21">
        <f>H1033-F1033</f>
        <v>0</v>
      </c>
      <c r="J1033" s="23"/>
      <c r="K1033" s="24" t="s">
        <v>1814</v>
      </c>
      <c r="L1033" s="35">
        <v>0</v>
      </c>
    </row>
    <row r="1034" spans="1:12" x14ac:dyDescent="0.25">
      <c r="A1034" s="16" t="s">
        <v>199</v>
      </c>
      <c r="B1034" s="34" t="s">
        <v>353</v>
      </c>
      <c r="C1034" s="18">
        <v>73.98</v>
      </c>
      <c r="D1034" s="19" t="s">
        <v>229</v>
      </c>
      <c r="E1034" s="20">
        <v>13176.23</v>
      </c>
      <c r="F1034" s="21">
        <v>974777</v>
      </c>
      <c r="G1034" s="22">
        <v>73.98</v>
      </c>
      <c r="H1034" s="21">
        <f>ROUND(G1034*E1034,0)</f>
        <v>974777</v>
      </c>
      <c r="I1034" s="21">
        <f>H1034-F1034</f>
        <v>0</v>
      </c>
      <c r="J1034" s="23"/>
      <c r="K1034" s="24" t="s">
        <v>1815</v>
      </c>
      <c r="L1034" s="35">
        <v>0</v>
      </c>
    </row>
    <row r="1035" spans="1:12" x14ac:dyDescent="0.25">
      <c r="A1035" s="16" t="s">
        <v>779</v>
      </c>
      <c r="B1035" s="34" t="s">
        <v>355</v>
      </c>
      <c r="C1035" s="18">
        <v>66.66</v>
      </c>
      <c r="D1035" s="19" t="s">
        <v>229</v>
      </c>
      <c r="E1035" s="20">
        <v>13176.23</v>
      </c>
      <c r="F1035" s="21">
        <v>878327</v>
      </c>
      <c r="G1035" s="22">
        <v>66.66</v>
      </c>
      <c r="H1035" s="21">
        <f>ROUND(G1035*E1035,0)</f>
        <v>878327</v>
      </c>
      <c r="I1035" s="21">
        <f>H1035-F1035</f>
        <v>0</v>
      </c>
      <c r="J1035" s="23"/>
      <c r="K1035" s="24" t="s">
        <v>1816</v>
      </c>
      <c r="L1035" s="35">
        <v>0</v>
      </c>
    </row>
    <row r="1036" spans="1:12" x14ac:dyDescent="0.25">
      <c r="A1036" s="16" t="s">
        <v>781</v>
      </c>
      <c r="B1036" s="34" t="s">
        <v>429</v>
      </c>
      <c r="C1036" s="18">
        <v>1.68</v>
      </c>
      <c r="D1036" s="19" t="s">
        <v>214</v>
      </c>
      <c r="E1036" s="20">
        <v>1151545.01</v>
      </c>
      <c r="F1036" s="21">
        <v>1934596</v>
      </c>
      <c r="G1036" s="22">
        <v>1.68</v>
      </c>
      <c r="H1036" s="21">
        <f>ROUND(G1036*E1036,0)</f>
        <v>1934596</v>
      </c>
      <c r="I1036" s="21">
        <f>H1036-F1036</f>
        <v>0</v>
      </c>
      <c r="J1036" s="23"/>
      <c r="K1036" s="24" t="s">
        <v>1817</v>
      </c>
      <c r="L1036" s="35">
        <v>0</v>
      </c>
    </row>
    <row r="1037" spans="1:12" s="26" customFormat="1" x14ac:dyDescent="0.25">
      <c r="A1037" s="27" t="s">
        <v>202</v>
      </c>
      <c r="B1037" s="33" t="s">
        <v>1523</v>
      </c>
      <c r="C1037" s="29"/>
      <c r="D1037" s="30"/>
      <c r="E1037" s="30"/>
      <c r="F1037" s="31">
        <v>1236319</v>
      </c>
      <c r="G1037" s="30"/>
      <c r="H1037" s="29"/>
      <c r="I1037" s="29"/>
      <c r="J1037" s="30"/>
      <c r="K1037" s="32" t="s">
        <v>1818</v>
      </c>
      <c r="L1037" s="29"/>
    </row>
    <row r="1038" spans="1:12" x14ac:dyDescent="0.25">
      <c r="A1038" s="16" t="s">
        <v>834</v>
      </c>
      <c r="B1038" s="34" t="s">
        <v>748</v>
      </c>
      <c r="C1038" s="18">
        <v>3.3</v>
      </c>
      <c r="D1038" s="19" t="s">
        <v>23</v>
      </c>
      <c r="E1038" s="20">
        <v>214925.5</v>
      </c>
      <c r="F1038" s="21">
        <v>709254</v>
      </c>
      <c r="G1038" s="22">
        <v>3.3</v>
      </c>
      <c r="H1038" s="21">
        <f>ROUND(G1038*E1038,0)</f>
        <v>709254</v>
      </c>
      <c r="I1038" s="21">
        <f>H1038-F1038</f>
        <v>0</v>
      </c>
      <c r="J1038" s="23"/>
      <c r="K1038" s="24" t="s">
        <v>1819</v>
      </c>
      <c r="L1038" s="35">
        <v>0</v>
      </c>
    </row>
    <row r="1039" spans="1:12" x14ac:dyDescent="0.25">
      <c r="A1039" s="16" t="s">
        <v>850</v>
      </c>
      <c r="B1039" s="34" t="s">
        <v>409</v>
      </c>
      <c r="C1039" s="18">
        <v>14.8</v>
      </c>
      <c r="D1039" s="19" t="s">
        <v>229</v>
      </c>
      <c r="E1039" s="20">
        <v>13176.23</v>
      </c>
      <c r="F1039" s="21">
        <v>195008</v>
      </c>
      <c r="G1039" s="22">
        <v>14.8</v>
      </c>
      <c r="H1039" s="21">
        <f>ROUND(G1039*E1039,0)</f>
        <v>195008</v>
      </c>
      <c r="I1039" s="21">
        <f>H1039-F1039</f>
        <v>0</v>
      </c>
      <c r="J1039" s="23"/>
      <c r="K1039" s="24" t="s">
        <v>1820</v>
      </c>
      <c r="L1039" s="35">
        <v>0</v>
      </c>
    </row>
    <row r="1040" spans="1:12" x14ac:dyDescent="0.25">
      <c r="A1040" s="16" t="s">
        <v>853</v>
      </c>
      <c r="B1040" s="34" t="s">
        <v>355</v>
      </c>
      <c r="C1040" s="18">
        <v>9.47</v>
      </c>
      <c r="D1040" s="19" t="s">
        <v>229</v>
      </c>
      <c r="E1040" s="20">
        <v>13176.23</v>
      </c>
      <c r="F1040" s="21">
        <v>124779</v>
      </c>
      <c r="G1040" s="22">
        <v>9.47</v>
      </c>
      <c r="H1040" s="21">
        <f>ROUND(G1040*E1040,0)</f>
        <v>124779</v>
      </c>
      <c r="I1040" s="21">
        <f>H1040-F1040</f>
        <v>0</v>
      </c>
      <c r="J1040" s="23"/>
      <c r="K1040" s="24" t="s">
        <v>1821</v>
      </c>
      <c r="L1040" s="35">
        <v>0</v>
      </c>
    </row>
    <row r="1041" spans="1:12" x14ac:dyDescent="0.25">
      <c r="A1041" s="16" t="s">
        <v>1554</v>
      </c>
      <c r="B1041" s="34" t="s">
        <v>429</v>
      </c>
      <c r="C1041" s="18">
        <v>0.18</v>
      </c>
      <c r="D1041" s="19" t="s">
        <v>214</v>
      </c>
      <c r="E1041" s="20">
        <v>1151545.01</v>
      </c>
      <c r="F1041" s="21">
        <v>207278</v>
      </c>
      <c r="G1041" s="22">
        <v>0.18</v>
      </c>
      <c r="H1041" s="21">
        <f>ROUND(G1041*E1041,0)</f>
        <v>207278</v>
      </c>
      <c r="I1041" s="21">
        <f>H1041-F1041</f>
        <v>0</v>
      </c>
      <c r="J1041" s="23"/>
      <c r="K1041" s="24" t="s">
        <v>1822</v>
      </c>
      <c r="L1041" s="35">
        <v>0</v>
      </c>
    </row>
    <row r="1042" spans="1:12" s="26" customFormat="1" x14ac:dyDescent="0.25">
      <c r="A1042" s="27" t="s">
        <v>205</v>
      </c>
      <c r="B1042" s="33" t="s">
        <v>415</v>
      </c>
      <c r="C1042" s="29"/>
      <c r="D1042" s="30"/>
      <c r="E1042" s="30"/>
      <c r="F1042" s="31">
        <v>5012011</v>
      </c>
      <c r="G1042" s="30"/>
      <c r="H1042" s="29"/>
      <c r="I1042" s="29"/>
      <c r="J1042" s="30"/>
      <c r="K1042" s="32" t="s">
        <v>1823</v>
      </c>
      <c r="L1042" s="29"/>
    </row>
    <row r="1043" spans="1:12" s="26" customFormat="1" x14ac:dyDescent="0.25">
      <c r="A1043" s="27" t="s">
        <v>1824</v>
      </c>
      <c r="B1043" s="37" t="s">
        <v>1825</v>
      </c>
      <c r="C1043" s="29"/>
      <c r="D1043" s="30"/>
      <c r="E1043" s="30"/>
      <c r="F1043" s="31">
        <v>3680469</v>
      </c>
      <c r="G1043" s="30"/>
      <c r="H1043" s="29"/>
      <c r="I1043" s="29"/>
      <c r="J1043" s="30"/>
      <c r="K1043" s="32" t="s">
        <v>1826</v>
      </c>
      <c r="L1043" s="29"/>
    </row>
    <row r="1044" spans="1:12" x14ac:dyDescent="0.25">
      <c r="A1044" s="16" t="s">
        <v>1827</v>
      </c>
      <c r="B1044" s="38" t="s">
        <v>392</v>
      </c>
      <c r="C1044" s="18">
        <v>6.18</v>
      </c>
      <c r="D1044" s="19" t="s">
        <v>23</v>
      </c>
      <c r="E1044" s="20">
        <v>214925.5</v>
      </c>
      <c r="F1044" s="21">
        <v>1328240</v>
      </c>
      <c r="G1044" s="22">
        <v>6.18</v>
      </c>
      <c r="H1044" s="21">
        <f>ROUND(G1044*E1044,0)</f>
        <v>1328240</v>
      </c>
      <c r="I1044" s="21">
        <f>H1044-F1044</f>
        <v>0</v>
      </c>
      <c r="J1044" s="23"/>
      <c r="K1044" s="24" t="s">
        <v>1828</v>
      </c>
      <c r="L1044" s="35">
        <v>0</v>
      </c>
    </row>
    <row r="1045" spans="1:12" x14ac:dyDescent="0.25">
      <c r="A1045" s="16" t="s">
        <v>1829</v>
      </c>
      <c r="B1045" s="38" t="s">
        <v>423</v>
      </c>
      <c r="C1045" s="18">
        <v>64.28</v>
      </c>
      <c r="D1045" s="19" t="s">
        <v>229</v>
      </c>
      <c r="E1045" s="20">
        <v>13176.23</v>
      </c>
      <c r="F1045" s="21">
        <v>846968</v>
      </c>
      <c r="G1045" s="22">
        <v>64.28</v>
      </c>
      <c r="H1045" s="21">
        <f>ROUND(G1045*E1045,0)</f>
        <v>846968</v>
      </c>
      <c r="I1045" s="21">
        <f>H1045-F1045</f>
        <v>0</v>
      </c>
      <c r="J1045" s="23"/>
      <c r="K1045" s="24" t="s">
        <v>1830</v>
      </c>
      <c r="L1045" s="35">
        <v>0</v>
      </c>
    </row>
    <row r="1046" spans="1:12" x14ac:dyDescent="0.25">
      <c r="A1046" s="16" t="s">
        <v>1831</v>
      </c>
      <c r="B1046" s="38" t="s">
        <v>426</v>
      </c>
      <c r="C1046" s="18">
        <v>47.82</v>
      </c>
      <c r="D1046" s="19" t="s">
        <v>229</v>
      </c>
      <c r="E1046" s="20">
        <v>13176.23</v>
      </c>
      <c r="F1046" s="21">
        <v>630087</v>
      </c>
      <c r="G1046" s="22">
        <v>47.82</v>
      </c>
      <c r="H1046" s="21">
        <f>ROUND(G1046*E1046,0)</f>
        <v>630087</v>
      </c>
      <c r="I1046" s="21">
        <f>H1046-F1046</f>
        <v>0</v>
      </c>
      <c r="J1046" s="23"/>
      <c r="K1046" s="24" t="s">
        <v>1832</v>
      </c>
      <c r="L1046" s="35">
        <v>0</v>
      </c>
    </row>
    <row r="1047" spans="1:12" x14ac:dyDescent="0.25">
      <c r="A1047" s="16" t="s">
        <v>1833</v>
      </c>
      <c r="B1047" s="38" t="s">
        <v>429</v>
      </c>
      <c r="C1047" s="18">
        <v>0.76</v>
      </c>
      <c r="D1047" s="19" t="s">
        <v>214</v>
      </c>
      <c r="E1047" s="20">
        <v>1151545.01</v>
      </c>
      <c r="F1047" s="21">
        <v>875174</v>
      </c>
      <c r="G1047" s="22">
        <v>0.76</v>
      </c>
      <c r="H1047" s="21">
        <f>ROUND(G1047*E1047,0)</f>
        <v>875174</v>
      </c>
      <c r="I1047" s="21">
        <f>H1047-F1047</f>
        <v>0</v>
      </c>
      <c r="J1047" s="23"/>
      <c r="K1047" s="24" t="s">
        <v>1834</v>
      </c>
      <c r="L1047" s="35">
        <v>0</v>
      </c>
    </row>
    <row r="1048" spans="1:12" s="26" customFormat="1" x14ac:dyDescent="0.25">
      <c r="A1048" s="27" t="s">
        <v>1835</v>
      </c>
      <c r="B1048" s="37" t="s">
        <v>1836</v>
      </c>
      <c r="C1048" s="29"/>
      <c r="D1048" s="30"/>
      <c r="E1048" s="30"/>
      <c r="F1048" s="31">
        <v>1331542</v>
      </c>
      <c r="G1048" s="30"/>
      <c r="H1048" s="29"/>
      <c r="I1048" s="29"/>
      <c r="J1048" s="30"/>
      <c r="K1048" s="32" t="s">
        <v>1837</v>
      </c>
      <c r="L1048" s="29"/>
    </row>
    <row r="1049" spans="1:12" x14ac:dyDescent="0.25">
      <c r="A1049" s="16" t="s">
        <v>1838</v>
      </c>
      <c r="B1049" s="38" t="s">
        <v>736</v>
      </c>
      <c r="C1049" s="18">
        <v>2.8</v>
      </c>
      <c r="D1049" s="19" t="s">
        <v>23</v>
      </c>
      <c r="E1049" s="20">
        <v>208190.98</v>
      </c>
      <c r="F1049" s="21">
        <v>582935</v>
      </c>
      <c r="G1049" s="22">
        <v>2.8</v>
      </c>
      <c r="H1049" s="21">
        <f>ROUND(G1049*E1049,0)</f>
        <v>582935</v>
      </c>
      <c r="I1049" s="21">
        <f>H1049-F1049</f>
        <v>0</v>
      </c>
      <c r="J1049" s="23"/>
      <c r="K1049" s="24" t="s">
        <v>1839</v>
      </c>
      <c r="L1049" s="35">
        <v>0</v>
      </c>
    </row>
    <row r="1050" spans="1:12" x14ac:dyDescent="0.25">
      <c r="A1050" s="16" t="s">
        <v>1840</v>
      </c>
      <c r="B1050" s="38" t="s">
        <v>423</v>
      </c>
      <c r="C1050" s="18">
        <v>21.7</v>
      </c>
      <c r="D1050" s="19" t="s">
        <v>229</v>
      </c>
      <c r="E1050" s="20">
        <v>13176.23</v>
      </c>
      <c r="F1050" s="21">
        <v>285924</v>
      </c>
      <c r="G1050" s="22">
        <v>21.7</v>
      </c>
      <c r="H1050" s="21">
        <f>ROUND(G1050*E1050,0)</f>
        <v>285924</v>
      </c>
      <c r="I1050" s="21">
        <f>H1050-F1050</f>
        <v>0</v>
      </c>
      <c r="J1050" s="23"/>
      <c r="K1050" s="24" t="s">
        <v>1841</v>
      </c>
      <c r="L1050" s="35">
        <v>0</v>
      </c>
    </row>
    <row r="1051" spans="1:12" x14ac:dyDescent="0.25">
      <c r="A1051" s="16" t="s">
        <v>1842</v>
      </c>
      <c r="B1051" s="38" t="s">
        <v>426</v>
      </c>
      <c r="C1051" s="18">
        <v>14.14</v>
      </c>
      <c r="D1051" s="19" t="s">
        <v>229</v>
      </c>
      <c r="E1051" s="20">
        <v>13176.23</v>
      </c>
      <c r="F1051" s="21">
        <v>186312</v>
      </c>
      <c r="G1051" s="22">
        <v>14.14</v>
      </c>
      <c r="H1051" s="21">
        <f>ROUND(G1051*E1051,0)</f>
        <v>186312</v>
      </c>
      <c r="I1051" s="21">
        <f>H1051-F1051</f>
        <v>0</v>
      </c>
      <c r="J1051" s="23"/>
      <c r="K1051" s="24" t="s">
        <v>1843</v>
      </c>
      <c r="L1051" s="35">
        <v>0</v>
      </c>
    </row>
    <row r="1052" spans="1:12" x14ac:dyDescent="0.25">
      <c r="A1052" s="16" t="s">
        <v>1844</v>
      </c>
      <c r="B1052" s="38" t="s">
        <v>429</v>
      </c>
      <c r="C1052" s="18">
        <v>0.24</v>
      </c>
      <c r="D1052" s="19" t="s">
        <v>214</v>
      </c>
      <c r="E1052" s="20">
        <v>1151545.01</v>
      </c>
      <c r="F1052" s="21">
        <v>276371</v>
      </c>
      <c r="G1052" s="22">
        <v>0.24</v>
      </c>
      <c r="H1052" s="21">
        <f>ROUND(G1052*E1052,0)</f>
        <v>276371</v>
      </c>
      <c r="I1052" s="21">
        <f>H1052-F1052</f>
        <v>0</v>
      </c>
      <c r="J1052" s="23"/>
      <c r="K1052" s="24" t="s">
        <v>1845</v>
      </c>
      <c r="L1052" s="35">
        <v>0</v>
      </c>
    </row>
    <row r="1053" spans="1:12" s="26" customFormat="1" x14ac:dyDescent="0.25">
      <c r="A1053" s="27" t="s">
        <v>858</v>
      </c>
      <c r="B1053" s="33" t="s">
        <v>1572</v>
      </c>
      <c r="C1053" s="29"/>
      <c r="D1053" s="30"/>
      <c r="E1053" s="30"/>
      <c r="F1053" s="31">
        <v>6202881</v>
      </c>
      <c r="G1053" s="30"/>
      <c r="H1053" s="29"/>
      <c r="I1053" s="29"/>
      <c r="J1053" s="30"/>
      <c r="K1053" s="32" t="s">
        <v>1846</v>
      </c>
      <c r="L1053" s="29"/>
    </row>
    <row r="1054" spans="1:12" x14ac:dyDescent="0.25">
      <c r="A1054" s="16" t="s">
        <v>1574</v>
      </c>
      <c r="B1054" s="34" t="s">
        <v>1847</v>
      </c>
      <c r="C1054" s="18">
        <v>4.012</v>
      </c>
      <c r="D1054" s="19" t="s">
        <v>214</v>
      </c>
      <c r="E1054" s="20">
        <v>364825.99</v>
      </c>
      <c r="F1054" s="21">
        <v>1463864</v>
      </c>
      <c r="G1054" s="22">
        <v>4.012</v>
      </c>
      <c r="H1054" s="21">
        <f>ROUND(G1054*E1054,0)</f>
        <v>1463864</v>
      </c>
      <c r="I1054" s="21">
        <f>H1054-F1054</f>
        <v>0</v>
      </c>
      <c r="J1054" s="23"/>
      <c r="K1054" s="24" t="s">
        <v>1848</v>
      </c>
      <c r="L1054" s="35">
        <v>0</v>
      </c>
    </row>
    <row r="1055" spans="1:12" x14ac:dyDescent="0.25">
      <c r="A1055" s="16" t="s">
        <v>1576</v>
      </c>
      <c r="B1055" s="34" t="s">
        <v>1849</v>
      </c>
      <c r="C1055" s="18">
        <v>4.012</v>
      </c>
      <c r="D1055" s="19" t="s">
        <v>214</v>
      </c>
      <c r="E1055" s="20">
        <v>53756.99</v>
      </c>
      <c r="F1055" s="21">
        <v>215700</v>
      </c>
      <c r="G1055" s="22">
        <v>4.012</v>
      </c>
      <c r="H1055" s="21">
        <f>ROUND(G1055*E1055,0)</f>
        <v>215700</v>
      </c>
      <c r="I1055" s="21">
        <f>H1055-F1055</f>
        <v>0</v>
      </c>
      <c r="J1055" s="23"/>
      <c r="K1055" s="24" t="s">
        <v>1850</v>
      </c>
      <c r="L1055" s="35">
        <v>0</v>
      </c>
    </row>
    <row r="1056" spans="1:12" x14ac:dyDescent="0.25">
      <c r="A1056" s="16" t="s">
        <v>1578</v>
      </c>
      <c r="B1056" s="34" t="s">
        <v>1851</v>
      </c>
      <c r="C1056" s="18">
        <v>2.407</v>
      </c>
      <c r="D1056" s="19" t="s">
        <v>214</v>
      </c>
      <c r="E1056" s="20">
        <v>244172.59</v>
      </c>
      <c r="F1056" s="21">
        <v>587846</v>
      </c>
      <c r="G1056" s="22">
        <v>2.407</v>
      </c>
      <c r="H1056" s="21">
        <f>ROUND(G1056*E1056,0)</f>
        <v>587846</v>
      </c>
      <c r="I1056" s="21">
        <f>H1056-F1056</f>
        <v>0</v>
      </c>
      <c r="J1056" s="23"/>
      <c r="K1056" s="24" t="s">
        <v>1852</v>
      </c>
      <c r="L1056" s="35">
        <v>0</v>
      </c>
    </row>
    <row r="1057" spans="1:12" x14ac:dyDescent="0.25">
      <c r="A1057" s="16" t="s">
        <v>1580</v>
      </c>
      <c r="B1057" s="34" t="s">
        <v>640</v>
      </c>
      <c r="C1057" s="18">
        <v>0.802</v>
      </c>
      <c r="D1057" s="19" t="s">
        <v>214</v>
      </c>
      <c r="E1057" s="20">
        <v>1016530.97</v>
      </c>
      <c r="F1057" s="21">
        <v>815766</v>
      </c>
      <c r="G1057" s="22">
        <v>0.802</v>
      </c>
      <c r="H1057" s="21">
        <f>ROUND(G1057*E1057,0)</f>
        <v>815766</v>
      </c>
      <c r="I1057" s="21">
        <f>H1057-F1057</f>
        <v>0</v>
      </c>
      <c r="J1057" s="23"/>
      <c r="K1057" s="24" t="s">
        <v>1853</v>
      </c>
      <c r="L1057" s="35">
        <v>0</v>
      </c>
    </row>
    <row r="1058" spans="1:12" x14ac:dyDescent="0.25">
      <c r="A1058" s="16" t="s">
        <v>1582</v>
      </c>
      <c r="B1058" s="34" t="s">
        <v>1583</v>
      </c>
      <c r="C1058" s="18">
        <v>0.9</v>
      </c>
      <c r="D1058" s="19" t="s">
        <v>23</v>
      </c>
      <c r="E1058" s="20">
        <v>122466.89</v>
      </c>
      <c r="F1058" s="21">
        <v>110220</v>
      </c>
      <c r="G1058" s="22">
        <v>0.9</v>
      </c>
      <c r="H1058" s="21">
        <f>ROUND(G1058*E1058,0)</f>
        <v>110220</v>
      </c>
      <c r="I1058" s="21">
        <f>H1058-F1058</f>
        <v>0</v>
      </c>
      <c r="J1058" s="23"/>
      <c r="K1058" s="24" t="s">
        <v>1854</v>
      </c>
      <c r="L1058" s="35">
        <v>0</v>
      </c>
    </row>
    <row r="1059" spans="1:12" x14ac:dyDescent="0.25">
      <c r="A1059" s="16" t="s">
        <v>1585</v>
      </c>
      <c r="B1059" s="34" t="s">
        <v>1568</v>
      </c>
      <c r="C1059" s="18">
        <v>16.05</v>
      </c>
      <c r="D1059" s="19" t="s">
        <v>23</v>
      </c>
      <c r="E1059" s="20">
        <v>24279.27</v>
      </c>
      <c r="F1059" s="21">
        <v>389682</v>
      </c>
      <c r="G1059" s="22">
        <v>16.05</v>
      </c>
      <c r="H1059" s="21">
        <f>ROUND(G1059*E1059,0)</f>
        <v>389682</v>
      </c>
      <c r="I1059" s="21">
        <f>H1059-F1059</f>
        <v>0</v>
      </c>
      <c r="J1059" s="23"/>
      <c r="K1059" s="24" t="s">
        <v>1855</v>
      </c>
      <c r="L1059" s="35">
        <v>0</v>
      </c>
    </row>
    <row r="1060" spans="1:12" x14ac:dyDescent="0.25">
      <c r="A1060" s="16" t="s">
        <v>1588</v>
      </c>
      <c r="B1060" s="34" t="s">
        <v>377</v>
      </c>
      <c r="C1060" s="18">
        <v>1.605</v>
      </c>
      <c r="D1060" s="19" t="s">
        <v>214</v>
      </c>
      <c r="E1060" s="20">
        <v>1151545.01</v>
      </c>
      <c r="F1060" s="21">
        <v>1848230</v>
      </c>
      <c r="G1060" s="22">
        <v>1.605</v>
      </c>
      <c r="H1060" s="21">
        <f>ROUND(G1060*E1060,0)</f>
        <v>1848230</v>
      </c>
      <c r="I1060" s="21">
        <f>H1060-F1060</f>
        <v>0</v>
      </c>
      <c r="J1060" s="23"/>
      <c r="K1060" s="24" t="s">
        <v>1856</v>
      </c>
      <c r="L1060" s="35">
        <v>0</v>
      </c>
    </row>
    <row r="1061" spans="1:12" x14ac:dyDescent="0.25">
      <c r="A1061" s="16" t="s">
        <v>1590</v>
      </c>
      <c r="B1061" s="34" t="s">
        <v>250</v>
      </c>
      <c r="C1061" s="18">
        <v>16.95</v>
      </c>
      <c r="D1061" s="19" t="s">
        <v>23</v>
      </c>
      <c r="E1061" s="20">
        <v>45520.53</v>
      </c>
      <c r="F1061" s="21">
        <v>771573</v>
      </c>
      <c r="G1061" s="22">
        <v>16.95</v>
      </c>
      <c r="H1061" s="21">
        <f>ROUND(G1061*E1061,0)</f>
        <v>771573</v>
      </c>
      <c r="I1061" s="21">
        <f>H1061-F1061</f>
        <v>0</v>
      </c>
      <c r="J1061" s="23"/>
      <c r="K1061" s="24" t="s">
        <v>1857</v>
      </c>
      <c r="L1061" s="35">
        <v>0</v>
      </c>
    </row>
    <row r="1062" spans="1:12" s="26" customFormat="1" x14ac:dyDescent="0.25">
      <c r="A1062" s="27" t="s">
        <v>1858</v>
      </c>
      <c r="B1062" s="28" t="s">
        <v>443</v>
      </c>
      <c r="C1062" s="29"/>
      <c r="D1062" s="30"/>
      <c r="E1062" s="30"/>
      <c r="F1062" s="31">
        <v>155623758</v>
      </c>
      <c r="G1062" s="30"/>
      <c r="H1062" s="29"/>
      <c r="I1062" s="29"/>
      <c r="J1062" s="30"/>
      <c r="K1062" s="32" t="s">
        <v>1859</v>
      </c>
      <c r="L1062" s="29"/>
    </row>
    <row r="1063" spans="1:12" x14ac:dyDescent="0.25">
      <c r="A1063" s="16" t="s">
        <v>21</v>
      </c>
      <c r="B1063" s="36" t="s">
        <v>445</v>
      </c>
      <c r="C1063" s="18">
        <v>67.96</v>
      </c>
      <c r="D1063" s="19" t="s">
        <v>23</v>
      </c>
      <c r="E1063" s="20">
        <v>122466.89</v>
      </c>
      <c r="F1063" s="21">
        <v>8322850</v>
      </c>
      <c r="G1063" s="22">
        <v>67.96</v>
      </c>
      <c r="H1063" s="21">
        <f>ROUND(G1063*E1063,0)</f>
        <v>8322850</v>
      </c>
      <c r="I1063" s="21">
        <f>H1063-F1063</f>
        <v>0</v>
      </c>
      <c r="J1063" s="23"/>
      <c r="K1063" s="24" t="s">
        <v>1860</v>
      </c>
      <c r="L1063" s="35">
        <v>0</v>
      </c>
    </row>
    <row r="1064" spans="1:12" x14ac:dyDescent="0.25">
      <c r="A1064" s="16" t="s">
        <v>25</v>
      </c>
      <c r="B1064" s="36" t="s">
        <v>447</v>
      </c>
      <c r="C1064" s="18">
        <v>135.92</v>
      </c>
      <c r="D1064" s="19" t="s">
        <v>23</v>
      </c>
      <c r="E1064" s="20">
        <v>54647.67</v>
      </c>
      <c r="F1064" s="21">
        <v>7427711</v>
      </c>
      <c r="G1064" s="22">
        <v>135.92</v>
      </c>
      <c r="H1064" s="21">
        <f>ROUND(G1064*E1064,0)</f>
        <v>7427711</v>
      </c>
      <c r="I1064" s="21">
        <f>H1064-F1064</f>
        <v>0</v>
      </c>
      <c r="J1064" s="23"/>
      <c r="K1064" s="24" t="s">
        <v>1861</v>
      </c>
      <c r="L1064" s="35">
        <v>0</v>
      </c>
    </row>
    <row r="1065" spans="1:12" x14ac:dyDescent="0.25">
      <c r="A1065" s="16" t="s">
        <v>29</v>
      </c>
      <c r="B1065" s="36" t="s">
        <v>250</v>
      </c>
      <c r="C1065" s="18">
        <v>135.92</v>
      </c>
      <c r="D1065" s="19" t="s">
        <v>23</v>
      </c>
      <c r="E1065" s="20">
        <v>45520.53</v>
      </c>
      <c r="F1065" s="21">
        <v>6187150</v>
      </c>
      <c r="G1065" s="22">
        <v>135.92</v>
      </c>
      <c r="H1065" s="21">
        <f>ROUND(G1065*E1065,0)</f>
        <v>6187150</v>
      </c>
      <c r="I1065" s="21">
        <f>H1065-F1065</f>
        <v>0</v>
      </c>
      <c r="J1065" s="23"/>
      <c r="K1065" s="24" t="s">
        <v>1862</v>
      </c>
      <c r="L1065" s="35">
        <v>0</v>
      </c>
    </row>
    <row r="1066" spans="1:12" x14ac:dyDescent="0.25">
      <c r="A1066" s="16" t="s">
        <v>33</v>
      </c>
      <c r="B1066" s="36" t="s">
        <v>450</v>
      </c>
      <c r="C1066" s="18">
        <v>77.84</v>
      </c>
      <c r="D1066" s="19" t="s">
        <v>23</v>
      </c>
      <c r="E1066" s="20">
        <v>45520.53</v>
      </c>
      <c r="F1066" s="21">
        <v>3543318</v>
      </c>
      <c r="G1066" s="22">
        <v>77.84</v>
      </c>
      <c r="H1066" s="21">
        <f>ROUND(G1066*E1066,0)</f>
        <v>3543318</v>
      </c>
      <c r="I1066" s="21">
        <f>H1066-F1066</f>
        <v>0</v>
      </c>
      <c r="J1066" s="23"/>
      <c r="K1066" s="24" t="s">
        <v>1863</v>
      </c>
      <c r="L1066" s="35">
        <v>0</v>
      </c>
    </row>
    <row r="1067" spans="1:12" x14ac:dyDescent="0.25">
      <c r="A1067" s="16" t="s">
        <v>36</v>
      </c>
      <c r="B1067" s="36" t="s">
        <v>452</v>
      </c>
      <c r="C1067" s="18">
        <v>5.84</v>
      </c>
      <c r="D1067" s="19" t="s">
        <v>23</v>
      </c>
      <c r="E1067" s="20">
        <v>56201.8</v>
      </c>
      <c r="F1067" s="21">
        <v>328218</v>
      </c>
      <c r="G1067" s="22">
        <v>5.84</v>
      </c>
      <c r="H1067" s="21">
        <f>ROUND(G1067*E1067,0)</f>
        <v>328218</v>
      </c>
      <c r="I1067" s="21">
        <f>H1067-F1067</f>
        <v>0</v>
      </c>
      <c r="J1067" s="23"/>
      <c r="K1067" s="24" t="s">
        <v>1864</v>
      </c>
      <c r="L1067" s="35">
        <v>0</v>
      </c>
    </row>
    <row r="1068" spans="1:12" x14ac:dyDescent="0.25">
      <c r="A1068" s="16" t="s">
        <v>40</v>
      </c>
      <c r="B1068" s="36" t="s">
        <v>1865</v>
      </c>
      <c r="C1068" s="18">
        <v>0.76</v>
      </c>
      <c r="D1068" s="19" t="s">
        <v>23</v>
      </c>
      <c r="E1068" s="20">
        <v>785025.82</v>
      </c>
      <c r="F1068" s="21">
        <v>596620</v>
      </c>
      <c r="G1068" s="22">
        <v>0.76</v>
      </c>
      <c r="H1068" s="21">
        <f>ROUND(G1068*E1068,0)</f>
        <v>596620</v>
      </c>
      <c r="I1068" s="21">
        <f>H1068-F1068</f>
        <v>0</v>
      </c>
      <c r="J1068" s="23"/>
      <c r="K1068" s="24" t="s">
        <v>1866</v>
      </c>
      <c r="L1068" s="35">
        <v>0</v>
      </c>
    </row>
    <row r="1069" spans="1:12" x14ac:dyDescent="0.25">
      <c r="A1069" s="16" t="s">
        <v>140</v>
      </c>
      <c r="B1069" s="36" t="s">
        <v>1867</v>
      </c>
      <c r="C1069" s="18">
        <v>88.05</v>
      </c>
      <c r="D1069" s="19" t="s">
        <v>23</v>
      </c>
      <c r="E1069" s="20">
        <v>67741.79</v>
      </c>
      <c r="F1069" s="21">
        <v>5964665</v>
      </c>
      <c r="G1069" s="22">
        <v>88.05</v>
      </c>
      <c r="H1069" s="21">
        <f>ROUND(G1069*E1069,0)</f>
        <v>5964665</v>
      </c>
      <c r="I1069" s="21">
        <f>H1069-F1069</f>
        <v>0</v>
      </c>
      <c r="J1069" s="23"/>
      <c r="K1069" s="24" t="s">
        <v>1868</v>
      </c>
      <c r="L1069" s="35">
        <v>0</v>
      </c>
    </row>
    <row r="1070" spans="1:12" x14ac:dyDescent="0.25">
      <c r="A1070" s="16" t="s">
        <v>143</v>
      </c>
      <c r="B1070" s="36" t="s">
        <v>797</v>
      </c>
      <c r="C1070" s="18">
        <v>5</v>
      </c>
      <c r="D1070" s="19" t="s">
        <v>23</v>
      </c>
      <c r="E1070" s="20">
        <v>817597.83</v>
      </c>
      <c r="F1070" s="21">
        <v>4087989</v>
      </c>
      <c r="G1070" s="22">
        <v>5</v>
      </c>
      <c r="H1070" s="21">
        <f>ROUND(G1070*E1070,0)</f>
        <v>4087989</v>
      </c>
      <c r="I1070" s="21">
        <f>H1070-F1070</f>
        <v>0</v>
      </c>
      <c r="J1070" s="23"/>
      <c r="K1070" s="24" t="s">
        <v>1869</v>
      </c>
      <c r="L1070" s="35">
        <v>0</v>
      </c>
    </row>
    <row r="1071" spans="1:12" s="26" customFormat="1" x14ac:dyDescent="0.25">
      <c r="A1071" s="27" t="s">
        <v>146</v>
      </c>
      <c r="B1071" s="33" t="s">
        <v>468</v>
      </c>
      <c r="C1071" s="29"/>
      <c r="D1071" s="30"/>
      <c r="E1071" s="30"/>
      <c r="F1071" s="31">
        <v>57953492</v>
      </c>
      <c r="G1071" s="30"/>
      <c r="H1071" s="29"/>
      <c r="I1071" s="29"/>
      <c r="J1071" s="30"/>
      <c r="K1071" s="32" t="s">
        <v>1870</v>
      </c>
      <c r="L1071" s="29"/>
    </row>
    <row r="1072" spans="1:12" x14ac:dyDescent="0.25">
      <c r="A1072" s="16" t="s">
        <v>391</v>
      </c>
      <c r="B1072" s="34" t="s">
        <v>470</v>
      </c>
      <c r="C1072" s="18">
        <v>100.23</v>
      </c>
      <c r="D1072" s="19" t="s">
        <v>23</v>
      </c>
      <c r="E1072" s="20">
        <v>342098.29</v>
      </c>
      <c r="F1072" s="21">
        <v>34288512</v>
      </c>
      <c r="G1072" s="22">
        <v>100.23</v>
      </c>
      <c r="H1072" s="21">
        <f>ROUND(G1072*E1072,0)</f>
        <v>34288512</v>
      </c>
      <c r="I1072" s="21">
        <f>H1072-F1072</f>
        <v>0</v>
      </c>
      <c r="J1072" s="23"/>
      <c r="K1072" s="24" t="s">
        <v>1871</v>
      </c>
      <c r="L1072" s="35">
        <v>0</v>
      </c>
    </row>
    <row r="1073" spans="1:12" x14ac:dyDescent="0.25">
      <c r="A1073" s="16" t="s">
        <v>394</v>
      </c>
      <c r="B1073" s="34" t="s">
        <v>472</v>
      </c>
      <c r="C1073" s="18">
        <v>283</v>
      </c>
      <c r="D1073" s="19" t="s">
        <v>38</v>
      </c>
      <c r="E1073" s="20">
        <v>19268.19</v>
      </c>
      <c r="F1073" s="21">
        <v>5452898</v>
      </c>
      <c r="G1073" s="22">
        <v>283</v>
      </c>
      <c r="H1073" s="21">
        <f>ROUND(G1073*E1073,0)</f>
        <v>5452898</v>
      </c>
      <c r="I1073" s="21">
        <f>H1073-F1073</f>
        <v>0</v>
      </c>
      <c r="J1073" s="23"/>
      <c r="K1073" s="24" t="s">
        <v>1872</v>
      </c>
      <c r="L1073" s="35">
        <v>0</v>
      </c>
    </row>
    <row r="1074" spans="1:12" x14ac:dyDescent="0.25">
      <c r="A1074" s="16" t="s">
        <v>396</v>
      </c>
      <c r="B1074" s="34" t="s">
        <v>1873</v>
      </c>
      <c r="C1074" s="18">
        <v>80</v>
      </c>
      <c r="D1074" s="19" t="s">
        <v>1874</v>
      </c>
      <c r="E1074" s="20">
        <v>18997.17</v>
      </c>
      <c r="F1074" s="21">
        <v>1519774</v>
      </c>
      <c r="G1074" s="22">
        <v>80</v>
      </c>
      <c r="H1074" s="21">
        <f>ROUND(G1074*E1074,0)</f>
        <v>1519774</v>
      </c>
      <c r="I1074" s="21">
        <f>H1074-F1074</f>
        <v>0</v>
      </c>
      <c r="J1074" s="23"/>
      <c r="K1074" s="24" t="s">
        <v>1875</v>
      </c>
      <c r="L1074" s="35">
        <v>0</v>
      </c>
    </row>
    <row r="1075" spans="1:12" x14ac:dyDescent="0.25">
      <c r="A1075" s="16" t="s">
        <v>398</v>
      </c>
      <c r="B1075" s="34" t="s">
        <v>827</v>
      </c>
      <c r="C1075" s="18">
        <v>138.71</v>
      </c>
      <c r="D1075" s="19" t="s">
        <v>23</v>
      </c>
      <c r="E1075" s="20">
        <v>110928.31</v>
      </c>
      <c r="F1075" s="21">
        <v>15386810</v>
      </c>
      <c r="G1075" s="22">
        <v>138.71</v>
      </c>
      <c r="H1075" s="21">
        <f>ROUND(G1075*E1075,0)</f>
        <v>15386810</v>
      </c>
      <c r="I1075" s="21">
        <f>H1075-F1075</f>
        <v>0</v>
      </c>
      <c r="J1075" s="23"/>
      <c r="K1075" s="24" t="s">
        <v>1876</v>
      </c>
      <c r="L1075" s="35">
        <v>0</v>
      </c>
    </row>
    <row r="1076" spans="1:12" x14ac:dyDescent="0.25">
      <c r="A1076" s="16" t="s">
        <v>812</v>
      </c>
      <c r="B1076" s="34" t="s">
        <v>476</v>
      </c>
      <c r="C1076" s="18">
        <v>14.25</v>
      </c>
      <c r="D1076" s="19" t="s">
        <v>38</v>
      </c>
      <c r="E1076" s="20">
        <v>91613.93</v>
      </c>
      <c r="F1076" s="21">
        <v>1305498</v>
      </c>
      <c r="G1076" s="22">
        <v>14.25</v>
      </c>
      <c r="H1076" s="21">
        <f>ROUND(G1076*E1076,0)</f>
        <v>1305498</v>
      </c>
      <c r="I1076" s="21">
        <f>H1076-F1076</f>
        <v>0</v>
      </c>
      <c r="J1076" s="23"/>
      <c r="K1076" s="24" t="s">
        <v>1877</v>
      </c>
      <c r="L1076" s="35">
        <v>0</v>
      </c>
    </row>
    <row r="1077" spans="1:12" x14ac:dyDescent="0.25">
      <c r="A1077" s="16" t="s">
        <v>150</v>
      </c>
      <c r="B1077" s="36" t="s">
        <v>1878</v>
      </c>
      <c r="C1077" s="18">
        <v>112.3</v>
      </c>
      <c r="D1077" s="19" t="s">
        <v>23</v>
      </c>
      <c r="E1077" s="20">
        <v>241006.97</v>
      </c>
      <c r="F1077" s="21">
        <v>27065083</v>
      </c>
      <c r="G1077" s="22">
        <v>112.3</v>
      </c>
      <c r="H1077" s="21">
        <f>ROUND(G1077*E1077,0)</f>
        <v>27065083</v>
      </c>
      <c r="I1077" s="21">
        <f>H1077-F1077</f>
        <v>0</v>
      </c>
      <c r="J1077" s="23"/>
      <c r="K1077" s="24" t="s">
        <v>1879</v>
      </c>
      <c r="L1077" s="35">
        <v>0</v>
      </c>
    </row>
    <row r="1078" spans="1:12" x14ac:dyDescent="0.25">
      <c r="A1078" s="16" t="s">
        <v>175</v>
      </c>
      <c r="B1078" s="36" t="s">
        <v>480</v>
      </c>
      <c r="C1078" s="18">
        <v>7.25</v>
      </c>
      <c r="D1078" s="19" t="s">
        <v>23</v>
      </c>
      <c r="E1078" s="20">
        <v>246252.65</v>
      </c>
      <c r="F1078" s="21">
        <v>1785332</v>
      </c>
      <c r="G1078" s="22">
        <v>7.25</v>
      </c>
      <c r="H1078" s="21">
        <f>ROUND(G1078*E1078,0)</f>
        <v>1785332</v>
      </c>
      <c r="I1078" s="21">
        <f>H1078-F1078</f>
        <v>0</v>
      </c>
      <c r="J1078" s="23"/>
      <c r="K1078" s="24" t="s">
        <v>1880</v>
      </c>
      <c r="L1078" s="35">
        <v>0</v>
      </c>
    </row>
    <row r="1079" spans="1:12" x14ac:dyDescent="0.25">
      <c r="A1079" s="16" t="s">
        <v>184</v>
      </c>
      <c r="B1079" s="36" t="s">
        <v>856</v>
      </c>
      <c r="C1079" s="18">
        <v>145.8</v>
      </c>
      <c r="D1079" s="19" t="s">
        <v>23</v>
      </c>
      <c r="E1079" s="20">
        <v>99462.99</v>
      </c>
      <c r="F1079" s="21">
        <v>14501704</v>
      </c>
      <c r="G1079" s="22">
        <v>145.8</v>
      </c>
      <c r="H1079" s="21">
        <f>ROUND(G1079*E1079,0)</f>
        <v>14501704</v>
      </c>
      <c r="I1079" s="21">
        <f>H1079-F1079</f>
        <v>0</v>
      </c>
      <c r="J1079" s="23"/>
      <c r="K1079" s="24" t="s">
        <v>1881</v>
      </c>
      <c r="L1079" s="35">
        <v>0</v>
      </c>
    </row>
    <row r="1080" spans="1:12" x14ac:dyDescent="0.25">
      <c r="A1080" s="16" t="s">
        <v>193</v>
      </c>
      <c r="B1080" s="36" t="s">
        <v>484</v>
      </c>
      <c r="C1080" s="18">
        <v>112.3</v>
      </c>
      <c r="D1080" s="19" t="s">
        <v>23</v>
      </c>
      <c r="E1080" s="20">
        <v>35591.98</v>
      </c>
      <c r="F1080" s="21">
        <v>3996979</v>
      </c>
      <c r="G1080" s="22">
        <v>112.3</v>
      </c>
      <c r="H1080" s="21">
        <f>ROUND(G1080*E1080,0)</f>
        <v>3996979</v>
      </c>
      <c r="I1080" s="21">
        <f>H1080-F1080</f>
        <v>0</v>
      </c>
      <c r="J1080" s="23"/>
      <c r="K1080" s="24" t="s">
        <v>1882</v>
      </c>
      <c r="L1080" s="35">
        <v>0</v>
      </c>
    </row>
    <row r="1081" spans="1:12" x14ac:dyDescent="0.25">
      <c r="A1081" s="16" t="s">
        <v>202</v>
      </c>
      <c r="B1081" s="36" t="s">
        <v>486</v>
      </c>
      <c r="C1081" s="18">
        <v>47.37</v>
      </c>
      <c r="D1081" s="19" t="s">
        <v>38</v>
      </c>
      <c r="E1081" s="20">
        <v>214927.86</v>
      </c>
      <c r="F1081" s="21">
        <v>10181133</v>
      </c>
      <c r="G1081" s="22">
        <v>47.37</v>
      </c>
      <c r="H1081" s="21">
        <f>ROUND(G1081*E1081,0)</f>
        <v>10181133</v>
      </c>
      <c r="I1081" s="21">
        <f>H1081-F1081</f>
        <v>0</v>
      </c>
      <c r="J1081" s="23"/>
      <c r="K1081" s="24" t="s">
        <v>1883</v>
      </c>
      <c r="L1081" s="35">
        <v>0</v>
      </c>
    </row>
    <row r="1082" spans="1:12" x14ac:dyDescent="0.25">
      <c r="A1082" s="16" t="s">
        <v>205</v>
      </c>
      <c r="B1082" s="36" t="s">
        <v>1884</v>
      </c>
      <c r="C1082" s="18">
        <v>14.21</v>
      </c>
      <c r="D1082" s="19" t="s">
        <v>23</v>
      </c>
      <c r="E1082" s="20">
        <v>99462.99</v>
      </c>
      <c r="F1082" s="21">
        <v>1413369</v>
      </c>
      <c r="G1082" s="22">
        <v>14.21</v>
      </c>
      <c r="H1082" s="21">
        <f>ROUND(G1082*E1082,0)</f>
        <v>1413369</v>
      </c>
      <c r="I1082" s="21">
        <f>H1082-F1082</f>
        <v>0</v>
      </c>
      <c r="J1082" s="23"/>
      <c r="K1082" s="24" t="s">
        <v>1885</v>
      </c>
      <c r="L1082" s="35">
        <v>0</v>
      </c>
    </row>
    <row r="1083" spans="1:12" x14ac:dyDescent="0.25">
      <c r="A1083" s="16" t="s">
        <v>858</v>
      </c>
      <c r="B1083" s="36" t="s">
        <v>866</v>
      </c>
      <c r="C1083" s="18">
        <v>1</v>
      </c>
      <c r="D1083" s="19" t="s">
        <v>155</v>
      </c>
      <c r="E1083" s="20">
        <v>386714.63</v>
      </c>
      <c r="F1083" s="21">
        <v>386715</v>
      </c>
      <c r="G1083" s="22">
        <v>1</v>
      </c>
      <c r="H1083" s="21">
        <f>ROUND(G1083*E1083,0)</f>
        <v>386715</v>
      </c>
      <c r="I1083" s="21">
        <f>H1083-F1083</f>
        <v>0</v>
      </c>
      <c r="J1083" s="23"/>
      <c r="K1083" s="24" t="s">
        <v>1886</v>
      </c>
      <c r="L1083" s="35">
        <v>0</v>
      </c>
    </row>
    <row r="1084" spans="1:12" x14ac:dyDescent="0.25">
      <c r="A1084" s="16" t="s">
        <v>861</v>
      </c>
      <c r="B1084" s="36" t="s">
        <v>1887</v>
      </c>
      <c r="C1084" s="18">
        <v>12</v>
      </c>
      <c r="D1084" s="19" t="s">
        <v>31</v>
      </c>
      <c r="E1084" s="20">
        <v>156785.85</v>
      </c>
      <c r="F1084" s="21">
        <v>1881430</v>
      </c>
      <c r="G1084" s="22">
        <v>12</v>
      </c>
      <c r="H1084" s="21">
        <f>ROUND(G1084*E1084,0)</f>
        <v>1881430</v>
      </c>
      <c r="I1084" s="21">
        <f>H1084-F1084</f>
        <v>0</v>
      </c>
      <c r="J1084" s="23"/>
      <c r="K1084" s="24" t="s">
        <v>1888</v>
      </c>
      <c r="L1084" s="35">
        <v>0</v>
      </c>
    </row>
    <row r="1085" spans="1:12" s="26" customFormat="1" x14ac:dyDescent="0.25">
      <c r="A1085" s="27" t="s">
        <v>1889</v>
      </c>
      <c r="B1085" s="28" t="s">
        <v>495</v>
      </c>
      <c r="C1085" s="29"/>
      <c r="D1085" s="30"/>
      <c r="E1085" s="30"/>
      <c r="F1085" s="31">
        <v>17452057</v>
      </c>
      <c r="G1085" s="30"/>
      <c r="H1085" s="29"/>
      <c r="I1085" s="29"/>
      <c r="J1085" s="30"/>
      <c r="K1085" s="32" t="s">
        <v>1890</v>
      </c>
      <c r="L1085" s="29"/>
    </row>
    <row r="1086" spans="1:12" x14ac:dyDescent="0.25">
      <c r="A1086" s="16" t="s">
        <v>21</v>
      </c>
      <c r="B1086" s="36" t="s">
        <v>1185</v>
      </c>
      <c r="C1086" s="18">
        <v>18</v>
      </c>
      <c r="D1086" s="19" t="s">
        <v>148</v>
      </c>
      <c r="E1086" s="20">
        <v>424608.39</v>
      </c>
      <c r="F1086" s="21">
        <v>7642951</v>
      </c>
      <c r="G1086" s="22">
        <v>18</v>
      </c>
      <c r="H1086" s="21">
        <f>ROUND(G1086*E1086,0)</f>
        <v>7642951</v>
      </c>
      <c r="I1086" s="21">
        <f>H1086-F1086</f>
        <v>0</v>
      </c>
      <c r="J1086" s="23"/>
      <c r="K1086" s="24" t="s">
        <v>1891</v>
      </c>
      <c r="L1086" s="35">
        <v>0</v>
      </c>
    </row>
    <row r="1087" spans="1:12" x14ac:dyDescent="0.25">
      <c r="A1087" s="16" t="s">
        <v>25</v>
      </c>
      <c r="B1087" s="36" t="s">
        <v>1188</v>
      </c>
      <c r="C1087" s="18">
        <v>6</v>
      </c>
      <c r="D1087" s="19" t="s">
        <v>148</v>
      </c>
      <c r="E1087" s="20">
        <v>391438.53</v>
      </c>
      <c r="F1087" s="21">
        <v>2348631</v>
      </c>
      <c r="G1087" s="22">
        <v>6</v>
      </c>
      <c r="H1087" s="21">
        <f>ROUND(G1087*E1087,0)</f>
        <v>2348631</v>
      </c>
      <c r="I1087" s="21">
        <f>H1087-F1087</f>
        <v>0</v>
      </c>
      <c r="J1087" s="23"/>
      <c r="K1087" s="24" t="s">
        <v>1892</v>
      </c>
      <c r="L1087" s="35">
        <v>0</v>
      </c>
    </row>
    <row r="1088" spans="1:12" x14ac:dyDescent="0.25">
      <c r="A1088" s="16" t="s">
        <v>29</v>
      </c>
      <c r="B1088" s="36" t="s">
        <v>946</v>
      </c>
      <c r="C1088" s="18">
        <v>2</v>
      </c>
      <c r="D1088" s="19" t="s">
        <v>31</v>
      </c>
      <c r="E1088" s="20">
        <v>69831.65</v>
      </c>
      <c r="F1088" s="21">
        <v>139663</v>
      </c>
      <c r="G1088" s="22">
        <v>2</v>
      </c>
      <c r="H1088" s="21">
        <f>ROUND(G1088*E1088,0)</f>
        <v>139663</v>
      </c>
      <c r="I1088" s="21">
        <f>H1088-F1088</f>
        <v>0</v>
      </c>
      <c r="J1088" s="23"/>
      <c r="K1088" s="24" t="s">
        <v>1893</v>
      </c>
      <c r="L1088" s="35">
        <v>0</v>
      </c>
    </row>
    <row r="1089" spans="1:12" x14ac:dyDescent="0.25">
      <c r="A1089" s="16" t="s">
        <v>33</v>
      </c>
      <c r="B1089" s="36" t="s">
        <v>948</v>
      </c>
      <c r="C1089" s="18">
        <v>6</v>
      </c>
      <c r="D1089" s="19" t="s">
        <v>31</v>
      </c>
      <c r="E1089" s="20">
        <v>55282.67</v>
      </c>
      <c r="F1089" s="21">
        <v>331696</v>
      </c>
      <c r="G1089" s="22">
        <v>6</v>
      </c>
      <c r="H1089" s="21">
        <f>ROUND(G1089*E1089,0)</f>
        <v>331696</v>
      </c>
      <c r="I1089" s="21">
        <f>H1089-F1089</f>
        <v>0</v>
      </c>
      <c r="J1089" s="23"/>
      <c r="K1089" s="24" t="s">
        <v>1894</v>
      </c>
      <c r="L1089" s="35">
        <v>0</v>
      </c>
    </row>
    <row r="1090" spans="1:12" x14ac:dyDescent="0.25">
      <c r="A1090" s="16" t="s">
        <v>36</v>
      </c>
      <c r="B1090" s="36" t="s">
        <v>942</v>
      </c>
      <c r="C1090" s="18">
        <v>18</v>
      </c>
      <c r="D1090" s="19" t="s">
        <v>148</v>
      </c>
      <c r="E1090" s="20">
        <v>160506.41</v>
      </c>
      <c r="F1090" s="21">
        <v>2889116</v>
      </c>
      <c r="G1090" s="22">
        <v>18</v>
      </c>
      <c r="H1090" s="21">
        <f>ROUND(G1090*E1090,0)</f>
        <v>2889116</v>
      </c>
      <c r="I1090" s="21">
        <f>H1090-F1090</f>
        <v>0</v>
      </c>
      <c r="J1090" s="23"/>
      <c r="K1090" s="24" t="s">
        <v>1895</v>
      </c>
      <c r="L1090" s="35">
        <v>0</v>
      </c>
    </row>
    <row r="1091" spans="1:12" x14ac:dyDescent="0.25">
      <c r="A1091" s="16" t="s">
        <v>40</v>
      </c>
      <c r="B1091" s="36" t="s">
        <v>1626</v>
      </c>
      <c r="C1091" s="18">
        <v>1</v>
      </c>
      <c r="D1091" s="19" t="s">
        <v>31</v>
      </c>
      <c r="E1091" s="20">
        <v>4100000</v>
      </c>
      <c r="F1091" s="21">
        <v>4100000</v>
      </c>
      <c r="G1091" s="22">
        <v>1</v>
      </c>
      <c r="H1091" s="21">
        <f>ROUND(G1091*E1091,0)</f>
        <v>4100000</v>
      </c>
      <c r="I1091" s="21">
        <f>H1091-F1091</f>
        <v>0</v>
      </c>
      <c r="J1091" s="23"/>
      <c r="K1091" s="24" t="s">
        <v>1896</v>
      </c>
      <c r="L1091" s="35">
        <v>0</v>
      </c>
    </row>
    <row r="1092" spans="1:12" s="8" customFormat="1" x14ac:dyDescent="0.25">
      <c r="A1092" s="9" t="s">
        <v>1897</v>
      </c>
      <c r="B1092" s="10" t="s">
        <v>1898</v>
      </c>
      <c r="C1092" s="11"/>
      <c r="D1092" s="12"/>
      <c r="E1092" s="12"/>
      <c r="F1092" s="13">
        <v>35886105</v>
      </c>
      <c r="G1092" s="12"/>
      <c r="H1092" s="11"/>
      <c r="I1092" s="11"/>
      <c r="J1092" s="12"/>
      <c r="K1092" s="14" t="s">
        <v>1897</v>
      </c>
      <c r="L1092" s="15"/>
    </row>
    <row r="1093" spans="1:12" x14ac:dyDescent="0.25">
      <c r="A1093" s="16" t="s">
        <v>21</v>
      </c>
      <c r="B1093" s="17" t="s">
        <v>319</v>
      </c>
      <c r="C1093" s="18">
        <v>11</v>
      </c>
      <c r="D1093" s="19" t="s">
        <v>38</v>
      </c>
      <c r="E1093" s="20">
        <v>147990.68</v>
      </c>
      <c r="F1093" s="21">
        <v>1627897</v>
      </c>
      <c r="G1093" s="22">
        <v>11</v>
      </c>
      <c r="H1093" s="21">
        <f>ROUND(G1093*E1093,0)</f>
        <v>1627897</v>
      </c>
      <c r="I1093" s="21">
        <f>H1093-F1093</f>
        <v>0</v>
      </c>
      <c r="J1093" s="23"/>
      <c r="K1093" s="24" t="s">
        <v>1899</v>
      </c>
      <c r="L1093" s="35">
        <v>0</v>
      </c>
    </row>
    <row r="1094" spans="1:12" x14ac:dyDescent="0.25">
      <c r="A1094" s="16" t="s">
        <v>25</v>
      </c>
      <c r="B1094" s="17" t="s">
        <v>1900</v>
      </c>
      <c r="C1094" s="18">
        <v>10</v>
      </c>
      <c r="D1094" s="19" t="s">
        <v>214</v>
      </c>
      <c r="E1094" s="20">
        <v>103880.83</v>
      </c>
      <c r="F1094" s="21">
        <v>1038808</v>
      </c>
      <c r="G1094" s="22">
        <v>10</v>
      </c>
      <c r="H1094" s="21">
        <f>ROUND(G1094*E1094,0)</f>
        <v>1038808</v>
      </c>
      <c r="I1094" s="21">
        <f>H1094-F1094</f>
        <v>0</v>
      </c>
      <c r="J1094" s="23"/>
      <c r="K1094" s="24" t="s">
        <v>1901</v>
      </c>
      <c r="L1094" s="35">
        <v>0</v>
      </c>
    </row>
    <row r="1095" spans="1:12" x14ac:dyDescent="0.25">
      <c r="A1095" s="16" t="s">
        <v>29</v>
      </c>
      <c r="B1095" s="17" t="s">
        <v>1902</v>
      </c>
      <c r="C1095" s="18">
        <v>10</v>
      </c>
      <c r="D1095" s="19" t="s">
        <v>214</v>
      </c>
      <c r="E1095" s="20">
        <v>27976.05</v>
      </c>
      <c r="F1095" s="21">
        <v>279761</v>
      </c>
      <c r="G1095" s="22">
        <v>10</v>
      </c>
      <c r="H1095" s="21">
        <f>ROUND(G1095*E1095,0)</f>
        <v>279761</v>
      </c>
      <c r="I1095" s="21">
        <f>H1095-F1095</f>
        <v>0</v>
      </c>
      <c r="J1095" s="23"/>
      <c r="K1095" s="24" t="s">
        <v>1903</v>
      </c>
      <c r="L1095" s="35">
        <v>0</v>
      </c>
    </row>
    <row r="1096" spans="1:12" s="26" customFormat="1" x14ac:dyDescent="0.25">
      <c r="A1096" s="27" t="s">
        <v>33</v>
      </c>
      <c r="B1096" s="28" t="s">
        <v>657</v>
      </c>
      <c r="C1096" s="29"/>
      <c r="D1096" s="30"/>
      <c r="E1096" s="30"/>
      <c r="F1096" s="31">
        <v>2437316</v>
      </c>
      <c r="G1096" s="30"/>
      <c r="H1096" s="29"/>
      <c r="I1096" s="29"/>
      <c r="J1096" s="30"/>
      <c r="K1096" s="32" t="s">
        <v>1904</v>
      </c>
      <c r="L1096" s="29"/>
    </row>
    <row r="1097" spans="1:12" x14ac:dyDescent="0.25">
      <c r="A1097" s="16" t="s">
        <v>257</v>
      </c>
      <c r="B1097" s="36" t="s">
        <v>324</v>
      </c>
      <c r="C1097" s="18">
        <v>0.26</v>
      </c>
      <c r="D1097" s="19" t="s">
        <v>214</v>
      </c>
      <c r="E1097" s="20">
        <v>345522.98</v>
      </c>
      <c r="F1097" s="21">
        <v>89836</v>
      </c>
      <c r="G1097" s="22">
        <v>0.26</v>
      </c>
      <c r="H1097" s="21">
        <f>ROUND(G1097*E1097,0)</f>
        <v>89836</v>
      </c>
      <c r="I1097" s="21">
        <f>H1097-F1097</f>
        <v>0</v>
      </c>
      <c r="J1097" s="23"/>
      <c r="K1097" s="24" t="s">
        <v>1905</v>
      </c>
      <c r="L1097" s="35">
        <v>0</v>
      </c>
    </row>
    <row r="1098" spans="1:12" x14ac:dyDescent="0.25">
      <c r="A1098" s="16" t="s">
        <v>260</v>
      </c>
      <c r="B1098" s="36" t="s">
        <v>326</v>
      </c>
      <c r="C1098" s="18">
        <v>0.11</v>
      </c>
      <c r="D1098" s="19" t="s">
        <v>214</v>
      </c>
      <c r="E1098" s="20">
        <v>1016530.97</v>
      </c>
      <c r="F1098" s="21">
        <v>111818</v>
      </c>
      <c r="G1098" s="22">
        <v>0.11</v>
      </c>
      <c r="H1098" s="21">
        <f>ROUND(G1098*E1098,0)</f>
        <v>111818</v>
      </c>
      <c r="I1098" s="21">
        <f>H1098-F1098</f>
        <v>0</v>
      </c>
      <c r="J1098" s="23"/>
      <c r="K1098" s="24" t="s">
        <v>1906</v>
      </c>
      <c r="L1098" s="35">
        <v>0</v>
      </c>
    </row>
    <row r="1099" spans="1:12" x14ac:dyDescent="0.25">
      <c r="A1099" s="16" t="s">
        <v>262</v>
      </c>
      <c r="B1099" s="36" t="s">
        <v>1907</v>
      </c>
      <c r="C1099" s="18">
        <v>50.01</v>
      </c>
      <c r="D1099" s="19" t="s">
        <v>229</v>
      </c>
      <c r="E1099" s="20">
        <v>19248.5</v>
      </c>
      <c r="F1099" s="21">
        <v>962618</v>
      </c>
      <c r="G1099" s="22">
        <v>50.01</v>
      </c>
      <c r="H1099" s="21">
        <f>ROUND(G1099*E1099,0)</f>
        <v>962618</v>
      </c>
      <c r="I1099" s="21">
        <f>H1099-F1099</f>
        <v>0</v>
      </c>
      <c r="J1099" s="23"/>
      <c r="K1099" s="24" t="s">
        <v>1908</v>
      </c>
      <c r="L1099" s="35">
        <v>0</v>
      </c>
    </row>
    <row r="1100" spans="1:12" x14ac:dyDescent="0.25">
      <c r="A1100" s="16" t="s">
        <v>265</v>
      </c>
      <c r="B1100" s="36" t="s">
        <v>1909</v>
      </c>
      <c r="C1100" s="18">
        <v>31.07</v>
      </c>
      <c r="D1100" s="19" t="s">
        <v>229</v>
      </c>
      <c r="E1100" s="20">
        <v>13176.23</v>
      </c>
      <c r="F1100" s="21">
        <v>409385</v>
      </c>
      <c r="G1100" s="22">
        <v>31.07</v>
      </c>
      <c r="H1100" s="21">
        <f>ROUND(G1100*E1100,0)</f>
        <v>409385</v>
      </c>
      <c r="I1100" s="21">
        <f>H1100-F1100</f>
        <v>0</v>
      </c>
      <c r="J1100" s="23"/>
      <c r="K1100" s="24" t="s">
        <v>1910</v>
      </c>
      <c r="L1100" s="35">
        <v>0</v>
      </c>
    </row>
    <row r="1101" spans="1:12" x14ac:dyDescent="0.25">
      <c r="A1101" s="16" t="s">
        <v>607</v>
      </c>
      <c r="B1101" s="36" t="s">
        <v>377</v>
      </c>
      <c r="C1101" s="18">
        <v>0.75</v>
      </c>
      <c r="D1101" s="19" t="s">
        <v>214</v>
      </c>
      <c r="E1101" s="20">
        <v>1151545.01</v>
      </c>
      <c r="F1101" s="21">
        <v>863659</v>
      </c>
      <c r="G1101" s="22">
        <v>0.75</v>
      </c>
      <c r="H1101" s="21">
        <f>ROUND(G1101*E1101,0)</f>
        <v>863659</v>
      </c>
      <c r="I1101" s="21">
        <f>H1101-F1101</f>
        <v>0</v>
      </c>
      <c r="J1101" s="23"/>
      <c r="K1101" s="24" t="s">
        <v>1911</v>
      </c>
      <c r="L1101" s="35">
        <v>0</v>
      </c>
    </row>
    <row r="1102" spans="1:12" x14ac:dyDescent="0.25">
      <c r="A1102" s="16" t="s">
        <v>36</v>
      </c>
      <c r="B1102" s="17" t="s">
        <v>1912</v>
      </c>
      <c r="C1102" s="18">
        <v>18</v>
      </c>
      <c r="D1102" s="19" t="s">
        <v>23</v>
      </c>
      <c r="E1102" s="20">
        <v>122466.89</v>
      </c>
      <c r="F1102" s="21">
        <v>2204404</v>
      </c>
      <c r="G1102" s="22">
        <v>18</v>
      </c>
      <c r="H1102" s="21">
        <f>ROUND(G1102*E1102,0)</f>
        <v>2204404</v>
      </c>
      <c r="I1102" s="21">
        <f>H1102-F1102</f>
        <v>0</v>
      </c>
      <c r="J1102" s="23"/>
      <c r="K1102" s="24" t="s">
        <v>1913</v>
      </c>
      <c r="L1102" s="35">
        <v>0</v>
      </c>
    </row>
    <row r="1103" spans="1:12" x14ac:dyDescent="0.25">
      <c r="A1103" s="16" t="s">
        <v>40</v>
      </c>
      <c r="B1103" s="17" t="s">
        <v>447</v>
      </c>
      <c r="C1103" s="18">
        <v>18</v>
      </c>
      <c r="D1103" s="19" t="s">
        <v>23</v>
      </c>
      <c r="E1103" s="20">
        <v>54647.67</v>
      </c>
      <c r="F1103" s="21">
        <v>983658</v>
      </c>
      <c r="G1103" s="22">
        <v>18</v>
      </c>
      <c r="H1103" s="21">
        <f>ROUND(G1103*E1103,0)</f>
        <v>983658</v>
      </c>
      <c r="I1103" s="21">
        <f>H1103-F1103</f>
        <v>0</v>
      </c>
      <c r="J1103" s="23"/>
      <c r="K1103" s="24" t="s">
        <v>1914</v>
      </c>
      <c r="L1103" s="35">
        <v>0</v>
      </c>
    </row>
    <row r="1104" spans="1:12" x14ac:dyDescent="0.25">
      <c r="A1104" s="16" t="s">
        <v>140</v>
      </c>
      <c r="B1104" s="17" t="s">
        <v>1915</v>
      </c>
      <c r="C1104" s="18">
        <v>1</v>
      </c>
      <c r="D1104" s="19" t="s">
        <v>155</v>
      </c>
      <c r="E1104" s="20">
        <v>24912876.1</v>
      </c>
      <c r="F1104" s="21">
        <v>24912876</v>
      </c>
      <c r="G1104" s="22">
        <v>1</v>
      </c>
      <c r="H1104" s="21">
        <f>ROUND(G1104*E1104,0)</f>
        <v>24912876</v>
      </c>
      <c r="I1104" s="21">
        <f>H1104-F1104</f>
        <v>0</v>
      </c>
      <c r="J1104" s="23"/>
      <c r="K1104" s="24" t="s">
        <v>1916</v>
      </c>
      <c r="L1104" s="35">
        <v>0</v>
      </c>
    </row>
    <row r="1105" spans="1:12" x14ac:dyDescent="0.25">
      <c r="A1105" s="16" t="s">
        <v>143</v>
      </c>
      <c r="B1105" s="17" t="s">
        <v>1917</v>
      </c>
      <c r="C1105" s="18">
        <v>6.95</v>
      </c>
      <c r="D1105" s="19" t="s">
        <v>214</v>
      </c>
      <c r="E1105" s="20">
        <v>345522.98</v>
      </c>
      <c r="F1105" s="21">
        <v>2401385</v>
      </c>
      <c r="G1105" s="22">
        <v>6.95</v>
      </c>
      <c r="H1105" s="21">
        <f>ROUND(G1105*E1105,0)</f>
        <v>2401385</v>
      </c>
      <c r="I1105" s="21">
        <f>H1105-F1105</f>
        <v>0</v>
      </c>
      <c r="J1105" s="23"/>
      <c r="K1105" s="24" t="s">
        <v>1918</v>
      </c>
      <c r="L1105" s="35">
        <v>0</v>
      </c>
    </row>
    <row r="1107" spans="2:6" x14ac:dyDescent="0.25">
      <c r="B1107" s="8" t="s">
        <v>1919</v>
      </c>
      <c r="F1107" s="39">
        <v>3723269226</v>
      </c>
    </row>
  </sheetData>
  <sheetProtection sheet="1" formatColumns="0" formatRows="0" insertRows="0" deleteRows="0"/>
  <conditionalFormatting sqref="G10">
    <cfRule type="expression" dxfId="0" priority="1">
      <formula>$G$10&lt;$L$10</formula>
    </cfRule>
  </conditionalFormatting>
  <conditionalFormatting sqref="J10">
    <cfRule type="expression" dxfId="1" priority="1">
      <formula>EXACT(UPPER($J$10),"HAPUS")</formula>
    </cfRule>
  </conditionalFormatting>
  <conditionalFormatting sqref="G11">
    <cfRule type="expression" dxfId="2" priority="1">
      <formula>$G$11&lt;$L$11</formula>
    </cfRule>
  </conditionalFormatting>
  <conditionalFormatting sqref="J11">
    <cfRule type="expression" dxfId="3" priority="1">
      <formula>EXACT(UPPER($J$11),"HAPUS")</formula>
    </cfRule>
  </conditionalFormatting>
  <conditionalFormatting sqref="G12">
    <cfRule type="expression" dxfId="4" priority="1">
      <formula>$G$12&lt;$L$12</formula>
    </cfRule>
  </conditionalFormatting>
  <conditionalFormatting sqref="J12">
    <cfRule type="expression" dxfId="5" priority="1">
      <formula>EXACT(UPPER($J$12),"HAPUS")</formula>
    </cfRule>
  </conditionalFormatting>
  <conditionalFormatting sqref="G13">
    <cfRule type="expression" dxfId="6" priority="1">
      <formula>$G$13&lt;$L$13</formula>
    </cfRule>
  </conditionalFormatting>
  <conditionalFormatting sqref="J13">
    <cfRule type="expression" dxfId="7" priority="1">
      <formula>EXACT(UPPER($J$13),"HAPUS")</formula>
    </cfRule>
  </conditionalFormatting>
  <conditionalFormatting sqref="G14">
    <cfRule type="expression" dxfId="8" priority="1">
      <formula>$G$14&lt;$L$14</formula>
    </cfRule>
  </conditionalFormatting>
  <conditionalFormatting sqref="J14">
    <cfRule type="expression" dxfId="9" priority="1">
      <formula>EXACT(UPPER($J$14),"HAPUS")</formula>
    </cfRule>
  </conditionalFormatting>
  <conditionalFormatting sqref="G21">
    <cfRule type="expression" dxfId="10" priority="1">
      <formula>$G$21&lt;$L$21</formula>
    </cfRule>
  </conditionalFormatting>
  <conditionalFormatting sqref="J21">
    <cfRule type="expression" dxfId="11" priority="1">
      <formula>EXACT(UPPER($J$21),"HAPUS")</formula>
    </cfRule>
  </conditionalFormatting>
  <conditionalFormatting sqref="G25">
    <cfRule type="expression" dxfId="12" priority="1">
      <formula>$G$25&lt;$L$25</formula>
    </cfRule>
  </conditionalFormatting>
  <conditionalFormatting sqref="J25">
    <cfRule type="expression" dxfId="13" priority="1">
      <formula>EXACT(UPPER($J$25),"HAPUS")</formula>
    </cfRule>
  </conditionalFormatting>
  <conditionalFormatting sqref="G28">
    <cfRule type="expression" dxfId="14" priority="1">
      <formula>$G$28&lt;$L$28</formula>
    </cfRule>
  </conditionalFormatting>
  <conditionalFormatting sqref="J28">
    <cfRule type="expression" dxfId="15" priority="1">
      <formula>EXACT(UPPER($J$28),"HAPUS")</formula>
    </cfRule>
  </conditionalFormatting>
  <conditionalFormatting sqref="G29">
    <cfRule type="expression" dxfId="16" priority="1">
      <formula>$G$29&lt;$L$29</formula>
    </cfRule>
  </conditionalFormatting>
  <conditionalFormatting sqref="J29">
    <cfRule type="expression" dxfId="17" priority="1">
      <formula>EXACT(UPPER($J$29),"HAPUS")</formula>
    </cfRule>
  </conditionalFormatting>
  <conditionalFormatting sqref="G33">
    <cfRule type="expression" dxfId="18" priority="1">
      <formula>$G$33&lt;$L$33</formula>
    </cfRule>
  </conditionalFormatting>
  <conditionalFormatting sqref="J33">
    <cfRule type="expression" dxfId="19" priority="1">
      <formula>EXACT(UPPER($J$33),"HAPUS")</formula>
    </cfRule>
  </conditionalFormatting>
  <conditionalFormatting sqref="G37">
    <cfRule type="expression" dxfId="20" priority="1">
      <formula>$G$37&lt;$L$37</formula>
    </cfRule>
  </conditionalFormatting>
  <conditionalFormatting sqref="J37">
    <cfRule type="expression" dxfId="21" priority="1">
      <formula>EXACT(UPPER($J$37),"HAPUS")</formula>
    </cfRule>
  </conditionalFormatting>
  <conditionalFormatting sqref="G38">
    <cfRule type="expression" dxfId="22" priority="1">
      <formula>$G$38&lt;$L$38</formula>
    </cfRule>
  </conditionalFormatting>
  <conditionalFormatting sqref="J38">
    <cfRule type="expression" dxfId="23" priority="1">
      <formula>EXACT(UPPER($J$38),"HAPUS")</formula>
    </cfRule>
  </conditionalFormatting>
  <conditionalFormatting sqref="G40">
    <cfRule type="expression" dxfId="24" priority="1">
      <formula>$G$40&lt;$L$40</formula>
    </cfRule>
  </conditionalFormatting>
  <conditionalFormatting sqref="J40">
    <cfRule type="expression" dxfId="25" priority="1">
      <formula>EXACT(UPPER($J$40),"HAPUS")</formula>
    </cfRule>
  </conditionalFormatting>
  <conditionalFormatting sqref="G47">
    <cfRule type="expression" dxfId="26" priority="1">
      <formula>$G$47&lt;$L$47</formula>
    </cfRule>
  </conditionalFormatting>
  <conditionalFormatting sqref="J47">
    <cfRule type="expression" dxfId="27" priority="1">
      <formula>EXACT(UPPER($J$47),"HAPUS")</formula>
    </cfRule>
  </conditionalFormatting>
  <conditionalFormatting sqref="G53">
    <cfRule type="expression" dxfId="28" priority="1">
      <formula>$G$53&lt;$L$53</formula>
    </cfRule>
  </conditionalFormatting>
  <conditionalFormatting sqref="J53">
    <cfRule type="expression" dxfId="29" priority="1">
      <formula>EXACT(UPPER($J$53),"HAPUS")</formula>
    </cfRule>
  </conditionalFormatting>
  <conditionalFormatting sqref="G54">
    <cfRule type="expression" dxfId="30" priority="1">
      <formula>$G$54&lt;$L$54</formula>
    </cfRule>
  </conditionalFormatting>
  <conditionalFormatting sqref="J54">
    <cfRule type="expression" dxfId="31" priority="1">
      <formula>EXACT(UPPER($J$54),"HAPUS")</formula>
    </cfRule>
  </conditionalFormatting>
  <conditionalFormatting sqref="G71">
    <cfRule type="expression" dxfId="32" priority="1">
      <formula>$G$71&lt;$L$71</formula>
    </cfRule>
  </conditionalFormatting>
  <conditionalFormatting sqref="J71">
    <cfRule type="expression" dxfId="33" priority="1">
      <formula>EXACT(UPPER($J$71),"HAPUS")</formula>
    </cfRule>
  </conditionalFormatting>
  <conditionalFormatting sqref="G72">
    <cfRule type="expression" dxfId="34" priority="1">
      <formula>$G$72&lt;$L$72</formula>
    </cfRule>
  </conditionalFormatting>
  <conditionalFormatting sqref="J72">
    <cfRule type="expression" dxfId="35" priority="1">
      <formula>EXACT(UPPER($J$72),"HAPUS")</formula>
    </cfRule>
  </conditionalFormatting>
  <conditionalFormatting sqref="G73">
    <cfRule type="expression" dxfId="36" priority="1">
      <formula>$G$73&lt;$L$73</formula>
    </cfRule>
  </conditionalFormatting>
  <conditionalFormatting sqref="J73">
    <cfRule type="expression" dxfId="37" priority="1">
      <formula>EXACT(UPPER($J$73),"HAPUS")</formula>
    </cfRule>
  </conditionalFormatting>
  <conditionalFormatting sqref="G76">
    <cfRule type="expression" dxfId="38" priority="1">
      <formula>$G$76&lt;$L$76</formula>
    </cfRule>
  </conditionalFormatting>
  <conditionalFormatting sqref="J76">
    <cfRule type="expression" dxfId="39" priority="1">
      <formula>EXACT(UPPER($J$76),"HAPUS")</formula>
    </cfRule>
  </conditionalFormatting>
  <conditionalFormatting sqref="G87">
    <cfRule type="expression" dxfId="40" priority="1">
      <formula>$G$87&lt;$L$87</formula>
    </cfRule>
  </conditionalFormatting>
  <conditionalFormatting sqref="J87">
    <cfRule type="expression" dxfId="41" priority="1">
      <formula>EXACT(UPPER($J$87),"HAPUS")</formula>
    </cfRule>
  </conditionalFormatting>
  <conditionalFormatting sqref="G88">
    <cfRule type="expression" dxfId="42" priority="1">
      <formula>$G$88&lt;$L$88</formula>
    </cfRule>
  </conditionalFormatting>
  <conditionalFormatting sqref="J88">
    <cfRule type="expression" dxfId="43" priority="1">
      <formula>EXACT(UPPER($J$88),"HAPUS")</formula>
    </cfRule>
  </conditionalFormatting>
  <conditionalFormatting sqref="G94">
    <cfRule type="expression" dxfId="44" priority="1">
      <formula>$G$94&lt;$L$94</formula>
    </cfRule>
  </conditionalFormatting>
  <conditionalFormatting sqref="J94">
    <cfRule type="expression" dxfId="45" priority="1">
      <formula>EXACT(UPPER($J$94),"HAPUS")</formula>
    </cfRule>
  </conditionalFormatting>
  <conditionalFormatting sqref="G97">
    <cfRule type="expression" dxfId="46" priority="1">
      <formula>$G$97&lt;$L$97</formula>
    </cfRule>
  </conditionalFormatting>
  <conditionalFormatting sqref="J97">
    <cfRule type="expression" dxfId="47" priority="1">
      <formula>EXACT(UPPER($J$97),"HAPUS")</formula>
    </cfRule>
  </conditionalFormatting>
  <conditionalFormatting sqref="G98">
    <cfRule type="expression" dxfId="48" priority="1">
      <formula>$G$98&lt;$L$98</formula>
    </cfRule>
  </conditionalFormatting>
  <conditionalFormatting sqref="J98">
    <cfRule type="expression" dxfId="49" priority="1">
      <formula>EXACT(UPPER($J$98),"HAPUS")</formula>
    </cfRule>
  </conditionalFormatting>
  <conditionalFormatting sqref="G100">
    <cfRule type="expression" dxfId="50" priority="1">
      <formula>$G$100&lt;$L$100</formula>
    </cfRule>
  </conditionalFormatting>
  <conditionalFormatting sqref="J100">
    <cfRule type="expression" dxfId="51" priority="1">
      <formula>EXACT(UPPER($J$100),"HAPUS")</formula>
    </cfRule>
  </conditionalFormatting>
  <conditionalFormatting sqref="G112">
    <cfRule type="expression" dxfId="52" priority="1">
      <formula>$G$112&lt;$L$112</formula>
    </cfRule>
  </conditionalFormatting>
  <conditionalFormatting sqref="J112">
    <cfRule type="expression" dxfId="53" priority="1">
      <formula>EXACT(UPPER($J$112),"HAPUS")</formula>
    </cfRule>
  </conditionalFormatting>
  <conditionalFormatting sqref="G191">
    <cfRule type="expression" dxfId="54" priority="1">
      <formula>$G$191&lt;$L$191</formula>
    </cfRule>
  </conditionalFormatting>
  <conditionalFormatting sqref="J191">
    <cfRule type="expression" dxfId="55" priority="1">
      <formula>EXACT(UPPER($J$191),"HAPUS")</formula>
    </cfRule>
  </conditionalFormatting>
  <conditionalFormatting sqref="G210">
    <cfRule type="expression" dxfId="56" priority="1">
      <formula>$G$210&lt;$L$210</formula>
    </cfRule>
  </conditionalFormatting>
  <conditionalFormatting sqref="J210">
    <cfRule type="expression" dxfId="57" priority="1">
      <formula>EXACT(UPPER($J$210),"HAPUS")</formula>
    </cfRule>
  </conditionalFormatting>
  <conditionalFormatting sqref="G212">
    <cfRule type="expression" dxfId="58" priority="1">
      <formula>$G$212&lt;$L$212</formula>
    </cfRule>
  </conditionalFormatting>
  <conditionalFormatting sqref="J212">
    <cfRule type="expression" dxfId="59" priority="1">
      <formula>EXACT(UPPER($J$212),"HAPUS")</formula>
    </cfRule>
  </conditionalFormatting>
  <conditionalFormatting sqref="G213">
    <cfRule type="expression" dxfId="60" priority="1">
      <formula>$G$213&lt;$L$213</formula>
    </cfRule>
  </conditionalFormatting>
  <conditionalFormatting sqref="J213">
    <cfRule type="expression" dxfId="61" priority="1">
      <formula>EXACT(UPPER($J$213),"HAPUS")</formula>
    </cfRule>
  </conditionalFormatting>
  <conditionalFormatting sqref="G214">
    <cfRule type="expression" dxfId="62" priority="1">
      <formula>$G$214&lt;$L$214</formula>
    </cfRule>
  </conditionalFormatting>
  <conditionalFormatting sqref="J214">
    <cfRule type="expression" dxfId="63" priority="1">
      <formula>EXACT(UPPER($J$214),"HAPUS")</formula>
    </cfRule>
  </conditionalFormatting>
  <conditionalFormatting sqref="G215">
    <cfRule type="expression" dxfId="64" priority="1">
      <formula>$G$215&lt;$L$215</formula>
    </cfRule>
  </conditionalFormatting>
  <conditionalFormatting sqref="J215">
    <cfRule type="expression" dxfId="65" priority="1">
      <formula>EXACT(UPPER($J$215),"HAPUS")</formula>
    </cfRule>
  </conditionalFormatting>
  <conditionalFormatting sqref="G216">
    <cfRule type="expression" dxfId="66" priority="1">
      <formula>$G$216&lt;$L$216</formula>
    </cfRule>
  </conditionalFormatting>
  <conditionalFormatting sqref="J216">
    <cfRule type="expression" dxfId="67" priority="1">
      <formula>EXACT(UPPER($J$216),"HAPUS")</formula>
    </cfRule>
  </conditionalFormatting>
  <conditionalFormatting sqref="G217">
    <cfRule type="expression" dxfId="68" priority="1">
      <formula>$G$217&lt;$L$217</formula>
    </cfRule>
  </conditionalFormatting>
  <conditionalFormatting sqref="J217">
    <cfRule type="expression" dxfId="69" priority="1">
      <formula>EXACT(UPPER($J$217),"HAPUS")</formula>
    </cfRule>
  </conditionalFormatting>
  <conditionalFormatting sqref="G222">
    <cfRule type="expression" dxfId="70" priority="1">
      <formula>$G$222&lt;$L$222</formula>
    </cfRule>
  </conditionalFormatting>
  <conditionalFormatting sqref="J222">
    <cfRule type="expression" dxfId="71" priority="1">
      <formula>EXACT(UPPER($J$222),"HAPUS")</formula>
    </cfRule>
  </conditionalFormatting>
  <conditionalFormatting sqref="G223">
    <cfRule type="expression" dxfId="72" priority="1">
      <formula>$G$223&lt;$L$223</formula>
    </cfRule>
  </conditionalFormatting>
  <conditionalFormatting sqref="J223">
    <cfRule type="expression" dxfId="73" priority="1">
      <formula>EXACT(UPPER($J$223),"HAPUS")</formula>
    </cfRule>
  </conditionalFormatting>
  <conditionalFormatting sqref="G226">
    <cfRule type="expression" dxfId="74" priority="1">
      <formula>$G$226&lt;$L$226</formula>
    </cfRule>
  </conditionalFormatting>
  <conditionalFormatting sqref="J226">
    <cfRule type="expression" dxfId="75" priority="1">
      <formula>EXACT(UPPER($J$226),"HAPUS")</formula>
    </cfRule>
  </conditionalFormatting>
  <conditionalFormatting sqref="G228">
    <cfRule type="expression" dxfId="76" priority="1">
      <formula>$G$228&lt;$L$228</formula>
    </cfRule>
  </conditionalFormatting>
  <conditionalFormatting sqref="J228">
    <cfRule type="expression" dxfId="77" priority="1">
      <formula>EXACT(UPPER($J$228),"HAPUS")</formula>
    </cfRule>
  </conditionalFormatting>
  <conditionalFormatting sqref="G229">
    <cfRule type="expression" dxfId="78" priority="1">
      <formula>$G$229&lt;$L$229</formula>
    </cfRule>
  </conditionalFormatting>
  <conditionalFormatting sqref="J229">
    <cfRule type="expression" dxfId="79" priority="1">
      <formula>EXACT(UPPER($J$229),"HAPUS")</formula>
    </cfRule>
  </conditionalFormatting>
  <conditionalFormatting sqref="G230">
    <cfRule type="expression" dxfId="80" priority="1">
      <formula>$G$230&lt;$L$230</formula>
    </cfRule>
  </conditionalFormatting>
  <conditionalFormatting sqref="J230">
    <cfRule type="expression" dxfId="81" priority="1">
      <formula>EXACT(UPPER($J$230),"HAPUS")</formula>
    </cfRule>
  </conditionalFormatting>
  <conditionalFormatting sqref="G231">
    <cfRule type="expression" dxfId="82" priority="1">
      <formula>$G$231&lt;$L$231</formula>
    </cfRule>
  </conditionalFormatting>
  <conditionalFormatting sqref="J231">
    <cfRule type="expression" dxfId="83" priority="1">
      <formula>EXACT(UPPER($J$231),"HAPUS")</formula>
    </cfRule>
  </conditionalFormatting>
  <conditionalFormatting sqref="G233">
    <cfRule type="expression" dxfId="84" priority="1">
      <formula>$G$233&lt;$L$233</formula>
    </cfRule>
  </conditionalFormatting>
  <conditionalFormatting sqref="J233">
    <cfRule type="expression" dxfId="85" priority="1">
      <formula>EXACT(UPPER($J$233),"HAPUS")</formula>
    </cfRule>
  </conditionalFormatting>
  <conditionalFormatting sqref="G234">
    <cfRule type="expression" dxfId="86" priority="1">
      <formula>$G$234&lt;$L$234</formula>
    </cfRule>
  </conditionalFormatting>
  <conditionalFormatting sqref="J234">
    <cfRule type="expression" dxfId="87" priority="1">
      <formula>EXACT(UPPER($J$234),"HAPUS")</formula>
    </cfRule>
  </conditionalFormatting>
  <conditionalFormatting sqref="G260">
    <cfRule type="expression" dxfId="88" priority="1">
      <formula>$G$260&lt;$L$260</formula>
    </cfRule>
  </conditionalFormatting>
  <conditionalFormatting sqref="J260">
    <cfRule type="expression" dxfId="89" priority="1">
      <formula>EXACT(UPPER($J$260),"HAPUS")</formula>
    </cfRule>
  </conditionalFormatting>
  <conditionalFormatting sqref="G262">
    <cfRule type="expression" dxfId="90" priority="1">
      <formula>$G$262&lt;$L$262</formula>
    </cfRule>
  </conditionalFormatting>
  <conditionalFormatting sqref="J262">
    <cfRule type="expression" dxfId="91" priority="1">
      <formula>EXACT(UPPER($J$262),"HAPUS")</formula>
    </cfRule>
  </conditionalFormatting>
  <conditionalFormatting sqref="G263">
    <cfRule type="expression" dxfId="92" priority="1">
      <formula>$G$263&lt;$L$263</formula>
    </cfRule>
  </conditionalFormatting>
  <conditionalFormatting sqref="J263">
    <cfRule type="expression" dxfId="93" priority="1">
      <formula>EXACT(UPPER($J$263),"HAPUS")</formula>
    </cfRule>
  </conditionalFormatting>
  <conditionalFormatting sqref="G264">
    <cfRule type="expression" dxfId="94" priority="1">
      <formula>$G$264&lt;$L$264</formula>
    </cfRule>
  </conditionalFormatting>
  <conditionalFormatting sqref="J264">
    <cfRule type="expression" dxfId="95" priority="1">
      <formula>EXACT(UPPER($J$264),"HAPUS")</formula>
    </cfRule>
  </conditionalFormatting>
  <conditionalFormatting sqref="G265">
    <cfRule type="expression" dxfId="96" priority="1">
      <formula>$G$265&lt;$L$265</formula>
    </cfRule>
  </conditionalFormatting>
  <conditionalFormatting sqref="J265">
    <cfRule type="expression" dxfId="97" priority="1">
      <formula>EXACT(UPPER($J$265),"HAPUS")</formula>
    </cfRule>
  </conditionalFormatting>
  <conditionalFormatting sqref="G266">
    <cfRule type="expression" dxfId="98" priority="1">
      <formula>$G$266&lt;$L$266</formula>
    </cfRule>
  </conditionalFormatting>
  <conditionalFormatting sqref="J266">
    <cfRule type="expression" dxfId="99" priority="1">
      <formula>EXACT(UPPER($J$266),"HAPUS")</formula>
    </cfRule>
  </conditionalFormatting>
  <conditionalFormatting sqref="G267">
    <cfRule type="expression" dxfId="100" priority="1">
      <formula>$G$267&lt;$L$267</formula>
    </cfRule>
  </conditionalFormatting>
  <conditionalFormatting sqref="J267">
    <cfRule type="expression" dxfId="101" priority="1">
      <formula>EXACT(UPPER($J$267),"HAPUS")</formula>
    </cfRule>
  </conditionalFormatting>
  <conditionalFormatting sqref="G270">
    <cfRule type="expression" dxfId="102" priority="1">
      <formula>$G$270&lt;$L$270</formula>
    </cfRule>
  </conditionalFormatting>
  <conditionalFormatting sqref="J270">
    <cfRule type="expression" dxfId="103" priority="1">
      <formula>EXACT(UPPER($J$270),"HAPUS")</formula>
    </cfRule>
  </conditionalFormatting>
  <conditionalFormatting sqref="G272">
    <cfRule type="expression" dxfId="104" priority="1">
      <formula>$G$272&lt;$L$272</formula>
    </cfRule>
  </conditionalFormatting>
  <conditionalFormatting sqref="J272">
    <cfRule type="expression" dxfId="105" priority="1">
      <formula>EXACT(UPPER($J$272),"HAPUS")</formula>
    </cfRule>
  </conditionalFormatting>
  <conditionalFormatting sqref="G273">
    <cfRule type="expression" dxfId="106" priority="1">
      <formula>$G$273&lt;$L$273</formula>
    </cfRule>
  </conditionalFormatting>
  <conditionalFormatting sqref="J273">
    <cfRule type="expression" dxfId="107" priority="1">
      <formula>EXACT(UPPER($J$273),"HAPUS")</formula>
    </cfRule>
  </conditionalFormatting>
  <conditionalFormatting sqref="G274">
    <cfRule type="expression" dxfId="108" priority="1">
      <formula>$G$274&lt;$L$274</formula>
    </cfRule>
  </conditionalFormatting>
  <conditionalFormatting sqref="J274">
    <cfRule type="expression" dxfId="109" priority="1">
      <formula>EXACT(UPPER($J$274),"HAPUS")</formula>
    </cfRule>
  </conditionalFormatting>
  <conditionalFormatting sqref="G275">
    <cfRule type="expression" dxfId="110" priority="1">
      <formula>$G$275&lt;$L$275</formula>
    </cfRule>
  </conditionalFormatting>
  <conditionalFormatting sqref="J275">
    <cfRule type="expression" dxfId="111" priority="1">
      <formula>EXACT(UPPER($J$275),"HAPUS")</formula>
    </cfRule>
  </conditionalFormatting>
  <conditionalFormatting sqref="G298">
    <cfRule type="expression" dxfId="112" priority="1">
      <formula>$G$298&lt;$L$298</formula>
    </cfRule>
  </conditionalFormatting>
  <conditionalFormatting sqref="J298">
    <cfRule type="expression" dxfId="113" priority="1">
      <formula>EXACT(UPPER($J$298),"HAPUS")</formula>
    </cfRule>
  </conditionalFormatting>
  <conditionalFormatting sqref="G344">
    <cfRule type="expression" dxfId="114" priority="1">
      <formula>$G$344&lt;$L$344</formula>
    </cfRule>
  </conditionalFormatting>
  <conditionalFormatting sqref="J344">
    <cfRule type="expression" dxfId="115" priority="1">
      <formula>EXACT(UPPER($J$344),"HAPUS")</formula>
    </cfRule>
  </conditionalFormatting>
  <conditionalFormatting sqref="G346">
    <cfRule type="expression" dxfId="116" priority="1">
      <formula>$G$346&lt;$L$346</formula>
    </cfRule>
  </conditionalFormatting>
  <conditionalFormatting sqref="J346">
    <cfRule type="expression" dxfId="117" priority="1">
      <formula>EXACT(UPPER($J$346),"HAPUS")</formula>
    </cfRule>
  </conditionalFormatting>
  <conditionalFormatting sqref="G347">
    <cfRule type="expression" dxfId="118" priority="1">
      <formula>$G$347&lt;$L$347</formula>
    </cfRule>
  </conditionalFormatting>
  <conditionalFormatting sqref="J347">
    <cfRule type="expression" dxfId="119" priority="1">
      <formula>EXACT(UPPER($J$347),"HAPUS")</formula>
    </cfRule>
  </conditionalFormatting>
  <conditionalFormatting sqref="G348">
    <cfRule type="expression" dxfId="120" priority="1">
      <formula>$G$348&lt;$L$348</formula>
    </cfRule>
  </conditionalFormatting>
  <conditionalFormatting sqref="J348">
    <cfRule type="expression" dxfId="121" priority="1">
      <formula>EXACT(UPPER($J$348),"HAPUS")</formula>
    </cfRule>
  </conditionalFormatting>
  <conditionalFormatting sqref="G349">
    <cfRule type="expression" dxfId="122" priority="1">
      <formula>$G$349&lt;$L$349</formula>
    </cfRule>
  </conditionalFormatting>
  <conditionalFormatting sqref="J349">
    <cfRule type="expression" dxfId="123" priority="1">
      <formula>EXACT(UPPER($J$349),"HAPUS")</formula>
    </cfRule>
  </conditionalFormatting>
  <conditionalFormatting sqref="G350">
    <cfRule type="expression" dxfId="124" priority="1">
      <formula>$G$350&lt;$L$350</formula>
    </cfRule>
  </conditionalFormatting>
  <conditionalFormatting sqref="J350">
    <cfRule type="expression" dxfId="125" priority="1">
      <formula>EXACT(UPPER($J$350),"HAPUS")</formula>
    </cfRule>
  </conditionalFormatting>
  <conditionalFormatting sqref="G351">
    <cfRule type="expression" dxfId="126" priority="1">
      <formula>$G$351&lt;$L$351</formula>
    </cfRule>
  </conditionalFormatting>
  <conditionalFormatting sqref="J351">
    <cfRule type="expression" dxfId="127" priority="1">
      <formula>EXACT(UPPER($J$351),"HAPUS")</formula>
    </cfRule>
  </conditionalFormatting>
  <conditionalFormatting sqref="G352">
    <cfRule type="expression" dxfId="128" priority="1">
      <formula>$G$352&lt;$L$352</formula>
    </cfRule>
  </conditionalFormatting>
  <conditionalFormatting sqref="J352">
    <cfRule type="expression" dxfId="129" priority="1">
      <formula>EXACT(UPPER($J$352),"HAPUS")</formula>
    </cfRule>
  </conditionalFormatting>
  <conditionalFormatting sqref="G354">
    <cfRule type="expression" dxfId="130" priority="1">
      <formula>$G$354&lt;$L$354</formula>
    </cfRule>
  </conditionalFormatting>
  <conditionalFormatting sqref="J354">
    <cfRule type="expression" dxfId="131" priority="1">
      <formula>EXACT(UPPER($J$354),"HAPUS")</formula>
    </cfRule>
  </conditionalFormatting>
  <conditionalFormatting sqref="G356">
    <cfRule type="expression" dxfId="132" priority="1">
      <formula>$G$356&lt;$L$356</formula>
    </cfRule>
  </conditionalFormatting>
  <conditionalFormatting sqref="J356">
    <cfRule type="expression" dxfId="133" priority="1">
      <formula>EXACT(UPPER($J$356),"HAPUS")</formula>
    </cfRule>
  </conditionalFormatting>
  <conditionalFormatting sqref="G357">
    <cfRule type="expression" dxfId="134" priority="1">
      <formula>$G$357&lt;$L$357</formula>
    </cfRule>
  </conditionalFormatting>
  <conditionalFormatting sqref="J357">
    <cfRule type="expression" dxfId="135" priority="1">
      <formula>EXACT(UPPER($J$357),"HAPUS")</formula>
    </cfRule>
  </conditionalFormatting>
  <conditionalFormatting sqref="G358">
    <cfRule type="expression" dxfId="136" priority="1">
      <formula>$G$358&lt;$L$358</formula>
    </cfRule>
  </conditionalFormatting>
  <conditionalFormatting sqref="J358">
    <cfRule type="expression" dxfId="137" priority="1">
      <formula>EXACT(UPPER($J$358),"HAPUS")</formula>
    </cfRule>
  </conditionalFormatting>
  <conditionalFormatting sqref="G360">
    <cfRule type="expression" dxfId="138" priority="1">
      <formula>$G$360&lt;$L$360</formula>
    </cfRule>
  </conditionalFormatting>
  <conditionalFormatting sqref="J360">
    <cfRule type="expression" dxfId="139" priority="1">
      <formula>EXACT(UPPER($J$360),"HAPUS")</formula>
    </cfRule>
  </conditionalFormatting>
  <conditionalFormatting sqref="G361">
    <cfRule type="expression" dxfId="140" priority="1">
      <formula>$G$361&lt;$L$361</formula>
    </cfRule>
  </conditionalFormatting>
  <conditionalFormatting sqref="J361">
    <cfRule type="expression" dxfId="141" priority="1">
      <formula>EXACT(UPPER($J$361),"HAPUS")</formula>
    </cfRule>
  </conditionalFormatting>
  <conditionalFormatting sqref="G362">
    <cfRule type="expression" dxfId="142" priority="1">
      <formula>$G$362&lt;$L$362</formula>
    </cfRule>
  </conditionalFormatting>
  <conditionalFormatting sqref="J362">
    <cfRule type="expression" dxfId="143" priority="1">
      <formula>EXACT(UPPER($J$362),"HAPUS")</formula>
    </cfRule>
  </conditionalFormatting>
  <conditionalFormatting sqref="G366">
    <cfRule type="expression" dxfId="144" priority="1">
      <formula>$G$366&lt;$L$366</formula>
    </cfRule>
  </conditionalFormatting>
  <conditionalFormatting sqref="J366">
    <cfRule type="expression" dxfId="145" priority="1">
      <formula>EXACT(UPPER($J$366),"HAPUS")</formula>
    </cfRule>
  </conditionalFormatting>
  <conditionalFormatting sqref="G367">
    <cfRule type="expression" dxfId="146" priority="1">
      <formula>$G$367&lt;$L$367</formula>
    </cfRule>
  </conditionalFormatting>
  <conditionalFormatting sqref="J367">
    <cfRule type="expression" dxfId="147" priority="1">
      <formula>EXACT(UPPER($J$367),"HAPUS")</formula>
    </cfRule>
  </conditionalFormatting>
  <conditionalFormatting sqref="G368">
    <cfRule type="expression" dxfId="148" priority="1">
      <formula>$G$368&lt;$L$368</formula>
    </cfRule>
  </conditionalFormatting>
  <conditionalFormatting sqref="J368">
    <cfRule type="expression" dxfId="149" priority="1">
      <formula>EXACT(UPPER($J$368),"HAPUS")</formula>
    </cfRule>
  </conditionalFormatting>
  <conditionalFormatting sqref="G370">
    <cfRule type="expression" dxfId="150" priority="1">
      <formula>$G$370&lt;$L$370</formula>
    </cfRule>
  </conditionalFormatting>
  <conditionalFormatting sqref="J370">
    <cfRule type="expression" dxfId="151" priority="1">
      <formula>EXACT(UPPER($J$370),"HAPUS")</formula>
    </cfRule>
  </conditionalFormatting>
  <conditionalFormatting sqref="G371">
    <cfRule type="expression" dxfId="152" priority="1">
      <formula>$G$371&lt;$L$371</formula>
    </cfRule>
  </conditionalFormatting>
  <conditionalFormatting sqref="J371">
    <cfRule type="expression" dxfId="153" priority="1">
      <formula>EXACT(UPPER($J$371),"HAPUS")</formula>
    </cfRule>
  </conditionalFormatting>
  <conditionalFormatting sqref="G372">
    <cfRule type="expression" dxfId="154" priority="1">
      <formula>$G$372&lt;$L$372</formula>
    </cfRule>
  </conditionalFormatting>
  <conditionalFormatting sqref="J372">
    <cfRule type="expression" dxfId="155" priority="1">
      <formula>EXACT(UPPER($J$372),"HAPUS")</formula>
    </cfRule>
  </conditionalFormatting>
  <conditionalFormatting sqref="G493">
    <cfRule type="expression" dxfId="156" priority="1">
      <formula>$G$493&lt;$L$493</formula>
    </cfRule>
  </conditionalFormatting>
  <conditionalFormatting sqref="J493">
    <cfRule type="expression" dxfId="157" priority="1">
      <formula>EXACT(UPPER($J$493),"HAPUS")</formula>
    </cfRule>
  </conditionalFormatting>
  <conditionalFormatting sqref="G495">
    <cfRule type="expression" dxfId="158" priority="1">
      <formula>$G$495&lt;$L$495</formula>
    </cfRule>
  </conditionalFormatting>
  <conditionalFormatting sqref="J495">
    <cfRule type="expression" dxfId="159" priority="1">
      <formula>EXACT(UPPER($J$495),"HAPUS")</formula>
    </cfRule>
  </conditionalFormatting>
  <conditionalFormatting sqref="G496">
    <cfRule type="expression" dxfId="160" priority="1">
      <formula>$G$496&lt;$L$496</formula>
    </cfRule>
  </conditionalFormatting>
  <conditionalFormatting sqref="J496">
    <cfRule type="expression" dxfId="161" priority="1">
      <formula>EXACT(UPPER($J$496),"HAPUS")</formula>
    </cfRule>
  </conditionalFormatting>
  <conditionalFormatting sqref="G497">
    <cfRule type="expression" dxfId="162" priority="1">
      <formula>$G$497&lt;$L$497</formula>
    </cfRule>
  </conditionalFormatting>
  <conditionalFormatting sqref="J497">
    <cfRule type="expression" dxfId="163" priority="1">
      <formula>EXACT(UPPER($J$497),"HAPUS")</formula>
    </cfRule>
  </conditionalFormatting>
  <conditionalFormatting sqref="G498">
    <cfRule type="expression" dxfId="164" priority="1">
      <formula>$G$498&lt;$L$498</formula>
    </cfRule>
  </conditionalFormatting>
  <conditionalFormatting sqref="J498">
    <cfRule type="expression" dxfId="165" priority="1">
      <formula>EXACT(UPPER($J$498),"HAPUS")</formula>
    </cfRule>
  </conditionalFormatting>
  <conditionalFormatting sqref="G499">
    <cfRule type="expression" dxfId="166" priority="1">
      <formula>$G$499&lt;$L$499</formula>
    </cfRule>
  </conditionalFormatting>
  <conditionalFormatting sqref="J499">
    <cfRule type="expression" dxfId="167" priority="1">
      <formula>EXACT(UPPER($J$499),"HAPUS")</formula>
    </cfRule>
  </conditionalFormatting>
  <conditionalFormatting sqref="G500">
    <cfRule type="expression" dxfId="168" priority="1">
      <formula>$G$500&lt;$L$500</formula>
    </cfRule>
  </conditionalFormatting>
  <conditionalFormatting sqref="J500">
    <cfRule type="expression" dxfId="169" priority="1">
      <formula>EXACT(UPPER($J$500),"HAPUS")</formula>
    </cfRule>
  </conditionalFormatting>
  <conditionalFormatting sqref="G501">
    <cfRule type="expression" dxfId="170" priority="1">
      <formula>$G$501&lt;$L$501</formula>
    </cfRule>
  </conditionalFormatting>
  <conditionalFormatting sqref="J501">
    <cfRule type="expression" dxfId="171" priority="1">
      <formula>EXACT(UPPER($J$501),"HAPUS")</formula>
    </cfRule>
  </conditionalFormatting>
  <conditionalFormatting sqref="G503">
    <cfRule type="expression" dxfId="172" priority="1">
      <formula>$G$503&lt;$L$503</formula>
    </cfRule>
  </conditionalFormatting>
  <conditionalFormatting sqref="J503">
    <cfRule type="expression" dxfId="173" priority="1">
      <formula>EXACT(UPPER($J$503),"HAPUS")</formula>
    </cfRule>
  </conditionalFormatting>
  <conditionalFormatting sqref="G505">
    <cfRule type="expression" dxfId="174" priority="1">
      <formula>$G$505&lt;$L$505</formula>
    </cfRule>
  </conditionalFormatting>
  <conditionalFormatting sqref="J505">
    <cfRule type="expression" dxfId="175" priority="1">
      <formula>EXACT(UPPER($J$505),"HAPUS")</formula>
    </cfRule>
  </conditionalFormatting>
  <conditionalFormatting sqref="G506">
    <cfRule type="expression" dxfId="176" priority="1">
      <formula>$G$506&lt;$L$506</formula>
    </cfRule>
  </conditionalFormatting>
  <conditionalFormatting sqref="J506">
    <cfRule type="expression" dxfId="177" priority="1">
      <formula>EXACT(UPPER($J$506),"HAPUS")</formula>
    </cfRule>
  </conditionalFormatting>
  <conditionalFormatting sqref="G507">
    <cfRule type="expression" dxfId="178" priority="1">
      <formula>$G$507&lt;$L$507</formula>
    </cfRule>
  </conditionalFormatting>
  <conditionalFormatting sqref="J507">
    <cfRule type="expression" dxfId="179" priority="1">
      <formula>EXACT(UPPER($J$507),"HAPUS")</formula>
    </cfRule>
  </conditionalFormatting>
  <conditionalFormatting sqref="G509">
    <cfRule type="expression" dxfId="180" priority="1">
      <formula>$G$509&lt;$L$509</formula>
    </cfRule>
  </conditionalFormatting>
  <conditionalFormatting sqref="J509">
    <cfRule type="expression" dxfId="181" priority="1">
      <formula>EXACT(UPPER($J$509),"HAPUS")</formula>
    </cfRule>
  </conditionalFormatting>
  <conditionalFormatting sqref="G510">
    <cfRule type="expression" dxfId="182" priority="1">
      <formula>$G$510&lt;$L$510</formula>
    </cfRule>
  </conditionalFormatting>
  <conditionalFormatting sqref="J510">
    <cfRule type="expression" dxfId="183" priority="1">
      <formula>EXACT(UPPER($J$510),"HAPUS")</formula>
    </cfRule>
  </conditionalFormatting>
  <conditionalFormatting sqref="G511">
    <cfRule type="expression" dxfId="184" priority="1">
      <formula>$G$511&lt;$L$511</formula>
    </cfRule>
  </conditionalFormatting>
  <conditionalFormatting sqref="J511">
    <cfRule type="expression" dxfId="185" priority="1">
      <formula>EXACT(UPPER($J$511),"HAPUS")</formula>
    </cfRule>
  </conditionalFormatting>
  <conditionalFormatting sqref="G512">
    <cfRule type="expression" dxfId="186" priority="1">
      <formula>$G$512&lt;$L$512</formula>
    </cfRule>
  </conditionalFormatting>
  <conditionalFormatting sqref="J512">
    <cfRule type="expression" dxfId="187" priority="1">
      <formula>EXACT(UPPER($J$512),"HAPUS")</formula>
    </cfRule>
  </conditionalFormatting>
  <conditionalFormatting sqref="G514">
    <cfRule type="expression" dxfId="188" priority="1">
      <formula>$G$514&lt;$L$514</formula>
    </cfRule>
  </conditionalFormatting>
  <conditionalFormatting sqref="J514">
    <cfRule type="expression" dxfId="189" priority="1">
      <formula>EXACT(UPPER($J$514),"HAPUS")</formula>
    </cfRule>
  </conditionalFormatting>
  <conditionalFormatting sqref="G515">
    <cfRule type="expression" dxfId="190" priority="1">
      <formula>$G$515&lt;$L$515</formula>
    </cfRule>
  </conditionalFormatting>
  <conditionalFormatting sqref="J515">
    <cfRule type="expression" dxfId="191" priority="1">
      <formula>EXACT(UPPER($J$515),"HAPUS")</formula>
    </cfRule>
  </conditionalFormatting>
  <conditionalFormatting sqref="G516">
    <cfRule type="expression" dxfId="192" priority="1">
      <formula>$G$516&lt;$L$516</formula>
    </cfRule>
  </conditionalFormatting>
  <conditionalFormatting sqref="J516">
    <cfRule type="expression" dxfId="193" priority="1">
      <formula>EXACT(UPPER($J$516),"HAPUS")</formula>
    </cfRule>
  </conditionalFormatting>
  <conditionalFormatting sqref="G517">
    <cfRule type="expression" dxfId="194" priority="1">
      <formula>$G$517&lt;$L$517</formula>
    </cfRule>
  </conditionalFormatting>
  <conditionalFormatting sqref="J517">
    <cfRule type="expression" dxfId="195" priority="1">
      <formula>EXACT(UPPER($J$517),"HAPUS")</formula>
    </cfRule>
  </conditionalFormatting>
  <conditionalFormatting sqref="G519">
    <cfRule type="expression" dxfId="196" priority="1">
      <formula>$G$519&lt;$L$519</formula>
    </cfRule>
  </conditionalFormatting>
  <conditionalFormatting sqref="J519">
    <cfRule type="expression" dxfId="197" priority="1">
      <formula>EXACT(UPPER($J$519),"HAPUS")</formula>
    </cfRule>
  </conditionalFormatting>
  <conditionalFormatting sqref="G520">
    <cfRule type="expression" dxfId="198" priority="1">
      <formula>$G$520&lt;$L$520</formula>
    </cfRule>
  </conditionalFormatting>
  <conditionalFormatting sqref="J520">
    <cfRule type="expression" dxfId="199" priority="1">
      <formula>EXACT(UPPER($J$520),"HAPUS")</formula>
    </cfRule>
  </conditionalFormatting>
  <conditionalFormatting sqref="G521">
    <cfRule type="expression" dxfId="200" priority="1">
      <formula>$G$521&lt;$L$521</formula>
    </cfRule>
  </conditionalFormatting>
  <conditionalFormatting sqref="J521">
    <cfRule type="expression" dxfId="201" priority="1">
      <formula>EXACT(UPPER($J$521),"HAPUS")</formula>
    </cfRule>
  </conditionalFormatting>
  <conditionalFormatting sqref="G522">
    <cfRule type="expression" dxfId="202" priority="1">
      <formula>$G$522&lt;$L$522</formula>
    </cfRule>
  </conditionalFormatting>
  <conditionalFormatting sqref="J522">
    <cfRule type="expression" dxfId="203" priority="1">
      <formula>EXACT(UPPER($J$522),"HAPUS")</formula>
    </cfRule>
  </conditionalFormatting>
  <conditionalFormatting sqref="G649">
    <cfRule type="expression" dxfId="204" priority="1">
      <formula>$G$649&lt;$L$649</formula>
    </cfRule>
  </conditionalFormatting>
  <conditionalFormatting sqref="J649">
    <cfRule type="expression" dxfId="205" priority="1">
      <formula>EXACT(UPPER($J$649),"HAPUS")</formula>
    </cfRule>
  </conditionalFormatting>
  <conditionalFormatting sqref="G651">
    <cfRule type="expression" dxfId="206" priority="1">
      <formula>$G$651&lt;$L$651</formula>
    </cfRule>
  </conditionalFormatting>
  <conditionalFormatting sqref="J651">
    <cfRule type="expression" dxfId="207" priority="1">
      <formula>EXACT(UPPER($J$651),"HAPUS")</formula>
    </cfRule>
  </conditionalFormatting>
  <conditionalFormatting sqref="G652">
    <cfRule type="expression" dxfId="208" priority="1">
      <formula>$G$652&lt;$L$652</formula>
    </cfRule>
  </conditionalFormatting>
  <conditionalFormatting sqref="J652">
    <cfRule type="expression" dxfId="209" priority="1">
      <formula>EXACT(UPPER($J$652),"HAPUS")</formula>
    </cfRule>
  </conditionalFormatting>
  <conditionalFormatting sqref="G653">
    <cfRule type="expression" dxfId="210" priority="1">
      <formula>$G$653&lt;$L$653</formula>
    </cfRule>
  </conditionalFormatting>
  <conditionalFormatting sqref="J653">
    <cfRule type="expression" dxfId="211" priority="1">
      <formula>EXACT(UPPER($J$653),"HAPUS")</formula>
    </cfRule>
  </conditionalFormatting>
  <conditionalFormatting sqref="G654">
    <cfRule type="expression" dxfId="212" priority="1">
      <formula>$G$654&lt;$L$654</formula>
    </cfRule>
  </conditionalFormatting>
  <conditionalFormatting sqref="J654">
    <cfRule type="expression" dxfId="213" priority="1">
      <formula>EXACT(UPPER($J$654),"HAPUS")</formula>
    </cfRule>
  </conditionalFormatting>
  <conditionalFormatting sqref="G655">
    <cfRule type="expression" dxfId="214" priority="1">
      <formula>$G$655&lt;$L$655</formula>
    </cfRule>
  </conditionalFormatting>
  <conditionalFormatting sqref="J655">
    <cfRule type="expression" dxfId="215" priority="1">
      <formula>EXACT(UPPER($J$655),"HAPUS")</formula>
    </cfRule>
  </conditionalFormatting>
  <conditionalFormatting sqref="G656">
    <cfRule type="expression" dxfId="216" priority="1">
      <formula>$G$656&lt;$L$656</formula>
    </cfRule>
  </conditionalFormatting>
  <conditionalFormatting sqref="J656">
    <cfRule type="expression" dxfId="217" priority="1">
      <formula>EXACT(UPPER($J$656),"HAPUS")</formula>
    </cfRule>
  </conditionalFormatting>
  <conditionalFormatting sqref="G657">
    <cfRule type="expression" dxfId="218" priority="1">
      <formula>$G$657&lt;$L$657</formula>
    </cfRule>
  </conditionalFormatting>
  <conditionalFormatting sqref="J657">
    <cfRule type="expression" dxfId="219" priority="1">
      <formula>EXACT(UPPER($J$657),"HAPUS")</formula>
    </cfRule>
  </conditionalFormatting>
  <conditionalFormatting sqref="G658">
    <cfRule type="expression" dxfId="220" priority="1">
      <formula>$G$658&lt;$L$658</formula>
    </cfRule>
  </conditionalFormatting>
  <conditionalFormatting sqref="J658">
    <cfRule type="expression" dxfId="221" priority="1">
      <formula>EXACT(UPPER($J$658),"HAPUS")</formula>
    </cfRule>
  </conditionalFormatting>
  <conditionalFormatting sqref="G659">
    <cfRule type="expression" dxfId="222" priority="1">
      <formula>$G$659&lt;$L$659</formula>
    </cfRule>
  </conditionalFormatting>
  <conditionalFormatting sqref="J659">
    <cfRule type="expression" dxfId="223" priority="1">
      <formula>EXACT(UPPER($J$659),"HAPUS")</formula>
    </cfRule>
  </conditionalFormatting>
  <conditionalFormatting sqref="G661">
    <cfRule type="expression" dxfId="224" priority="1">
      <formula>$G$661&lt;$L$661</formula>
    </cfRule>
  </conditionalFormatting>
  <conditionalFormatting sqref="J661">
    <cfRule type="expression" dxfId="225" priority="1">
      <formula>EXACT(UPPER($J$661),"HAPUS")</formula>
    </cfRule>
  </conditionalFormatting>
  <conditionalFormatting sqref="G662">
    <cfRule type="expression" dxfId="226" priority="1">
      <formula>$G$662&lt;$L$662</formula>
    </cfRule>
  </conditionalFormatting>
  <conditionalFormatting sqref="J662">
    <cfRule type="expression" dxfId="227" priority="1">
      <formula>EXACT(UPPER($J$662),"HAPUS")</formula>
    </cfRule>
  </conditionalFormatting>
  <conditionalFormatting sqref="G663">
    <cfRule type="expression" dxfId="228" priority="1">
      <formula>$G$663&lt;$L$663</formula>
    </cfRule>
  </conditionalFormatting>
  <conditionalFormatting sqref="J663">
    <cfRule type="expression" dxfId="229" priority="1">
      <formula>EXACT(UPPER($J$663),"HAPUS")</formula>
    </cfRule>
  </conditionalFormatting>
  <conditionalFormatting sqref="G664">
    <cfRule type="expression" dxfId="230" priority="1">
      <formula>$G$664&lt;$L$664</formula>
    </cfRule>
  </conditionalFormatting>
  <conditionalFormatting sqref="J664">
    <cfRule type="expression" dxfId="231" priority="1">
      <formula>EXACT(UPPER($J$664),"HAPUS")</formula>
    </cfRule>
  </conditionalFormatting>
  <conditionalFormatting sqref="G665">
    <cfRule type="expression" dxfId="232" priority="1">
      <formula>$G$665&lt;$L$665</formula>
    </cfRule>
  </conditionalFormatting>
  <conditionalFormatting sqref="J665">
    <cfRule type="expression" dxfId="233" priority="1">
      <formula>EXACT(UPPER($J$665),"HAPUS")</formula>
    </cfRule>
  </conditionalFormatting>
  <conditionalFormatting sqref="G666">
    <cfRule type="expression" dxfId="234" priority="1">
      <formula>$G$666&lt;$L$666</formula>
    </cfRule>
  </conditionalFormatting>
  <conditionalFormatting sqref="J666">
    <cfRule type="expression" dxfId="235" priority="1">
      <formula>EXACT(UPPER($J$666),"HAPUS")</formula>
    </cfRule>
  </conditionalFormatting>
  <conditionalFormatting sqref="G667">
    <cfRule type="expression" dxfId="236" priority="1">
      <formula>$G$667&lt;$L$667</formula>
    </cfRule>
  </conditionalFormatting>
  <conditionalFormatting sqref="J667">
    <cfRule type="expression" dxfId="237" priority="1">
      <formula>EXACT(UPPER($J$667),"HAPUS")</formula>
    </cfRule>
  </conditionalFormatting>
  <conditionalFormatting sqref="G668">
    <cfRule type="expression" dxfId="238" priority="1">
      <formula>$G$668&lt;$L$668</formula>
    </cfRule>
  </conditionalFormatting>
  <conditionalFormatting sqref="J668">
    <cfRule type="expression" dxfId="239" priority="1">
      <formula>EXACT(UPPER($J$668),"HAPUS")</formula>
    </cfRule>
  </conditionalFormatting>
  <conditionalFormatting sqref="G670">
    <cfRule type="expression" dxfId="240" priority="1">
      <formula>$G$670&lt;$L$670</formula>
    </cfRule>
  </conditionalFormatting>
  <conditionalFormatting sqref="J670">
    <cfRule type="expression" dxfId="241" priority="1">
      <formula>EXACT(UPPER($J$670),"HAPUS")</formula>
    </cfRule>
  </conditionalFormatting>
  <conditionalFormatting sqref="G671">
    <cfRule type="expression" dxfId="242" priority="1">
      <formula>$G$671&lt;$L$671</formula>
    </cfRule>
  </conditionalFormatting>
  <conditionalFormatting sqref="J671">
    <cfRule type="expression" dxfId="243" priority="1">
      <formula>EXACT(UPPER($J$671),"HAPUS")</formula>
    </cfRule>
  </conditionalFormatting>
  <conditionalFormatting sqref="G672">
    <cfRule type="expression" dxfId="244" priority="1">
      <formula>$G$672&lt;$L$672</formula>
    </cfRule>
  </conditionalFormatting>
  <conditionalFormatting sqref="J672">
    <cfRule type="expression" dxfId="245" priority="1">
      <formula>EXACT(UPPER($J$672),"HAPUS")</formula>
    </cfRule>
  </conditionalFormatting>
  <conditionalFormatting sqref="G673">
    <cfRule type="expression" dxfId="246" priority="1">
      <formula>$G$673&lt;$L$673</formula>
    </cfRule>
  </conditionalFormatting>
  <conditionalFormatting sqref="J673">
    <cfRule type="expression" dxfId="247" priority="1">
      <formula>EXACT(UPPER($J$673),"HAPUS")</formula>
    </cfRule>
  </conditionalFormatting>
  <conditionalFormatting sqref="G674">
    <cfRule type="expression" dxfId="248" priority="1">
      <formula>$G$674&lt;$L$674</formula>
    </cfRule>
  </conditionalFormatting>
  <conditionalFormatting sqref="J674">
    <cfRule type="expression" dxfId="249" priority="1">
      <formula>EXACT(UPPER($J$674),"HAPUS")</formula>
    </cfRule>
  </conditionalFormatting>
  <conditionalFormatting sqref="G790">
    <cfRule type="expression" dxfId="250" priority="1">
      <formula>$G$790&lt;$L$790</formula>
    </cfRule>
  </conditionalFormatting>
  <conditionalFormatting sqref="J790">
    <cfRule type="expression" dxfId="251" priority="1">
      <formula>EXACT(UPPER($J$790),"HAPUS")</formula>
    </cfRule>
  </conditionalFormatting>
  <conditionalFormatting sqref="G792">
    <cfRule type="expression" dxfId="252" priority="1">
      <formula>$G$792&lt;$L$792</formula>
    </cfRule>
  </conditionalFormatting>
  <conditionalFormatting sqref="J792">
    <cfRule type="expression" dxfId="253" priority="1">
      <formula>EXACT(UPPER($J$792),"HAPUS")</formula>
    </cfRule>
  </conditionalFormatting>
  <conditionalFormatting sqref="G793">
    <cfRule type="expression" dxfId="254" priority="1">
      <formula>$G$793&lt;$L$793</formula>
    </cfRule>
  </conditionalFormatting>
  <conditionalFormatting sqref="J793">
    <cfRule type="expression" dxfId="255" priority="1">
      <formula>EXACT(UPPER($J$793),"HAPUS")</formula>
    </cfRule>
  </conditionalFormatting>
  <conditionalFormatting sqref="G794">
    <cfRule type="expression" dxfId="256" priority="1">
      <formula>$G$794&lt;$L$794</formula>
    </cfRule>
  </conditionalFormatting>
  <conditionalFormatting sqref="J794">
    <cfRule type="expression" dxfId="257" priority="1">
      <formula>EXACT(UPPER($J$794),"HAPUS")</formula>
    </cfRule>
  </conditionalFormatting>
  <conditionalFormatting sqref="G795">
    <cfRule type="expression" dxfId="258" priority="1">
      <formula>$G$795&lt;$L$795</formula>
    </cfRule>
  </conditionalFormatting>
  <conditionalFormatting sqref="J795">
    <cfRule type="expression" dxfId="259" priority="1">
      <formula>EXACT(UPPER($J$795),"HAPUS")</formula>
    </cfRule>
  </conditionalFormatting>
  <conditionalFormatting sqref="G796">
    <cfRule type="expression" dxfId="260" priority="1">
      <formula>$G$796&lt;$L$796</formula>
    </cfRule>
  </conditionalFormatting>
  <conditionalFormatting sqref="J796">
    <cfRule type="expression" dxfId="261" priority="1">
      <formula>EXACT(UPPER($J$796),"HAPUS")</formula>
    </cfRule>
  </conditionalFormatting>
  <conditionalFormatting sqref="G797">
    <cfRule type="expression" dxfId="262" priority="1">
      <formula>$G$797&lt;$L$797</formula>
    </cfRule>
  </conditionalFormatting>
  <conditionalFormatting sqref="J797">
    <cfRule type="expression" dxfId="263" priority="1">
      <formula>EXACT(UPPER($J$797),"HAPUS")</formula>
    </cfRule>
  </conditionalFormatting>
  <conditionalFormatting sqref="G798">
    <cfRule type="expression" dxfId="264" priority="1">
      <formula>$G$798&lt;$L$798</formula>
    </cfRule>
  </conditionalFormatting>
  <conditionalFormatting sqref="J798">
    <cfRule type="expression" dxfId="265" priority="1">
      <formula>EXACT(UPPER($J$798),"HAPUS")</formula>
    </cfRule>
  </conditionalFormatting>
  <conditionalFormatting sqref="G800">
    <cfRule type="expression" dxfId="266" priority="1">
      <formula>$G$800&lt;$L$800</formula>
    </cfRule>
  </conditionalFormatting>
  <conditionalFormatting sqref="J800">
    <cfRule type="expression" dxfId="267" priority="1">
      <formula>EXACT(UPPER($J$800),"HAPUS")</formula>
    </cfRule>
  </conditionalFormatting>
  <conditionalFormatting sqref="G802">
    <cfRule type="expression" dxfId="268" priority="1">
      <formula>$G$802&lt;$L$802</formula>
    </cfRule>
  </conditionalFormatting>
  <conditionalFormatting sqref="J802">
    <cfRule type="expression" dxfId="269" priority="1">
      <formula>EXACT(UPPER($J$802),"HAPUS")</formula>
    </cfRule>
  </conditionalFormatting>
  <conditionalFormatting sqref="G803">
    <cfRule type="expression" dxfId="270" priority="1">
      <formula>$G$803&lt;$L$803</formula>
    </cfRule>
  </conditionalFormatting>
  <conditionalFormatting sqref="J803">
    <cfRule type="expression" dxfId="271" priority="1">
      <formula>EXACT(UPPER($J$803),"HAPUS")</formula>
    </cfRule>
  </conditionalFormatting>
  <conditionalFormatting sqref="G804">
    <cfRule type="expression" dxfId="272" priority="1">
      <formula>$G$804&lt;$L$804</formula>
    </cfRule>
  </conditionalFormatting>
  <conditionalFormatting sqref="J804">
    <cfRule type="expression" dxfId="273" priority="1">
      <formula>EXACT(UPPER($J$804),"HAPUS")</formula>
    </cfRule>
  </conditionalFormatting>
  <conditionalFormatting sqref="G806">
    <cfRule type="expression" dxfId="274" priority="1">
      <formula>$G$806&lt;$L$806</formula>
    </cfRule>
  </conditionalFormatting>
  <conditionalFormatting sqref="J806">
    <cfRule type="expression" dxfId="275" priority="1">
      <formula>EXACT(UPPER($J$806),"HAPUS")</formula>
    </cfRule>
  </conditionalFormatting>
  <conditionalFormatting sqref="G807">
    <cfRule type="expression" dxfId="276" priority="1">
      <formula>$G$807&lt;$L$807</formula>
    </cfRule>
  </conditionalFormatting>
  <conditionalFormatting sqref="J807">
    <cfRule type="expression" dxfId="277" priority="1">
      <formula>EXACT(UPPER($J$807),"HAPUS")</formula>
    </cfRule>
  </conditionalFormatting>
  <conditionalFormatting sqref="G808">
    <cfRule type="expression" dxfId="278" priority="1">
      <formula>$G$808&lt;$L$808</formula>
    </cfRule>
  </conditionalFormatting>
  <conditionalFormatting sqref="J808">
    <cfRule type="expression" dxfId="279" priority="1">
      <formula>EXACT(UPPER($J$808),"HAPUS")</formula>
    </cfRule>
  </conditionalFormatting>
  <conditionalFormatting sqref="G809">
    <cfRule type="expression" dxfId="280" priority="1">
      <formula>$G$809&lt;$L$809</formula>
    </cfRule>
  </conditionalFormatting>
  <conditionalFormatting sqref="J809">
    <cfRule type="expression" dxfId="281" priority="1">
      <formula>EXACT(UPPER($J$809),"HAPUS")</formula>
    </cfRule>
  </conditionalFormatting>
  <conditionalFormatting sqref="G813">
    <cfRule type="expression" dxfId="282" priority="1">
      <formula>$G$813&lt;$L$813</formula>
    </cfRule>
  </conditionalFormatting>
  <conditionalFormatting sqref="J813">
    <cfRule type="expression" dxfId="283" priority="1">
      <formula>EXACT(UPPER($J$813),"HAPUS")</formula>
    </cfRule>
  </conditionalFormatting>
  <conditionalFormatting sqref="G814">
    <cfRule type="expression" dxfId="284" priority="1">
      <formula>$G$814&lt;$L$814</formula>
    </cfRule>
  </conditionalFormatting>
  <conditionalFormatting sqref="J814">
    <cfRule type="expression" dxfId="285" priority="1">
      <formula>EXACT(UPPER($J$814),"HAPUS")</formula>
    </cfRule>
  </conditionalFormatting>
  <conditionalFormatting sqref="G969">
    <cfRule type="expression" dxfId="286" priority="1">
      <formula>$G$969&lt;$L$969</formula>
    </cfRule>
  </conditionalFormatting>
  <conditionalFormatting sqref="J969">
    <cfRule type="expression" dxfId="287" priority="1">
      <formula>EXACT(UPPER($J$969),"HAPUS")</formula>
    </cfRule>
  </conditionalFormatting>
  <conditionalFormatting sqref="G970">
    <cfRule type="expression" dxfId="288" priority="1">
      <formula>$G$970&lt;$L$970</formula>
    </cfRule>
  </conditionalFormatting>
  <conditionalFormatting sqref="J970">
    <cfRule type="expression" dxfId="289" priority="1">
      <formula>EXACT(UPPER($J$970),"HAPUS")</formula>
    </cfRule>
  </conditionalFormatting>
  <conditionalFormatting sqref="G973">
    <cfRule type="expression" dxfId="290" priority="1">
      <formula>$G$973&lt;$L$973</formula>
    </cfRule>
  </conditionalFormatting>
  <conditionalFormatting sqref="J973">
    <cfRule type="expression" dxfId="291" priority="1">
      <formula>EXACT(UPPER($J$973),"HAPUS")</formula>
    </cfRule>
  </conditionalFormatting>
  <conditionalFormatting sqref="G975">
    <cfRule type="expression" dxfId="292" priority="1">
      <formula>$G$975&lt;$L$975</formula>
    </cfRule>
  </conditionalFormatting>
  <conditionalFormatting sqref="J975">
    <cfRule type="expression" dxfId="293" priority="1">
      <formula>EXACT(UPPER($J$975),"HAPUS")</formula>
    </cfRule>
  </conditionalFormatting>
  <conditionalFormatting sqref="G976">
    <cfRule type="expression" dxfId="294" priority="1">
      <formula>$G$976&lt;$L$976</formula>
    </cfRule>
  </conditionalFormatting>
  <conditionalFormatting sqref="J976">
    <cfRule type="expression" dxfId="295" priority="1">
      <formula>EXACT(UPPER($J$976),"HAPUS")</formula>
    </cfRule>
  </conditionalFormatting>
  <conditionalFormatting sqref="G977">
    <cfRule type="expression" dxfId="296" priority="1">
      <formula>$G$977&lt;$L$977</formula>
    </cfRule>
  </conditionalFormatting>
  <conditionalFormatting sqref="J977">
    <cfRule type="expression" dxfId="297" priority="1">
      <formula>EXACT(UPPER($J$977),"HAPUS")</formula>
    </cfRule>
  </conditionalFormatting>
  <conditionalFormatting sqref="G978">
    <cfRule type="expression" dxfId="298" priority="1">
      <formula>$G$978&lt;$L$978</formula>
    </cfRule>
  </conditionalFormatting>
  <conditionalFormatting sqref="J978">
    <cfRule type="expression" dxfId="299" priority="1">
      <formula>EXACT(UPPER($J$978),"HAPUS")</formula>
    </cfRule>
  </conditionalFormatting>
  <conditionalFormatting sqref="G979">
    <cfRule type="expression" dxfId="300" priority="1">
      <formula>$G$979&lt;$L$979</formula>
    </cfRule>
  </conditionalFormatting>
  <conditionalFormatting sqref="J979">
    <cfRule type="expression" dxfId="301" priority="1">
      <formula>EXACT(UPPER($J$979),"HAPUS")</formula>
    </cfRule>
  </conditionalFormatting>
  <conditionalFormatting sqref="G980">
    <cfRule type="expression" dxfId="302" priority="1">
      <formula>$G$980&lt;$L$980</formula>
    </cfRule>
  </conditionalFormatting>
  <conditionalFormatting sqref="J980">
    <cfRule type="expression" dxfId="303" priority="1">
      <formula>EXACT(UPPER($J$980),"HAPUS")</formula>
    </cfRule>
  </conditionalFormatting>
  <conditionalFormatting sqref="G981">
    <cfRule type="expression" dxfId="304" priority="1">
      <formula>$G$981&lt;$L$981</formula>
    </cfRule>
  </conditionalFormatting>
  <conditionalFormatting sqref="J981">
    <cfRule type="expression" dxfId="305" priority="1">
      <formula>EXACT(UPPER($J$981),"HAPUS")</formula>
    </cfRule>
  </conditionalFormatting>
  <conditionalFormatting sqref="G983">
    <cfRule type="expression" dxfId="306" priority="1">
      <formula>$G$983&lt;$L$983</formula>
    </cfRule>
  </conditionalFormatting>
  <conditionalFormatting sqref="J983">
    <cfRule type="expression" dxfId="307" priority="1">
      <formula>EXACT(UPPER($J$983),"HAPUS")</formula>
    </cfRule>
  </conditionalFormatting>
  <conditionalFormatting sqref="G985">
    <cfRule type="expression" dxfId="308" priority="1">
      <formula>$G$985&lt;$L$985</formula>
    </cfRule>
  </conditionalFormatting>
  <conditionalFormatting sqref="J985">
    <cfRule type="expression" dxfId="309" priority="1">
      <formula>EXACT(UPPER($J$985),"HAPUS")</formula>
    </cfRule>
  </conditionalFormatting>
  <conditionalFormatting sqref="G986">
    <cfRule type="expression" dxfId="310" priority="1">
      <formula>$G$986&lt;$L$986</formula>
    </cfRule>
  </conditionalFormatting>
  <conditionalFormatting sqref="J986">
    <cfRule type="expression" dxfId="311" priority="1">
      <formula>EXACT(UPPER($J$986),"HAPUS")</formula>
    </cfRule>
  </conditionalFormatting>
  <conditionalFormatting sqref="G987">
    <cfRule type="expression" dxfId="312" priority="1">
      <formula>$G$987&lt;$L$987</formula>
    </cfRule>
  </conditionalFormatting>
  <conditionalFormatting sqref="J987">
    <cfRule type="expression" dxfId="313" priority="1">
      <formula>EXACT(UPPER($J$987),"HAPUS")</formula>
    </cfRule>
  </conditionalFormatting>
  <conditionalFormatting sqref="G989">
    <cfRule type="expression" dxfId="314" priority="1">
      <formula>$G$989&lt;$L$989</formula>
    </cfRule>
  </conditionalFormatting>
  <conditionalFormatting sqref="J989">
    <cfRule type="expression" dxfId="315" priority="1">
      <formula>EXACT(UPPER($J$989),"HAPUS")</formula>
    </cfRule>
  </conditionalFormatting>
  <conditionalFormatting sqref="G990">
    <cfRule type="expression" dxfId="316" priority="1">
      <formula>$G$990&lt;$L$990</formula>
    </cfRule>
  </conditionalFormatting>
  <conditionalFormatting sqref="J990">
    <cfRule type="expression" dxfId="317" priority="1">
      <formula>EXACT(UPPER($J$990),"HAPUS")</formula>
    </cfRule>
  </conditionalFormatting>
  <conditionalFormatting sqref="G991">
    <cfRule type="expression" dxfId="318" priority="1">
      <formula>$G$991&lt;$L$991</formula>
    </cfRule>
  </conditionalFormatting>
  <conditionalFormatting sqref="J991">
    <cfRule type="expression" dxfId="319" priority="1">
      <formula>EXACT(UPPER($J$991),"HAPUS")</formula>
    </cfRule>
  </conditionalFormatting>
  <conditionalFormatting sqref="G992">
    <cfRule type="expression" dxfId="320" priority="1">
      <formula>$G$992&lt;$L$992</formula>
    </cfRule>
  </conditionalFormatting>
  <conditionalFormatting sqref="J992">
    <cfRule type="expression" dxfId="321" priority="1">
      <formula>EXACT(UPPER($J$992),"HAPUS")</formula>
    </cfRule>
  </conditionalFormatting>
  <conditionalFormatting sqref="G995">
    <cfRule type="expression" dxfId="322" priority="1">
      <formula>$G$995&lt;$L$995</formula>
    </cfRule>
  </conditionalFormatting>
  <conditionalFormatting sqref="J995">
    <cfRule type="expression" dxfId="323" priority="1">
      <formula>EXACT(UPPER($J$995),"HAPUS")</formula>
    </cfRule>
  </conditionalFormatting>
  <conditionalFormatting sqref="G996">
    <cfRule type="expression" dxfId="324" priority="1">
      <formula>$G$996&lt;$L$996</formula>
    </cfRule>
  </conditionalFormatting>
  <conditionalFormatting sqref="J996">
    <cfRule type="expression" dxfId="325" priority="1">
      <formula>EXACT(UPPER($J$996),"HAPUS")</formula>
    </cfRule>
  </conditionalFormatting>
  <dataValidations count="163">
    <dataValidation type="decimal" operator="greaterThanOrEqual" showErrorMessage="1" errorStyle="stop" errorTitle="Di bawah realisasi" error="Item ini sudah dikerjakan 50 m² di lapangan (kolom REALISASI TERCATAT). Volume adendum tidak boleh di bawahnya – pekerjaan-kurang atas item berjalan maksimal sampai volume yang sudah terealisasi." sqref="G10">
      <formula1>$L$10</formula1>
    </dataValidation>
    <dataValidation type="decimal" operator="greaterThanOrEqual" showErrorMessage="1" errorStyle="stop" errorTitle="Di bawah realisasi" error="Item ini sudah dikerjakan 642,22 kg di lapangan (kolom REALISASI TERCATAT). Volume adendum tidak boleh di bawahnya – pekerjaan-kurang atas item berjalan maksimal sampai volume yang sudah terealisasi." sqref="G100">
      <formula1>$L$100</formula1>
    </dataValidation>
    <dataValidation type="decimal" operator="greaterThanOrEqual" showErrorMessage="1" errorStyle="stop" errorTitle="Di bawah realisasi" error="Item ini sudah dikerjakan 6 bln di lapangan (kolom REALISASI TERCATAT). Volume adendum tidak boleh di bawahnya – pekerjaan-kurang atas item berjalan maksimal sampai volume yang sudah terealisasi." sqref="G11">
      <formula1>$L$11</formula1>
    </dataValidation>
    <dataValidation type="decimal" operator="greaterThanOrEqual" showErrorMessage="1" errorStyle="stop" errorTitle="Di bawah realisasi" error="Item ini sudah dikerjakan 38 m¹ di lapangan (kolom REALISASI TERCATAT). Volume adendum tidak boleh di bawahnya – pekerjaan-kurang atas item berjalan maksimal sampai volume yang sudah terealisasi." sqref="G112">
      <formula1>$L$112</formula1>
    </dataValidation>
    <dataValidation type="decimal" operator="greaterThanOrEqual" showErrorMessage="1" errorStyle="stop" errorTitle="Di bawah realisasi" error="Item ini sudah dikerjakan 1 bh di lapangan (kolom REALISASI TERCATAT). Volume adendum tidak boleh di bawahnya – pekerjaan-kurang atas item berjalan maksimal sampai volume yang sudah terealisasi." sqref="G12">
      <formula1>$L$12</formula1>
    </dataValidation>
    <dataValidation type="decimal" operator="greaterThanOrEqual" showErrorMessage="1" errorStyle="stop" errorTitle="Di bawah realisasi" error="Item ini sudah dikerjakan 3 bln di lapangan (kolom REALISASI TERCATAT). Volume adendum tidak boleh di bawahnya – pekerjaan-kurang atas item berjalan maksimal sampai volume yang sudah terealisasi." sqref="G13">
      <formula1>$L$13</formula1>
    </dataValidation>
    <dataValidation type="decimal" operator="greaterThanOrEqual" showErrorMessage="1" errorStyle="stop" errorTitle="Di bawah realisasi" error="Item ini sudah dikerjakan 150 m¹ di lapangan (kolom REALISASI TERCATAT). Volume adendum tidak boleh di bawahnya – pekerjaan-kurang atas item berjalan maksimal sampai volume yang sudah terealisasi." sqref="G14">
      <formula1>$L$14</formula1>
    </dataValidation>
    <dataValidation type="decimal" operator="greaterThanOrEqual" showErrorMessage="1" errorStyle="stop" errorTitle="Di bawah realisasi" error="Item ini sudah dikerjakan 82,867 m² di lapangan (kolom REALISASI TERCATAT). Volume adendum tidak boleh di bawahnya – pekerjaan-kurang atas item berjalan maksimal sampai volume yang sudah terealisasi." sqref="G191">
      <formula1>$L$191</formula1>
    </dataValidation>
    <dataValidation type="decimal" operator="greaterThanOrEqual" showErrorMessage="1" errorStyle="stop" errorTitle="Di bawah realisasi" error="Item ini sudah dikerjakan 21 org di lapangan (kolom REALISASI TERCATAT). Volume adendum tidak boleh di bawahnya – pekerjaan-kurang atas item berjalan maksimal sampai volume yang sudah terealisasi." sqref="G21">
      <formula1>$L$21</formula1>
    </dataValidation>
    <dataValidation type="decimal" operator="greaterThanOrEqual" showErrorMessage="1" errorStyle="stop" errorTitle="Di bawah realisasi" error="Item ini sudah dikerjakan 48,9 m¹ di lapangan (kolom REALISASI TERCATAT). Volume adendum tidak boleh di bawahnya – pekerjaan-kurang atas item berjalan maksimal sampai volume yang sudah terealisasi." sqref="G210">
      <formula1>$L$210</formula1>
    </dataValidation>
    <dataValidation type="decimal" operator="greaterThanOrEqual" showErrorMessage="1" errorStyle="stop" errorTitle="Di bawah realisasi" error="Item ini sudah dikerjakan 109,31 m³ di lapangan (kolom REALISASI TERCATAT). Volume adendum tidak boleh di bawahnya – pekerjaan-kurang atas item berjalan maksimal sampai volume yang sudah terealisasi." sqref="G212">
      <formula1>$L$212</formula1>
    </dataValidation>
    <dataValidation type="decimal" operator="greaterThanOrEqual" showErrorMessage="1" errorStyle="stop" errorTitle="Di bawah realisasi" error="Item ini sudah dikerjakan 1.596 m¹ di lapangan (kolom REALISASI TERCATAT). Volume adendum tidak boleh di bawahnya – pekerjaan-kurang atas item berjalan maksimal sampai volume yang sudah terealisasi." sqref="G213">
      <formula1>$L$213</formula1>
    </dataValidation>
    <dataValidation type="decimal" operator="greaterThanOrEqual" showErrorMessage="1" errorStyle="stop" errorTitle="Di bawah realisasi" error="Item ini sudah dikerjakan 11,58 m³ di lapangan (kolom REALISASI TERCATAT). Volume adendum tidak boleh di bawahnya – pekerjaan-kurang atas item berjalan maksimal sampai volume yang sudah terealisasi." sqref="G214">
      <formula1>$L$214</formula1>
    </dataValidation>
    <dataValidation type="decimal" operator="greaterThanOrEqual" showErrorMessage="1" errorStyle="stop" errorTitle="Di bawah realisasi" error="Item ini sudah dikerjakan 60,29 m³ di lapangan (kolom REALISASI TERCATAT). Volume adendum tidak boleh di bawahnya – pekerjaan-kurang atas item berjalan maksimal sampai volume yang sudah terealisasi." sqref="G215">
      <formula1>$L$215</formula1>
    </dataValidation>
    <dataValidation type="decimal" operator="greaterThanOrEqual" showErrorMessage="1" errorStyle="stop" errorTitle="Di bawah realisasi" error="Item ini sudah dikerjakan 36,437 m³ di lapangan (kolom REALISASI TERCATAT). Volume adendum tidak boleh di bawahnya – pekerjaan-kurang atas item berjalan maksimal sampai volume yang sudah terealisasi." sqref="G216">
      <formula1>$L$216</formula1>
    </dataValidation>
    <dataValidation type="decimal" operator="greaterThanOrEqual" showErrorMessage="1" errorStyle="stop" errorTitle="Di bawah realisasi" error="Item ini sudah dikerjakan 36,437 m³ di lapangan (kolom REALISASI TERCATAT). Volume adendum tidak boleh di bawahnya – pekerjaan-kurang atas item berjalan maksimal sampai volume yang sudah terealisasi." sqref="G217">
      <formula1>$L$217</formula1>
    </dataValidation>
    <dataValidation type="decimal" operator="greaterThanOrEqual" showErrorMessage="1" errorStyle="stop" errorTitle="Di bawah realisasi" error="Item ini sudah dikerjakan 264 m¹ di lapangan (kolom REALISASI TERCATAT). Volume adendum tidak boleh di bawahnya – pekerjaan-kurang atas item berjalan maksimal sampai volume yang sudah terealisasi." sqref="G222">
      <formula1>$L$222</formula1>
    </dataValidation>
    <dataValidation type="decimal" operator="greaterThanOrEqual" showErrorMessage="1" errorStyle="stop" errorTitle="Di bawah realisasi" error="Item ini sudah dikerjakan 6,66 m³ di lapangan (kolom REALISASI TERCATAT). Volume adendum tidak boleh di bawahnya – pekerjaan-kurang atas item berjalan maksimal sampai volume yang sudah terealisasi." sqref="G223">
      <formula1>$L$223</formula1>
    </dataValidation>
    <dataValidation type="decimal" operator="greaterThanOrEqual" showErrorMessage="1" errorStyle="stop" errorTitle="Di bawah realisasi" error="Item ini sudah dikerjakan 25,89 kg di lapangan (kolom REALISASI TERCATAT). Volume adendum tidak boleh di bawahnya – pekerjaan-kurang atas item berjalan maksimal sampai volume yang sudah terealisasi." sqref="G226">
      <formula1>$L$226</formula1>
    </dataValidation>
    <dataValidation type="decimal" operator="greaterThanOrEqual" showErrorMessage="1" errorStyle="stop" errorTitle="Di bawah realisasi" error="Item ini sudah dikerjakan 39,75 m² di lapangan (kolom REALISASI TERCATAT). Volume adendum tidak boleh di bawahnya – pekerjaan-kurang atas item berjalan maksimal sampai volume yang sudah terealisasi." sqref="G228">
      <formula1>$L$228</formula1>
    </dataValidation>
    <dataValidation type="decimal" operator="greaterThanOrEqual" showErrorMessage="1" errorStyle="stop" errorTitle="Di bawah realisasi" error="Item ini sudah dikerjakan 449,27 kg di lapangan (kolom REALISASI TERCATAT). Volume adendum tidak boleh di bawahnya – pekerjaan-kurang atas item berjalan maksimal sampai volume yang sudah terealisasi." sqref="G229">
      <formula1>$L$229</formula1>
    </dataValidation>
    <dataValidation type="decimal" operator="greaterThanOrEqual" showErrorMessage="1" errorStyle="stop" errorTitle="Di bawah realisasi" error="Item ini sudah dikerjakan 230,45 kg di lapangan (kolom REALISASI TERCATAT). Volume adendum tidak boleh di bawahnya – pekerjaan-kurang atas item berjalan maksimal sampai volume yang sudah terealisasi." sqref="G230">
      <formula1>$L$230</formula1>
    </dataValidation>
    <dataValidation type="decimal" operator="greaterThanOrEqual" showErrorMessage="1" errorStyle="stop" errorTitle="Di bawah realisasi" error="Item ini sudah dikerjakan 5,96 m³ di lapangan (kolom REALISASI TERCATAT). Volume adendum tidak boleh di bawahnya – pekerjaan-kurang atas item berjalan maksimal sampai volume yang sudah terealisasi." sqref="G231">
      <formula1>$L$231</formula1>
    </dataValidation>
    <dataValidation type="decimal" operator="greaterThanOrEqual" showErrorMessage="1" errorStyle="stop" errorTitle="Di bawah realisasi" error="Item ini sudah dikerjakan 6,58 m² di lapangan (kolom REALISASI TERCATAT). Volume adendum tidak boleh di bawahnya – pekerjaan-kurang atas item berjalan maksimal sampai volume yang sudah terealisasi." sqref="G233">
      <formula1>$L$233</formula1>
    </dataValidation>
    <dataValidation type="decimal" operator="greaterThanOrEqual" showErrorMessage="1" errorStyle="stop" errorTitle="Di bawah realisasi" error="Item ini sudah dikerjakan 40,57 kg di lapangan (kolom REALISASI TERCATAT). Volume adendum tidak boleh di bawahnya – pekerjaan-kurang atas item berjalan maksimal sampai volume yang sudah terealisasi." sqref="G234">
      <formula1>$L$234</formula1>
    </dataValidation>
    <dataValidation type="decimal" operator="greaterThanOrEqual" showErrorMessage="1" errorStyle="stop" errorTitle="Di bawah realisasi" error="Item ini sudah dikerjakan 30 bh di lapangan (kolom REALISASI TERCATAT). Volume adendum tidak boleh di bawahnya – pekerjaan-kurang atas item berjalan maksimal sampai volume yang sudah terealisasi." sqref="G25">
      <formula1>$L$25</formula1>
    </dataValidation>
    <dataValidation type="decimal" operator="greaterThanOrEqual" showErrorMessage="1" errorStyle="stop" errorTitle="Di bawah realisasi" error="Item ini sudah dikerjakan 40 m¹ di lapangan (kolom REALISASI TERCATAT). Volume adendum tidak boleh di bawahnya – pekerjaan-kurang atas item berjalan maksimal sampai volume yang sudah terealisasi." sqref="G260">
      <formula1>$L$260</formula1>
    </dataValidation>
    <dataValidation type="decimal" operator="greaterThanOrEqual" showErrorMessage="1" errorStyle="stop" errorTitle="Di bawah realisasi" error="Item ini sudah dikerjakan 57,09 m³ di lapangan (kolom REALISASI TERCATAT). Volume adendum tidak boleh di bawahnya – pekerjaan-kurang atas item berjalan maksimal sampai volume yang sudah terealisasi." sqref="G262">
      <formula1>$L$262</formula1>
    </dataValidation>
    <dataValidation type="decimal" operator="greaterThanOrEqual" showErrorMessage="1" errorStyle="stop" errorTitle="Di bawah realisasi" error="Item ini sudah dikerjakan 1.248 m¹ di lapangan (kolom REALISASI TERCATAT). Volume adendum tidak boleh di bawahnya – pekerjaan-kurang atas item berjalan maksimal sampai volume yang sudah terealisasi." sqref="G263">
      <formula1>$L$263</formula1>
    </dataValidation>
    <dataValidation type="decimal" operator="greaterThanOrEqual" showErrorMessage="1" errorStyle="stop" errorTitle="Di bawah realisasi" error="Item ini sudah dikerjakan 7,42 m³ di lapangan (kolom REALISASI TERCATAT). Volume adendum tidak boleh di bawahnya – pekerjaan-kurang atas item berjalan maksimal sampai volume yang sudah terealisasi." sqref="G264">
      <formula1>$L$264</formula1>
    </dataValidation>
    <dataValidation type="decimal" operator="greaterThanOrEqual" showErrorMessage="1" errorStyle="stop" errorTitle="Di bawah realisasi" error="Item ini sudah dikerjakan 12,38 m³ di lapangan (kolom REALISASI TERCATAT). Volume adendum tidak boleh di bawahnya – pekerjaan-kurang atas item berjalan maksimal sampai volume yang sudah terealisasi." sqref="G265">
      <formula1>$L$265</formula1>
    </dataValidation>
    <dataValidation type="decimal" operator="greaterThanOrEqual" showErrorMessage="1" errorStyle="stop" errorTitle="Di bawah realisasi" error="Item ini sudah dikerjakan 19,03 m³ di lapangan (kolom REALISASI TERCATAT). Volume adendum tidak boleh di bawahnya – pekerjaan-kurang atas item berjalan maksimal sampai volume yang sudah terealisasi." sqref="G266">
      <formula1>$L$266</formula1>
    </dataValidation>
    <dataValidation type="decimal" operator="greaterThanOrEqual" showErrorMessage="1" errorStyle="stop" errorTitle="Di bawah realisasi" error="Item ini sudah dikerjakan 19,03 m³ di lapangan (kolom REALISASI TERCATAT). Volume adendum tidak boleh di bawahnya – pekerjaan-kurang atas item berjalan maksimal sampai volume yang sudah terealisasi." sqref="G267">
      <formula1>$L$267</formula1>
    </dataValidation>
    <dataValidation type="decimal" operator="greaterThanOrEqual" showErrorMessage="1" errorStyle="stop" errorTitle="Di bawah realisasi" error="Item ini sudah dikerjakan 16,34 kg di lapangan (kolom REALISASI TERCATAT). Volume adendum tidak boleh di bawahnya – pekerjaan-kurang atas item berjalan maksimal sampai volume yang sudah terealisasi." sqref="G270">
      <formula1>$L$270</formula1>
    </dataValidation>
    <dataValidation type="decimal" operator="greaterThanOrEqual" showErrorMessage="1" errorStyle="stop" errorTitle="Di bawah realisasi" error="Item ini sudah dikerjakan 31,14 m² di lapangan (kolom REALISASI TERCATAT). Volume adendum tidak boleh di bawahnya – pekerjaan-kurang atas item berjalan maksimal sampai volume yang sudah terealisasi." sqref="G272">
      <formula1>$L$272</formula1>
    </dataValidation>
    <dataValidation type="decimal" operator="greaterThanOrEqual" showErrorMessage="1" errorStyle="stop" errorTitle="Di bawah realisasi" error="Item ini sudah dikerjakan 351,96 kg di lapangan (kolom REALISASI TERCATAT). Volume adendum tidak boleh di bawahnya – pekerjaan-kurang atas item berjalan maksimal sampai volume yang sudah terealisasi." sqref="G273">
      <formula1>$L$273</formula1>
    </dataValidation>
    <dataValidation type="decimal" operator="greaterThanOrEqual" showErrorMessage="1" errorStyle="stop" errorTitle="Di bawah realisasi" error="Item ini sudah dikerjakan 87,83 kg di lapangan (kolom REALISASI TERCATAT). Volume adendum tidak boleh di bawahnya – pekerjaan-kurang atas item berjalan maksimal sampai volume yang sudah terealisasi." sqref="G274">
      <formula1>$L$274</formula1>
    </dataValidation>
    <dataValidation type="decimal" operator="greaterThanOrEqual" showErrorMessage="1" errorStyle="stop" errorTitle="Di bawah realisasi" error="Item ini sudah dikerjakan 4,67 m³ di lapangan (kolom REALISASI TERCATAT). Volume adendum tidak boleh di bawahnya – pekerjaan-kurang atas item berjalan maksimal sampai volume yang sudah terealisasi." sqref="G275">
      <formula1>$L$275</formula1>
    </dataValidation>
    <dataValidation type="decimal" operator="greaterThanOrEqual" showErrorMessage="1" errorStyle="stop" errorTitle="Di bawah realisasi" error="Item ini sudah dikerjakan 10 psg di lapangan (kolom REALISASI TERCATAT). Volume adendum tidak boleh di bawahnya – pekerjaan-kurang atas item berjalan maksimal sampai volume yang sudah terealisasi." sqref="G28">
      <formula1>$L$28</formula1>
    </dataValidation>
    <dataValidation type="decimal" operator="greaterThanOrEqual" showErrorMessage="1" errorStyle="stop" errorTitle="Di bawah realisasi" error="Item ini sudah dikerjakan 30 bh di lapangan (kolom REALISASI TERCATAT). Volume adendum tidak boleh di bawahnya – pekerjaan-kurang atas item berjalan maksimal sampai volume yang sudah terealisasi." sqref="G29">
      <formula1>$L$29</formula1>
    </dataValidation>
    <dataValidation type="decimal" operator="greaterThanOrEqual" showErrorMessage="1" errorStyle="stop" errorTitle="Di bawah realisasi" error="Item ini sudah dikerjakan 12 m¹ di lapangan (kolom REALISASI TERCATAT). Volume adendum tidak boleh di bawahnya – pekerjaan-kurang atas item berjalan maksimal sampai volume yang sudah terealisasi." sqref="G298">
      <formula1>$L$298</formula1>
    </dataValidation>
    <dataValidation type="decimal" operator="greaterThanOrEqual" showErrorMessage="1" errorStyle="stop" errorTitle="Di bawah realisasi" error="Item ini sudah dikerjakan 3 bln di lapangan (kolom REALISASI TERCATAT). Volume adendum tidak boleh di bawahnya – pekerjaan-kurang atas item berjalan maksimal sampai volume yang sudah terealisasi." sqref="G33">
      <formula1>$L$33</formula1>
    </dataValidation>
    <dataValidation type="decimal" operator="greaterThanOrEqual" showErrorMessage="1" errorStyle="stop" errorTitle="Di bawah realisasi" error="Item ini sudah dikerjakan 18 m¹ di lapangan (kolom REALISASI TERCATAT). Volume adendum tidak boleh di bawahnya – pekerjaan-kurang atas item berjalan maksimal sampai volume yang sudah terealisasi." sqref="G344">
      <formula1>$L$344</formula1>
    </dataValidation>
    <dataValidation type="decimal" operator="greaterThanOrEqual" showErrorMessage="1" errorStyle="stop" errorTitle="Di bawah realisasi" error="Item ini sudah dikerjakan 4,8 m³ di lapangan (kolom REALISASI TERCATAT). Volume adendum tidak boleh di bawahnya – pekerjaan-kurang atas item berjalan maksimal sampai volume yang sudah terealisasi." sqref="G346">
      <formula1>$L$346</formula1>
    </dataValidation>
    <dataValidation type="decimal" operator="greaterThanOrEqual" showErrorMessage="1" errorStyle="stop" errorTitle="Di bawah realisasi" error="Item ini sudah dikerjakan 0,28 m³ di lapangan (kolom REALISASI TERCATAT). Volume adendum tidak boleh di bawahnya – pekerjaan-kurang atas item berjalan maksimal sampai volume yang sudah terealisasi." sqref="G347">
      <formula1>$L$347</formula1>
    </dataValidation>
    <dataValidation type="decimal" operator="greaterThanOrEqual" showErrorMessage="1" errorStyle="stop" errorTitle="Di bawah realisasi" error="Item ini sudah dikerjakan 0,12 m³ di lapangan (kolom REALISASI TERCATAT). Volume adendum tidak boleh di bawahnya – pekerjaan-kurang atas item berjalan maksimal sampai volume yang sudah terealisasi." sqref="G348">
      <formula1>$L$348</formula1>
    </dataValidation>
    <dataValidation type="decimal" operator="greaterThanOrEqual" showErrorMessage="1" errorStyle="stop" errorTitle="Di bawah realisasi" error="Item ini sudah dikerjakan 4,8 m² di lapangan (kolom REALISASI TERCATAT). Volume adendum tidak boleh di bawahnya – pekerjaan-kurang atas item berjalan maksimal sampai volume yang sudah terealisasi." sqref="G349">
      <formula1>$L$349</formula1>
    </dataValidation>
    <dataValidation type="decimal" operator="greaterThanOrEqual" showErrorMessage="1" errorStyle="stop" errorTitle="Di bawah realisasi" error="Item ini sudah dikerjakan 22,194 kg di lapangan (kolom REALISASI TERCATAT). Volume adendum tidak boleh di bawahnya – pekerjaan-kurang atas item berjalan maksimal sampai volume yang sudah terealisasi." sqref="G350">
      <formula1>$L$350</formula1>
    </dataValidation>
    <dataValidation type="decimal" operator="greaterThanOrEqual" showErrorMessage="1" errorStyle="stop" errorTitle="Di bawah realisasi" error="Item ini sudah dikerjakan 0,768 m³ di lapangan (kolom REALISASI TERCATAT). Volume adendum tidak boleh di bawahnya – pekerjaan-kurang atas item berjalan maksimal sampai volume yang sudah terealisasi." sqref="G351">
      <formula1>$L$351</formula1>
    </dataValidation>
    <dataValidation type="decimal" operator="greaterThanOrEqual" showErrorMessage="1" errorStyle="stop" errorTitle="Di bawah realisasi" error="Item ini sudah dikerjakan 80 m¹ di lapangan (kolom REALISASI TERCATAT). Volume adendum tidak boleh di bawahnya – pekerjaan-kurang atas item berjalan maksimal sampai volume yang sudah terealisasi." sqref="G352">
      <formula1>$L$352</formula1>
    </dataValidation>
    <dataValidation type="decimal" operator="greaterThanOrEqual" showErrorMessage="1" errorStyle="stop" errorTitle="Di bawah realisasi" error="Item ini sudah dikerjakan 11,832 m³ di lapangan (kolom REALISASI TERCATAT). Volume adendum tidak boleh di bawahnya – pekerjaan-kurang atas item berjalan maksimal sampai volume yang sudah terealisasi." sqref="G354">
      <formula1>$L$354</formula1>
    </dataValidation>
    <dataValidation type="decimal" operator="greaterThanOrEqual" showErrorMessage="1" errorStyle="stop" errorTitle="Di bawah realisasi" error="Item ini sudah dikerjakan 0,952 m³ di lapangan (kolom REALISASI TERCATAT). Volume adendum tidak boleh di bawahnya – pekerjaan-kurang atas item berjalan maksimal sampai volume yang sudah terealisasi." sqref="G356">
      <formula1>$L$356</formula1>
    </dataValidation>
    <dataValidation type="decimal" operator="greaterThanOrEqual" showErrorMessage="1" errorStyle="stop" errorTitle="Di bawah realisasi" error="Item ini sudah dikerjakan 7,48 m³ di lapangan (kolom REALISASI TERCATAT). Volume adendum tidak boleh di bawahnya – pekerjaan-kurang atas item berjalan maksimal sampai volume yang sudah terealisasi." sqref="G357">
      <formula1>$L$357</formula1>
    </dataValidation>
    <dataValidation type="decimal" operator="greaterThanOrEqual" showErrorMessage="1" errorStyle="stop" errorTitle="Di bawah realisasi" error="Item ini sudah dikerjakan 5,24 kg di lapangan (kolom REALISASI TERCATAT). Volume adendum tidak boleh di bawahnya – pekerjaan-kurang atas item berjalan maksimal sampai volume yang sudah terealisasi." sqref="G358">
      <formula1>$L$358</formula1>
    </dataValidation>
    <dataValidation type="decimal" operator="greaterThanOrEqual" showErrorMessage="1" errorStyle="stop" errorTitle="Di bawah realisasi" error="Item ini sudah dikerjakan 3,1 m² di lapangan (kolom REALISASI TERCATAT). Volume adendum tidak boleh di bawahnya – pekerjaan-kurang atas item berjalan maksimal sampai volume yang sudah terealisasi." sqref="G360">
      <formula1>$L$360</formula1>
    </dataValidation>
    <dataValidation type="decimal" operator="greaterThanOrEqual" showErrorMessage="1" errorStyle="stop" errorTitle="Di bawah realisasi" error="Item ini sudah dikerjakan 47,779 kg di lapangan (kolom REALISASI TERCATAT). Volume adendum tidak boleh di bawahnya – pekerjaan-kurang atas item berjalan maksimal sampai volume yang sudah terealisasi." sqref="G361">
      <formula1>$L$361</formula1>
    </dataValidation>
    <dataValidation type="decimal" operator="greaterThanOrEqual" showErrorMessage="1" errorStyle="stop" errorTitle="Di bawah realisasi" error="Item ini sudah dikerjakan 43,054 kg di lapangan (kolom REALISASI TERCATAT). Volume adendum tidak boleh di bawahnya – pekerjaan-kurang atas item berjalan maksimal sampai volume yang sudah terealisasi." sqref="G362">
      <formula1>$L$362</formula1>
    </dataValidation>
    <dataValidation type="decimal" operator="greaterThanOrEqual" showErrorMessage="1" errorStyle="stop" errorTitle="Di bawah realisasi" error="Item ini sudah dikerjakan 20,714 kg di lapangan (kolom REALISASI TERCATAT). Volume adendum tidak boleh di bawahnya – pekerjaan-kurang atas item berjalan maksimal sampai volume yang sudah terealisasi." sqref="G366">
      <formula1>$L$366</formula1>
    </dataValidation>
    <dataValidation type="decimal" operator="greaterThanOrEqual" showErrorMessage="1" errorStyle="stop" errorTitle="Di bawah realisasi" error="Item ini sudah dikerjakan 6,155 kg di lapangan (kolom REALISASI TERCATAT). Volume adendum tidak boleh di bawahnya – pekerjaan-kurang atas item berjalan maksimal sampai volume yang sudah terealisasi." sqref="G367">
      <formula1>$L$367</formula1>
    </dataValidation>
    <dataValidation type="decimal" operator="greaterThanOrEqual" showErrorMessage="1" errorStyle="stop" errorTitle="Di bawah realisasi" error="Item ini sudah dikerjakan 0,2 m³ di lapangan (kolom REALISASI TERCATAT). Volume adendum tidak boleh di bawahnya – pekerjaan-kurang atas item berjalan maksimal sampai volume yang sudah terealisasi." sqref="G368">
      <formula1>$L$368</formula1>
    </dataValidation>
    <dataValidation type="decimal" operator="greaterThanOrEqual" showErrorMessage="1" errorStyle="stop" errorTitle="Di bawah realisasi" error="Item ini sudah dikerjakan 5 bh di lapangan (kolom REALISASI TERCATAT). Volume adendum tidak boleh di bawahnya – pekerjaan-kurang atas item berjalan maksimal sampai volume yang sudah terealisasi." sqref="G37">
      <formula1>$L$37</formula1>
    </dataValidation>
    <dataValidation type="decimal" operator="greaterThanOrEqual" showErrorMessage="1" errorStyle="stop" errorTitle="Di bawah realisasi" error="Item ini sudah dikerjakan 14,32 m² di lapangan (kolom REALISASI TERCATAT). Volume adendum tidak boleh di bawahnya – pekerjaan-kurang atas item berjalan maksimal sampai volume yang sudah terealisasi." sqref="G370">
      <formula1>$L$370</formula1>
    </dataValidation>
    <dataValidation type="decimal" operator="greaterThanOrEqual" showErrorMessage="1" errorStyle="stop" errorTitle="Di bawah realisasi" error="Item ini sudah dikerjakan 75,558 kg di lapangan (kolom REALISASI TERCATAT). Volume adendum tidak boleh di bawahnya – pekerjaan-kurang atas item berjalan maksimal sampai volume yang sudah terealisasi." sqref="G371">
      <formula1>$L$371</formula1>
    </dataValidation>
    <dataValidation type="decimal" operator="greaterThanOrEqual" showErrorMessage="1" errorStyle="stop" errorTitle="Di bawah realisasi" error="Item ini sudah dikerjakan 28,314 kg di lapangan (kolom REALISASI TERCATAT). Volume adendum tidak boleh di bawahnya – pekerjaan-kurang atas item berjalan maksimal sampai volume yang sudah terealisasi." sqref="G372">
      <formula1>$L$372</formula1>
    </dataValidation>
    <dataValidation type="decimal" operator="greaterThanOrEqual" showErrorMessage="1" errorStyle="stop" errorTitle="Di bawah realisasi" error="Item ini sudah dikerjakan 2 bh di lapangan (kolom REALISASI TERCATAT). Volume adendum tidak boleh di bawahnya – pekerjaan-kurang atas item berjalan maksimal sampai volume yang sudah terealisasi." sqref="G38">
      <formula1>$L$38</formula1>
    </dataValidation>
    <dataValidation type="decimal" operator="greaterThanOrEqual" showErrorMessage="1" errorStyle="stop" errorTitle="Di bawah realisasi" error="Item ini sudah dikerjakan 5 bh di lapangan (kolom REALISASI TERCATAT). Volume adendum tidak boleh di bawahnya – pekerjaan-kurang atas item berjalan maksimal sampai volume yang sudah terealisasi." sqref="G40">
      <formula1>$L$40</formula1>
    </dataValidation>
    <dataValidation type="decimal" operator="greaterThanOrEqual" showErrorMessage="1" errorStyle="stop" errorTitle="Di bawah realisasi" error="Item ini sudah dikerjakan 1.678 m² di lapangan (kolom REALISASI TERCATAT). Volume adendum tidak boleh di bawahnya – pekerjaan-kurang atas item berjalan maksimal sampai volume yang sudah terealisasi." sqref="G47">
      <formula1>$L$47</formula1>
    </dataValidation>
    <dataValidation type="decimal" operator="greaterThanOrEqual" showErrorMessage="1" errorStyle="stop" errorTitle="Di bawah realisasi" error="Item ini sudah dikerjakan 28 m¹ di lapangan (kolom REALISASI TERCATAT). Volume adendum tidak boleh di bawahnya – pekerjaan-kurang atas item berjalan maksimal sampai volume yang sudah terealisasi." sqref="G493">
      <formula1>$L$493</formula1>
    </dataValidation>
    <dataValidation type="decimal" operator="greaterThanOrEqual" showErrorMessage="1" errorStyle="stop" errorTitle="Di bawah realisasi" error="Item ini sudah dikerjakan 14,4 m³ di lapangan (kolom REALISASI TERCATAT). Volume adendum tidak boleh di bawahnya – pekerjaan-kurang atas item berjalan maksimal sampai volume yang sudah terealisasi." sqref="G495">
      <formula1>$L$495</formula1>
    </dataValidation>
    <dataValidation type="decimal" operator="greaterThanOrEqual" showErrorMessage="1" errorStyle="stop" errorTitle="Di bawah realisasi" error="Item ini sudah dikerjakan 0,84 m³ di lapangan (kolom REALISASI TERCATAT). Volume adendum tidak boleh di bawahnya – pekerjaan-kurang atas item berjalan maksimal sampai volume yang sudah terealisasi." sqref="G496">
      <formula1>$L$496</formula1>
    </dataValidation>
    <dataValidation type="decimal" operator="greaterThanOrEqual" showErrorMessage="1" errorStyle="stop" errorTitle="Di bawah realisasi" error="Item ini sudah dikerjakan 0,36 m³ di lapangan (kolom REALISASI TERCATAT). Volume adendum tidak boleh di bawahnya – pekerjaan-kurang atas item berjalan maksimal sampai volume yang sudah terealisasi." sqref="G497">
      <formula1>$L$497</formula1>
    </dataValidation>
    <dataValidation type="decimal" operator="greaterThanOrEqual" showErrorMessage="1" errorStyle="stop" errorTitle="Di bawah realisasi" error="Item ini sudah dikerjakan 14,4 m² di lapangan (kolom REALISASI TERCATAT). Volume adendum tidak boleh di bawahnya – pekerjaan-kurang atas item berjalan maksimal sampai volume yang sudah terealisasi." sqref="G498">
      <formula1>$L$498</formula1>
    </dataValidation>
    <dataValidation type="decimal" operator="greaterThanOrEqual" showErrorMessage="1" errorStyle="stop" errorTitle="Di bawah realisasi" error="Item ini sudah dikerjakan 66,58 kg di lapangan (kolom REALISASI TERCATAT). Volume adendum tidak boleh di bawahnya – pekerjaan-kurang atas item berjalan maksimal sampai volume yang sudah terealisasi." sqref="G499">
      <formula1>$L$499</formula1>
    </dataValidation>
    <dataValidation type="decimal" operator="greaterThanOrEqual" showErrorMessage="1" errorStyle="stop" errorTitle="Di bawah realisasi" error="Item ini sudah dikerjakan 2,3 m³ di lapangan (kolom REALISASI TERCATAT). Volume adendum tidak boleh di bawahnya – pekerjaan-kurang atas item berjalan maksimal sampai volume yang sudah terealisasi." sqref="G500">
      <formula1>$L$500</formula1>
    </dataValidation>
    <dataValidation type="decimal" operator="greaterThanOrEqual" showErrorMessage="1" errorStyle="stop" errorTitle="Di bawah realisasi" error="Item ini sudah dikerjakan 240 m¹ di lapangan (kolom REALISASI TERCATAT). Volume adendum tidak boleh di bawahnya – pekerjaan-kurang atas item berjalan maksimal sampai volume yang sudah terealisasi." sqref="G501">
      <formula1>$L$501</formula1>
    </dataValidation>
    <dataValidation type="decimal" operator="greaterThanOrEqual" showErrorMessage="1" errorStyle="stop" errorTitle="Di bawah realisasi" error="Item ini sudah dikerjakan 28,19 m³ di lapangan (kolom REALISASI TERCATAT). Volume adendum tidak boleh di bawahnya – pekerjaan-kurang atas item berjalan maksimal sampai volume yang sudah terealisasi." sqref="G503">
      <formula1>$L$503</formula1>
    </dataValidation>
    <dataValidation type="decimal" operator="greaterThanOrEqual" showErrorMessage="1" errorStyle="stop" errorTitle="Di bawah realisasi" error="Item ini sudah dikerjakan 2,27 m³ di lapangan (kolom REALISASI TERCATAT). Volume adendum tidak boleh di bawahnya – pekerjaan-kurang atas item berjalan maksimal sampai volume yang sudah terealisasi." sqref="G505">
      <formula1>$L$505</formula1>
    </dataValidation>
    <dataValidation type="decimal" operator="greaterThanOrEqual" showErrorMessage="1" errorStyle="stop" errorTitle="Di bawah realisasi" error="Item ini sudah dikerjakan 17,82 m³ di lapangan (kolom REALISASI TERCATAT). Volume adendum tidak boleh di bawahnya – pekerjaan-kurang atas item berjalan maksimal sampai volume yang sudah terealisasi." sqref="G506">
      <formula1>$L$506</formula1>
    </dataValidation>
    <dataValidation type="decimal" operator="greaterThanOrEqual" showErrorMessage="1" errorStyle="stop" errorTitle="Di bawah realisasi" error="Item ini sudah dikerjakan 12,48 kg di lapangan (kolom REALISASI TERCATAT). Volume adendum tidak boleh di bawahnya – pekerjaan-kurang atas item berjalan maksimal sampai volume yang sudah terealisasi." sqref="G507">
      <formula1>$L$507</formula1>
    </dataValidation>
    <dataValidation type="decimal" operator="greaterThanOrEqual" showErrorMessage="1" errorStyle="stop" errorTitle="Di bawah realisasi" error="Item ini sudah dikerjakan 24,3 m² di lapangan (kolom REALISASI TERCATAT). Volume adendum tidak boleh di bawahnya – pekerjaan-kurang atas item berjalan maksimal sampai volume yang sudah terealisasi." sqref="G509">
      <formula1>$L$509</formula1>
    </dataValidation>
    <dataValidation type="decimal" operator="greaterThanOrEqual" showErrorMessage="1" errorStyle="stop" errorTitle="Di bawah realisasi" error="Item ini sudah dikerjakan 124,84 kg di lapangan (kolom REALISASI TERCATAT). Volume adendum tidak boleh di bawahnya – pekerjaan-kurang atas item berjalan maksimal sampai volume yang sudah terealisasi." sqref="G510">
      <formula1>$L$510</formula1>
    </dataValidation>
    <dataValidation type="decimal" operator="greaterThanOrEqual" showErrorMessage="1" errorStyle="stop" errorTitle="Di bawah realisasi" error="Item ini sudah dikerjakan 112,5 kg di lapangan (kolom REALISASI TERCATAT). Volume adendum tidak boleh di bawahnya – pekerjaan-kurang atas item berjalan maksimal sampai volume yang sudah terealisasi." sqref="G511">
      <formula1>$L$511</formula1>
    </dataValidation>
    <dataValidation type="decimal" operator="greaterThanOrEqual" showErrorMessage="1" errorStyle="stop" errorTitle="Di bawah realisasi" error="Item ini sudah dikerjakan 3,04 m³ di lapangan (kolom REALISASI TERCATAT). Volume adendum tidak boleh di bawahnya – pekerjaan-kurang atas item berjalan maksimal sampai volume yang sudah terealisasi." sqref="G512">
      <formula1>$L$512</formula1>
    </dataValidation>
    <dataValidation type="decimal" operator="greaterThanOrEqual" showErrorMessage="1" errorStyle="stop" errorTitle="Di bawah realisasi" error="Item ini sudah dikerjakan 9,6 m² di lapangan (kolom REALISASI TERCATAT). Volume adendum tidak boleh di bawahnya – pekerjaan-kurang atas item berjalan maksimal sampai volume yang sudah terealisasi." sqref="G514">
      <formula1>$L$514</formula1>
    </dataValidation>
    <dataValidation type="decimal" operator="greaterThanOrEqual" showErrorMessage="1" errorStyle="stop" errorTitle="Di bawah realisasi" error="Item ini sudah dikerjakan 62,14 kg di lapangan (kolom REALISASI TERCATAT). Volume adendum tidak boleh di bawahnya – pekerjaan-kurang atas item berjalan maksimal sampai volume yang sudah terealisasi." sqref="G515">
      <formula1>$L$515</formula1>
    </dataValidation>
    <dataValidation type="decimal" operator="greaterThanOrEqual" showErrorMessage="1" errorStyle="stop" errorTitle="Di bawah realisasi" error="Item ini sudah dikerjakan 22,16 kg di lapangan (kolom REALISASI TERCATAT). Volume adendum tidak boleh di bawahnya – pekerjaan-kurang atas item berjalan maksimal sampai volume yang sudah terealisasi." sqref="G516">
      <formula1>$L$516</formula1>
    </dataValidation>
    <dataValidation type="decimal" operator="greaterThanOrEqual" showErrorMessage="1" errorStyle="stop" errorTitle="Di bawah realisasi" error="Item ini sudah dikerjakan 0,6 m³ di lapangan (kolom REALISASI TERCATAT). Volume adendum tidak boleh di bawahnya – pekerjaan-kurang atas item berjalan maksimal sampai volume yang sudah terealisasi." sqref="G517">
      <formula1>$L$517</formula1>
    </dataValidation>
    <dataValidation type="decimal" operator="greaterThanOrEqual" showErrorMessage="1" errorStyle="stop" errorTitle="Di bawah realisasi" error="Item ini sudah dikerjakan 30,2 m² di lapangan (kolom REALISASI TERCATAT). Volume adendum tidak boleh di bawahnya – pekerjaan-kurang atas item berjalan maksimal sampai volume yang sudah terealisasi." sqref="G519">
      <formula1>$L$519</formula1>
    </dataValidation>
    <dataValidation type="decimal" operator="greaterThanOrEqual" showErrorMessage="1" errorStyle="stop" errorTitle="Di bawah realisasi" error="Item ini sudah dikerjakan 213,06 kg di lapangan (kolom REALISASI TERCATAT). Volume adendum tidak boleh di bawahnya – pekerjaan-kurang atas item berjalan maksimal sampai volume yang sudah terealisasi." sqref="G520">
      <formula1>$L$520</formula1>
    </dataValidation>
    <dataValidation type="decimal" operator="greaterThanOrEqual" showErrorMessage="1" errorStyle="stop" errorTitle="Di bawah realisasi" error="Item ini sudah dikerjakan 84,94 kg di lapangan (kolom REALISASI TERCATAT). Volume adendum tidak boleh di bawahnya – pekerjaan-kurang atas item berjalan maksimal sampai volume yang sudah terealisasi." sqref="G521">
      <formula1>$L$521</formula1>
    </dataValidation>
    <dataValidation type="decimal" operator="greaterThanOrEqual" showErrorMessage="1" errorStyle="stop" errorTitle="Di bawah realisasi" error="Item ini sudah dikerjakan 2 m³ di lapangan (kolom REALISASI TERCATAT). Volume adendum tidak boleh di bawahnya – pekerjaan-kurang atas item berjalan maksimal sampai volume yang sudah terealisasi." sqref="G522">
      <formula1>$L$522</formula1>
    </dataValidation>
    <dataValidation type="decimal" operator="greaterThanOrEqual" showErrorMessage="1" errorStyle="stop" errorTitle="Di bawah realisasi" error="Item ini sudah dikerjakan 1 unit di lapangan (kolom REALISASI TERCATAT). Volume adendum tidak boleh di bawahnya – pekerjaan-kurang atas item berjalan maksimal sampai volume yang sudah terealisasi." sqref="G53">
      <formula1>$L$53</formula1>
    </dataValidation>
    <dataValidation type="decimal" operator="greaterThanOrEqual" showErrorMessage="1" errorStyle="stop" errorTitle="Di bawah realisasi" error="Item ini sudah dikerjakan 3 bh di lapangan (kolom REALISASI TERCATAT). Volume adendum tidak boleh di bawahnya – pekerjaan-kurang atas item berjalan maksimal sampai volume yang sudah terealisasi." sqref="G54">
      <formula1>$L$54</formula1>
    </dataValidation>
    <dataValidation type="decimal" operator="greaterThanOrEqual" showErrorMessage="1" errorStyle="stop" errorTitle="Di bawah realisasi" error="Item ini sudah dikerjakan 20 m¹ di lapangan (kolom REALISASI TERCATAT). Volume adendum tidak boleh di bawahnya – pekerjaan-kurang atas item berjalan maksimal sampai volume yang sudah terealisasi." sqref="G649">
      <formula1>$L$649</formula1>
    </dataValidation>
    <dataValidation type="decimal" operator="greaterThanOrEqual" showErrorMessage="1" errorStyle="stop" errorTitle="Di bawah realisasi" error="Item ini sudah dikerjakan 1,01 m³ di lapangan (kolom REALISASI TERCATAT). Volume adendum tidak boleh di bawahnya – pekerjaan-kurang atas item berjalan maksimal sampai volume yang sudah terealisasi." sqref="G651">
      <formula1>$L$651</formula1>
    </dataValidation>
    <dataValidation type="decimal" operator="greaterThanOrEqual" showErrorMessage="1" errorStyle="stop" errorTitle="Di bawah realisasi" error="Item ini sudah dikerjakan 144 m¹ di lapangan (kolom REALISASI TERCATAT). Volume adendum tidak boleh di bawahnya – pekerjaan-kurang atas item berjalan maksimal sampai volume yang sudah terealisasi." sqref="G652">
      <formula1>$L$652</formula1>
    </dataValidation>
    <dataValidation type="decimal" operator="greaterThanOrEqual" showErrorMessage="1" errorStyle="stop" errorTitle="Di bawah realisasi" error="Item ini sudah dikerjakan 0,07 m³ di lapangan (kolom REALISASI TERCATAT). Volume adendum tidak boleh di bawahnya – pekerjaan-kurang atas item berjalan maksimal sampai volume yang sudah terealisasi." sqref="G653">
      <formula1>$L$653</formula1>
    </dataValidation>
    <dataValidation type="decimal" operator="greaterThanOrEqual" showErrorMessage="1" errorStyle="stop" errorTitle="Di bawah realisasi" error="Item ini sudah dikerjakan 0,07 m³ di lapangan (kolom REALISASI TERCATAT). Volume adendum tidak boleh di bawahnya – pekerjaan-kurang atas item berjalan maksimal sampai volume yang sudah terealisasi." sqref="G654">
      <formula1>$L$654</formula1>
    </dataValidation>
    <dataValidation type="decimal" operator="greaterThanOrEqual" showErrorMessage="1" errorStyle="stop" errorTitle="Di bawah realisasi" error="Item ini sudah dikerjakan 11,52 m² di lapangan (kolom REALISASI TERCATAT). Volume adendum tidak boleh di bawahnya – pekerjaan-kurang atas item berjalan maksimal sampai volume yang sudah terealisasi." sqref="G655">
      <formula1>$L$655</formula1>
    </dataValidation>
    <dataValidation type="decimal" operator="greaterThanOrEqual" showErrorMessage="1" errorStyle="stop" errorTitle="Di bawah realisasi" error="Item ini sudah dikerjakan 162,87 kg di lapangan (kolom REALISASI TERCATAT). Volume adendum tidak boleh di bawahnya – pekerjaan-kurang atas item berjalan maksimal sampai volume yang sudah terealisasi." sqref="G656">
      <formula1>$L$656</formula1>
    </dataValidation>
    <dataValidation type="decimal" operator="greaterThanOrEqual" showErrorMessage="1" errorStyle="stop" errorTitle="Di bawah realisasi" error="Item ini sudah dikerjakan 10 kg di lapangan (kolom REALISASI TERCATAT). Volume adendum tidak boleh di bawahnya – pekerjaan-kurang atas item berjalan maksimal sampai volume yang sudah terealisasi." sqref="G657">
      <formula1>$L$657</formula1>
    </dataValidation>
    <dataValidation type="decimal" operator="greaterThanOrEqual" showErrorMessage="1" errorStyle="stop" errorTitle="Di bawah realisasi" error="Item ini sudah dikerjakan 3,46 m³ di lapangan (kolom REALISASI TERCATAT). Volume adendum tidak boleh di bawahnya – pekerjaan-kurang atas item berjalan maksimal sampai volume yang sudah terealisasi." sqref="G658">
      <formula1>$L$658</formula1>
    </dataValidation>
    <dataValidation type="decimal" operator="greaterThanOrEqual" showErrorMessage="1" errorStyle="stop" errorTitle="Di bawah realisasi" error="Item ini sudah dikerjakan 3,46 m³ di lapangan (kolom REALISASI TERCATAT). Volume adendum tidak boleh di bawahnya – pekerjaan-kurang atas item berjalan maksimal sampai volume yang sudah terealisasi." sqref="G659">
      <formula1>$L$659</formula1>
    </dataValidation>
    <dataValidation type="decimal" operator="greaterThanOrEqual" showErrorMessage="1" errorStyle="stop" errorTitle="Di bawah realisasi" error="Item ini sudah dikerjakan 2,4 m³ di lapangan (kolom REALISASI TERCATAT). Volume adendum tidak boleh di bawahnya – pekerjaan-kurang atas item berjalan maksimal sampai volume yang sudah terealisasi." sqref="G661">
      <formula1>$L$661</formula1>
    </dataValidation>
    <dataValidation type="decimal" operator="greaterThanOrEqual" showErrorMessage="1" errorStyle="stop" errorTitle="Di bawah realisasi" error="Item ini sudah dikerjakan 0,3 m³ di lapangan (kolom REALISASI TERCATAT). Volume adendum tidak boleh di bawahnya – pekerjaan-kurang atas item berjalan maksimal sampai volume yang sudah terealisasi." sqref="G662">
      <formula1>$L$662</formula1>
    </dataValidation>
    <dataValidation type="decimal" operator="greaterThanOrEqual" showErrorMessage="1" errorStyle="stop" errorTitle="Di bawah realisasi" error="Item ini sudah dikerjakan 0,3 m³ di lapangan (kolom REALISASI TERCATAT). Volume adendum tidak boleh di bawahnya – pekerjaan-kurang atas item berjalan maksimal sampai volume yang sudah terealisasi." sqref="G663">
      <formula1>$L$663</formula1>
    </dataValidation>
    <dataValidation type="decimal" operator="greaterThanOrEqual" showErrorMessage="1" errorStyle="stop" errorTitle="Di bawah realisasi" error="Item ini sudah dikerjakan 3,6 m² di lapangan (kolom REALISASI TERCATAT). Volume adendum tidak boleh di bawahnya – pekerjaan-kurang atas item berjalan maksimal sampai volume yang sudah terealisasi." sqref="G664">
      <formula1>$L$664</formula1>
    </dataValidation>
    <dataValidation type="decimal" operator="greaterThanOrEqual" showErrorMessage="1" errorStyle="stop" errorTitle="Di bawah realisasi" error="Item ini sudah dikerjakan 77,1 kg di lapangan (kolom REALISASI TERCATAT). Volume adendum tidak boleh di bawahnya – pekerjaan-kurang atas item berjalan maksimal sampai volume yang sudah terealisasi." sqref="G665">
      <formula1>$L$665</formula1>
    </dataValidation>
    <dataValidation type="decimal" operator="greaterThanOrEqual" showErrorMessage="1" errorStyle="stop" errorTitle="Di bawah realisasi" error="Item ini sudah dikerjakan 29,17 kg di lapangan (kolom REALISASI TERCATAT). Volume adendum tidak boleh di bawahnya – pekerjaan-kurang atas item berjalan maksimal sampai volume yang sudah terealisasi." sqref="G666">
      <formula1>$L$666</formula1>
    </dataValidation>
    <dataValidation type="decimal" operator="greaterThanOrEqual" showErrorMessage="1" errorStyle="stop" errorTitle="Di bawah realisasi" error="Item ini sudah dikerjakan 0,9 m³ di lapangan (kolom REALISASI TERCATAT). Volume adendum tidak boleh di bawahnya – pekerjaan-kurang atas item berjalan maksimal sampai volume yang sudah terealisasi." sqref="G667">
      <formula1>$L$667</formula1>
    </dataValidation>
    <dataValidation type="decimal" operator="greaterThanOrEqual" showErrorMessage="1" errorStyle="stop" errorTitle="Di bawah realisasi" error="Item ini sudah dikerjakan 0,9 m³ di lapangan (kolom REALISASI TERCATAT). Volume adendum tidak boleh di bawahnya – pekerjaan-kurang atas item berjalan maksimal sampai volume yang sudah terealisasi." sqref="G668">
      <formula1>$L$668</formula1>
    </dataValidation>
    <dataValidation type="decimal" operator="greaterThanOrEqual" showErrorMessage="1" errorStyle="stop" errorTitle="Di bawah realisasi" error="Item ini sudah dikerjakan 12,48 m² di lapangan (kolom REALISASI TERCATAT). Volume adendum tidak boleh di bawahnya – pekerjaan-kurang atas item berjalan maksimal sampai volume yang sudah terealisasi." sqref="G670">
      <formula1>$L$670</formula1>
    </dataValidation>
    <dataValidation type="decimal" operator="greaterThanOrEqual" showErrorMessage="1" errorStyle="stop" errorTitle="Di bawah realisasi" error="Item ini sudah dikerjakan 235,05 kg di lapangan (kolom REALISASI TERCATAT). Volume adendum tidak boleh di bawahnya – pekerjaan-kurang atas item berjalan maksimal sampai volume yang sudah terealisasi." sqref="G671">
      <formula1>$L$671</formula1>
    </dataValidation>
    <dataValidation type="decimal" operator="greaterThanOrEqual" showErrorMessage="1" errorStyle="stop" errorTitle="Di bawah realisasi" error="Item ini sudah dikerjakan 23,67 kg di lapangan (kolom REALISASI TERCATAT). Volume adendum tidak boleh di bawahnya – pekerjaan-kurang atas item berjalan maksimal sampai volume yang sudah terealisasi." sqref="G672">
      <formula1>$L$672</formula1>
    </dataValidation>
    <dataValidation type="decimal" operator="greaterThanOrEqual" showErrorMessage="1" errorStyle="stop" errorTitle="Di bawah realisasi" error="Item ini sudah dikerjakan 56,96 kg di lapangan (kolom REALISASI TERCATAT). Volume adendum tidak boleh di bawahnya – pekerjaan-kurang atas item berjalan maksimal sampai volume yang sudah terealisasi." sqref="G673">
      <formula1>$L$673</formula1>
    </dataValidation>
    <dataValidation type="decimal" operator="greaterThanOrEqual" showErrorMessage="1" errorStyle="stop" errorTitle="Di bawah realisasi" error="Item ini sudah dikerjakan 0,94 m³ di lapangan (kolom REALISASI TERCATAT). Volume adendum tidak boleh di bawahnya – pekerjaan-kurang atas item berjalan maksimal sampai volume yang sudah terealisasi." sqref="G674">
      <formula1>$L$674</formula1>
    </dataValidation>
    <dataValidation type="decimal" operator="greaterThanOrEqual" showErrorMessage="1" errorStyle="stop" errorTitle="Di bawah realisasi" error="Item ini sudah dikerjakan 45 m³ di lapangan (kolom REALISASI TERCATAT). Volume adendum tidak boleh di bawahnya – pekerjaan-kurang atas item berjalan maksimal sampai volume yang sudah terealisasi." sqref="G71">
      <formula1>$L$71</formula1>
    </dataValidation>
    <dataValidation type="decimal" operator="greaterThanOrEqual" showErrorMessage="1" errorStyle="stop" errorTitle="Di bawah realisasi" error="Item ini sudah dikerjakan 45 m³ di lapangan (kolom REALISASI TERCATAT). Volume adendum tidak boleh di bawahnya – pekerjaan-kurang atas item berjalan maksimal sampai volume yang sudah terealisasi." sqref="G72">
      <formula1>$L$72</formula1>
    </dataValidation>
    <dataValidation type="decimal" operator="greaterThanOrEqual" showErrorMessage="1" errorStyle="stop" errorTitle="Di bawah realisasi" error="Item ini sudah dikerjakan 50 m³ di lapangan (kolom REALISASI TERCATAT). Volume adendum tidak boleh di bawahnya – pekerjaan-kurang atas item berjalan maksimal sampai volume yang sudah terealisasi." sqref="G73">
      <formula1>$L$73</formula1>
    </dataValidation>
    <dataValidation type="decimal" operator="greaterThanOrEqual" showErrorMessage="1" errorStyle="stop" errorTitle="Di bawah realisasi" error="Item ini sudah dikerjakan 200 kg di lapangan (kolom REALISASI TERCATAT). Volume adendum tidak boleh di bawahnya – pekerjaan-kurang atas item berjalan maksimal sampai volume yang sudah terealisasi." sqref="G76">
      <formula1>$L$76</formula1>
    </dataValidation>
    <dataValidation type="decimal" operator="greaterThanOrEqual" showErrorMessage="1" errorStyle="stop" errorTitle="Di bawah realisasi" error="Item ini sudah dikerjakan 31 m¹ di lapangan (kolom REALISASI TERCATAT). Volume adendum tidak boleh di bawahnya – pekerjaan-kurang atas item berjalan maksimal sampai volume yang sudah terealisasi." sqref="G790">
      <formula1>$L$790</formula1>
    </dataValidation>
    <dataValidation type="decimal" operator="greaterThanOrEqual" showErrorMessage="1" errorStyle="stop" errorTitle="Di bawah realisasi" error="Item ini sudah dikerjakan 7,2 m³ di lapangan (kolom REALISASI TERCATAT). Volume adendum tidak boleh di bawahnya – pekerjaan-kurang atas item berjalan maksimal sampai volume yang sudah terealisasi." sqref="G792">
      <formula1>$L$792</formula1>
    </dataValidation>
    <dataValidation type="decimal" operator="greaterThanOrEqual" showErrorMessage="1" errorStyle="stop" errorTitle="Di bawah realisasi" error="Item ini sudah dikerjakan 0,42 m³ di lapangan (kolom REALISASI TERCATAT). Volume adendum tidak boleh di bawahnya – pekerjaan-kurang atas item berjalan maksimal sampai volume yang sudah terealisasi." sqref="G793">
      <formula1>$L$793</formula1>
    </dataValidation>
    <dataValidation type="decimal" operator="greaterThanOrEqual" showErrorMessage="1" errorStyle="stop" errorTitle="Di bawah realisasi" error="Item ini sudah dikerjakan 0,18 m³ di lapangan (kolom REALISASI TERCATAT). Volume adendum tidak boleh di bawahnya – pekerjaan-kurang atas item berjalan maksimal sampai volume yang sudah terealisasi." sqref="G794">
      <formula1>$L$794</formula1>
    </dataValidation>
    <dataValidation type="decimal" operator="greaterThanOrEqual" showErrorMessage="1" errorStyle="stop" errorTitle="Di bawah realisasi" error="Item ini sudah dikerjakan 7,2 m³ di lapangan (kolom REALISASI TERCATAT). Volume adendum tidak boleh di bawahnya – pekerjaan-kurang atas item berjalan maksimal sampai volume yang sudah terealisasi." sqref="G795">
      <formula1>$L$795</formula1>
    </dataValidation>
    <dataValidation type="decimal" operator="greaterThanOrEqual" showErrorMessage="1" errorStyle="stop" errorTitle="Di bawah realisasi" error="Item ini sudah dikerjakan 33,291 kg di lapangan (kolom REALISASI TERCATAT). Volume adendum tidak boleh di bawahnya – pekerjaan-kurang atas item berjalan maksimal sampai volume yang sudah terealisasi." sqref="G796">
      <formula1>$L$796</formula1>
    </dataValidation>
    <dataValidation type="decimal" operator="greaterThanOrEqual" showErrorMessage="1" errorStyle="stop" errorTitle="Di bawah realisasi" error="Item ini sudah dikerjakan 1,152 m³ di lapangan (kolom REALISASI TERCATAT). Volume adendum tidak boleh di bawahnya – pekerjaan-kurang atas item berjalan maksimal sampai volume yang sudah terealisasi." sqref="G797">
      <formula1>$L$797</formula1>
    </dataValidation>
    <dataValidation type="decimal" operator="greaterThanOrEqual" showErrorMessage="1" errorStyle="stop" errorTitle="Di bawah realisasi" error="Item ini sudah dikerjakan 120 m¹ di lapangan (kolom REALISASI TERCATAT). Volume adendum tidak boleh di bawahnya – pekerjaan-kurang atas item berjalan maksimal sampai volume yang sudah terealisasi." sqref="G798">
      <formula1>$L$798</formula1>
    </dataValidation>
    <dataValidation type="decimal" operator="greaterThanOrEqual" showErrorMessage="1" errorStyle="stop" errorTitle="Di bawah realisasi" error="Item ini sudah dikerjakan 22,272 m³ di lapangan (kolom REALISASI TERCATAT). Volume adendum tidak boleh di bawahnya – pekerjaan-kurang atas item berjalan maksimal sampai volume yang sudah terealisasi." sqref="G800">
      <formula1>$L$800</formula1>
    </dataValidation>
    <dataValidation type="decimal" operator="greaterThanOrEqual" showErrorMessage="1" errorStyle="stop" errorTitle="Di bawah realisasi" error="Item ini sudah dikerjakan 1,792 m³ di lapangan (kolom REALISASI TERCATAT). Volume adendum tidak boleh di bawahnya – pekerjaan-kurang atas item berjalan maksimal sampai volume yang sudah terealisasi." sqref="G802">
      <formula1>$L$802</formula1>
    </dataValidation>
    <dataValidation type="decimal" operator="greaterThanOrEqual" showErrorMessage="1" errorStyle="stop" errorTitle="Di bawah realisasi" error="Item ini sudah dikerjakan 14,08 m³ di lapangan (kolom REALISASI TERCATAT). Volume adendum tidak boleh di bawahnya – pekerjaan-kurang atas item berjalan maksimal sampai volume yang sudah terealisasi." sqref="G803">
      <formula1>$L$803</formula1>
    </dataValidation>
    <dataValidation type="decimal" operator="greaterThanOrEqual" showErrorMessage="1" errorStyle="stop" errorTitle="Di bawah realisasi" error="Item ini sudah dikerjakan 9,864 kg di lapangan (kolom REALISASI TERCATAT). Volume adendum tidak boleh di bawahnya – pekerjaan-kurang atas item berjalan maksimal sampai volume yang sudah terealisasi." sqref="G804">
      <formula1>$L$804</formula1>
    </dataValidation>
    <dataValidation type="decimal" operator="greaterThanOrEqual" showErrorMessage="1" errorStyle="stop" errorTitle="Di bawah realisasi" error="Item ini sudah dikerjakan 19,2 m² di lapangan (kolom REALISASI TERCATAT). Volume adendum tidak boleh di bawahnya – pekerjaan-kurang atas item berjalan maksimal sampai volume yang sudah terealisasi." sqref="G806">
      <formula1>$L$806</formula1>
    </dataValidation>
    <dataValidation type="decimal" operator="greaterThanOrEqual" showErrorMessage="1" errorStyle="stop" errorTitle="Di bawah realisasi" error="Item ini sudah dikerjakan 98,64 kg di lapangan (kolom REALISASI TERCATAT). Volume adendum tidak boleh di bawahnya – pekerjaan-kurang atas item berjalan maksimal sampai volume yang sudah terealisasi." sqref="G807">
      <formula1>$L$807</formula1>
    </dataValidation>
    <dataValidation type="decimal" operator="greaterThanOrEqual" showErrorMessage="1" errorStyle="stop" errorTitle="Di bawah realisasi" error="Item ini sudah dikerjakan 88,886 kg di lapangan (kolom REALISASI TERCATAT). Volume adendum tidak boleh di bawahnya – pekerjaan-kurang atas item berjalan maksimal sampai volume yang sudah terealisasi." sqref="G808">
      <formula1>$L$808</formula1>
    </dataValidation>
    <dataValidation type="decimal" operator="greaterThanOrEqual" showErrorMessage="1" errorStyle="stop" errorTitle="Di bawah realisasi" error="Item ini sudah dikerjakan 2,4 m³ di lapangan (kolom REALISASI TERCATAT). Volume adendum tidak boleh di bawahnya – pekerjaan-kurang atas item berjalan maksimal sampai volume yang sudah terealisasi." sqref="G809">
      <formula1>$L$809</formula1>
    </dataValidation>
    <dataValidation type="decimal" operator="greaterThanOrEqual" showErrorMessage="1" errorStyle="stop" errorTitle="Di bawah realisasi" error="Item ini sudah dikerjakan 17,632 kg di lapangan (kolom REALISASI TERCATAT). Volume adendum tidak boleh di bawahnya – pekerjaan-kurang atas item berjalan maksimal sampai volume yang sudah terealisasi." sqref="G813">
      <formula1>$L$813</formula1>
    </dataValidation>
    <dataValidation type="decimal" operator="greaterThanOrEqual" showErrorMessage="1" errorStyle="stop" errorTitle="Di bawah realisasi" error="Item ini sudah dikerjakan 13,731 kg di lapangan (kolom REALISASI TERCATAT). Volume adendum tidak boleh di bawahnya – pekerjaan-kurang atas item berjalan maksimal sampai volume yang sudah terealisasi." sqref="G814">
      <formula1>$L$814</formula1>
    </dataValidation>
    <dataValidation type="decimal" operator="greaterThanOrEqual" showErrorMessage="1" errorStyle="stop" errorTitle="Di bawah realisasi" error="Item ini sudah dikerjakan 7,2 m² di lapangan (kolom REALISASI TERCATAT). Volume adendum tidak boleh di bawahnya – pekerjaan-kurang atas item berjalan maksimal sampai volume yang sudah terealisasi." sqref="G87">
      <formula1>$L$87</formula1>
    </dataValidation>
    <dataValidation type="decimal" operator="greaterThanOrEqual" showErrorMessage="1" errorStyle="stop" errorTitle="Di bawah realisasi" error="Item ini sudah dikerjakan 97,55 kg di lapangan (kolom REALISASI TERCATAT). Volume adendum tidak boleh di bawahnya – pekerjaan-kurang atas item berjalan maksimal sampai volume yang sudah terealisasi." sqref="G88">
      <formula1>$L$88</formula1>
    </dataValidation>
    <dataValidation type="decimal" operator="greaterThanOrEqual" showErrorMessage="1" errorStyle="stop" errorTitle="Di bawah realisasi" error="Item ini sudah dikerjakan 38,63 kg di lapangan (kolom REALISASI TERCATAT). Volume adendum tidak boleh di bawahnya – pekerjaan-kurang atas item berjalan maksimal sampai volume yang sudah terealisasi." sqref="G94">
      <formula1>$L$94</formula1>
    </dataValidation>
    <dataValidation type="decimal" operator="greaterThanOrEqual" showErrorMessage="1" errorStyle="stop" errorTitle="Di bawah realisasi" error="Item ini sudah dikerjakan 161 m³ di lapangan (kolom REALISASI TERCATAT). Volume adendum tidak boleh di bawahnya – pekerjaan-kurang atas item berjalan maksimal sampai volume yang sudah terealisasi." sqref="G969">
      <formula1>$L$969</formula1>
    </dataValidation>
    <dataValidation type="decimal" operator="greaterThanOrEqual" showErrorMessage="1" errorStyle="stop" errorTitle="Di bawah realisasi" error="Item ini sudah dikerjakan 12 m³ di lapangan (kolom REALISASI TERCATAT). Volume adendum tidak boleh di bawahnya – pekerjaan-kurang atas item berjalan maksimal sampai volume yang sudah terealisasi." sqref="G97">
      <formula1>$L$97</formula1>
    </dataValidation>
    <dataValidation type="decimal" operator="greaterThanOrEqual" showErrorMessage="1" errorStyle="stop" errorTitle="Di bawah realisasi" error="Item ini sudah dikerjakan 105 m³ di lapangan (kolom REALISASI TERCATAT). Volume adendum tidak boleh di bawahnya – pekerjaan-kurang atas item berjalan maksimal sampai volume yang sudah terealisasi." sqref="G970">
      <formula1>$L$970</formula1>
    </dataValidation>
    <dataValidation type="decimal" operator="greaterThanOrEqual" showErrorMessage="1" errorStyle="stop" errorTitle="Di bawah realisasi" error="Item ini sudah dikerjakan 48,2 m¹ di lapangan (kolom REALISASI TERCATAT). Volume adendum tidak boleh di bawahnya – pekerjaan-kurang atas item berjalan maksimal sampai volume yang sudah terealisasi." sqref="G973">
      <formula1>$L$973</formula1>
    </dataValidation>
    <dataValidation type="decimal" operator="greaterThanOrEqual" showErrorMessage="1" errorStyle="stop" errorTitle="Di bawah realisasi" error="Item ini sudah dikerjakan 9,6 m³ di lapangan (kolom REALISASI TERCATAT). Volume adendum tidak boleh di bawahnya – pekerjaan-kurang atas item berjalan maksimal sampai volume yang sudah terealisasi." sqref="G975">
      <formula1>$L$975</formula1>
    </dataValidation>
    <dataValidation type="decimal" operator="greaterThanOrEqual" showErrorMessage="1" errorStyle="stop" errorTitle="Di bawah realisasi" error="Item ini sudah dikerjakan 0,56 m³ di lapangan (kolom REALISASI TERCATAT). Volume adendum tidak boleh di bawahnya – pekerjaan-kurang atas item berjalan maksimal sampai volume yang sudah terealisasi." sqref="G976">
      <formula1>$L$976</formula1>
    </dataValidation>
    <dataValidation type="decimal" operator="greaterThanOrEqual" showErrorMessage="1" errorStyle="stop" errorTitle="Di bawah realisasi" error="Item ini sudah dikerjakan 0,24 m³ di lapangan (kolom REALISASI TERCATAT). Volume adendum tidak boleh di bawahnya – pekerjaan-kurang atas item berjalan maksimal sampai volume yang sudah terealisasi." sqref="G977">
      <formula1>$L$977</formula1>
    </dataValidation>
    <dataValidation type="decimal" operator="greaterThanOrEqual" showErrorMessage="1" errorStyle="stop" errorTitle="Di bawah realisasi" error="Item ini sudah dikerjakan 9,6 m² di lapangan (kolom REALISASI TERCATAT). Volume adendum tidak boleh di bawahnya – pekerjaan-kurang atas item berjalan maksimal sampai volume yang sudah terealisasi." sqref="G978">
      <formula1>$L$978</formula1>
    </dataValidation>
    <dataValidation type="decimal" operator="greaterThanOrEqual" showErrorMessage="1" errorStyle="stop" errorTitle="Di bawah realisasi" error="Item ini sudah dikerjakan 44,39 kg di lapangan (kolom REALISASI TERCATAT). Volume adendum tidak boleh di bawahnya – pekerjaan-kurang atas item berjalan maksimal sampai volume yang sudah terealisasi." sqref="G979">
      <formula1>$L$979</formula1>
    </dataValidation>
    <dataValidation type="decimal" operator="greaterThanOrEqual" showErrorMessage="1" errorStyle="stop" errorTitle="Di bawah realisasi" error="Item ini sudah dikerjakan 492 m¹ di lapangan (kolom REALISASI TERCATAT). Volume adendum tidak boleh di bawahnya – pekerjaan-kurang atas item berjalan maksimal sampai volume yang sudah terealisasi." sqref="G98">
      <formula1>$L$98</formula1>
    </dataValidation>
    <dataValidation type="decimal" operator="greaterThanOrEqual" showErrorMessage="1" errorStyle="stop" errorTitle="Di bawah realisasi" error="Item ini sudah dikerjakan 1,54 m³ di lapangan (kolom REALISASI TERCATAT). Volume adendum tidak boleh di bawahnya – pekerjaan-kurang atas item berjalan maksimal sampai volume yang sudah terealisasi." sqref="G980">
      <formula1>$L$980</formula1>
    </dataValidation>
    <dataValidation type="decimal" operator="greaterThanOrEqual" showErrorMessage="1" errorStyle="stop" errorTitle="Di bawah realisasi" error="Item ini sudah dikerjakan 160 m¹ di lapangan (kolom REALISASI TERCATAT). Volume adendum tidak boleh di bawahnya – pekerjaan-kurang atas item berjalan maksimal sampai volume yang sudah terealisasi." sqref="G981">
      <formula1>$L$981</formula1>
    </dataValidation>
    <dataValidation type="decimal" operator="greaterThanOrEqual" showErrorMessage="1" errorStyle="stop" errorTitle="Di bawah realisasi" error="Item ini sudah dikerjakan 37,58 m³ di lapangan (kolom REALISASI TERCATAT). Volume adendum tidak boleh di bawahnya – pekerjaan-kurang atas item berjalan maksimal sampai volume yang sudah terealisasi." sqref="G983">
      <formula1>$L$983</formula1>
    </dataValidation>
    <dataValidation type="decimal" operator="greaterThanOrEqual" showErrorMessage="1" errorStyle="stop" errorTitle="Di bawah realisasi" error="Item ini sudah dikerjakan 3,02 m³ di lapangan (kolom REALISASI TERCATAT). Volume adendum tidak boleh di bawahnya – pekerjaan-kurang atas item berjalan maksimal sampai volume yang sudah terealisasi." sqref="G985">
      <formula1>$L$985</formula1>
    </dataValidation>
    <dataValidation type="decimal" operator="greaterThanOrEqual" showErrorMessage="1" errorStyle="stop" errorTitle="Di bawah realisasi" error="Item ini sudah dikerjakan 23,76 m³ di lapangan (kolom REALISASI TERCATAT). Volume adendum tidak boleh di bawahnya – pekerjaan-kurang atas item berjalan maksimal sampai volume yang sudah terealisasi." sqref="G986">
      <formula1>$L$986</formula1>
    </dataValidation>
    <dataValidation type="decimal" operator="greaterThanOrEqual" showErrorMessage="1" errorStyle="stop" errorTitle="Di bawah realisasi" error="Item ini sudah dikerjakan 16,65 kg di lapangan (kolom REALISASI TERCATAT). Volume adendum tidak boleh di bawahnya – pekerjaan-kurang atas item berjalan maksimal sampai volume yang sudah terealisasi." sqref="G987">
      <formula1>$L$987</formula1>
    </dataValidation>
    <dataValidation type="decimal" operator="greaterThanOrEqual" showErrorMessage="1" errorStyle="stop" errorTitle="Di bawah realisasi" error="Item ini sudah dikerjakan 32,4 m² di lapangan (kolom REALISASI TERCATAT). Volume adendum tidak boleh di bawahnya – pekerjaan-kurang atas item berjalan maksimal sampai volume yang sudah terealisasi." sqref="G989">
      <formula1>$L$989</formula1>
    </dataValidation>
    <dataValidation type="decimal" operator="greaterThanOrEqual" showErrorMessage="1" errorStyle="stop" errorTitle="Di bawah realisasi" error="Item ini sudah dikerjakan 166,46 kg di lapangan (kolom REALISASI TERCATAT). Volume adendum tidak boleh di bawahnya – pekerjaan-kurang atas item berjalan maksimal sampai volume yang sudah terealisasi." sqref="G990">
      <formula1>$L$990</formula1>
    </dataValidation>
    <dataValidation type="decimal" operator="greaterThanOrEqual" showErrorMessage="1" errorStyle="stop" errorTitle="Di bawah realisasi" error="Item ini sudah dikerjakan 150 kg di lapangan (kolom REALISASI TERCATAT). Volume adendum tidak boleh di bawahnya – pekerjaan-kurang atas item berjalan maksimal sampai volume yang sudah terealisasi." sqref="G991">
      <formula1>$L$991</formula1>
    </dataValidation>
    <dataValidation type="decimal" operator="greaterThanOrEqual" showErrorMessage="1" errorStyle="stop" errorTitle="Di bawah realisasi" error="Item ini sudah dikerjakan 4,05 m³ di lapangan (kolom REALISASI TERCATAT). Volume adendum tidak boleh di bawahnya – pekerjaan-kurang atas item berjalan maksimal sampai volume yang sudah terealisasi." sqref="G992">
      <formula1>$L$992</formula1>
    </dataValidation>
    <dataValidation type="decimal" operator="greaterThanOrEqual" showErrorMessage="1" errorStyle="stop" errorTitle="Di bawah realisasi" error="Item ini sudah dikerjakan 2,14 kg di lapangan (kolom REALISASI TERCATAT). Volume adendum tidak boleh di bawahnya – pekerjaan-kurang atas item berjalan maksimal sampai volume yang sudah terealisasi." sqref="G995">
      <formula1>$L$995</formula1>
    </dataValidation>
    <dataValidation type="decimal" operator="greaterThanOrEqual" showErrorMessage="1" errorStyle="stop" errorTitle="Di bawah realisasi" error="Item ini sudah dikerjakan 13,19 kg di lapangan (kolom REALISASI TERCATAT). Volume adendum tidak boleh di bawahnya – pekerjaan-kurang atas item berjalan maksimal sampai volume yang sudah terealisasi." sqref="G996">
      <formula1>$L$996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Adendum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MARLIN</dc:creator>
  <dc:title/>
  <dc:subject/>
  <dc:description/>
  <cp:keywords/>
  <cp:category/>
  <cp:lastModifiedBy>Unknown</cp:lastModifiedBy>
  <dcterms:created xsi:type="dcterms:W3CDTF">2026-09-12T09:11:05Z</dcterms:created>
  <dcterms:modified xsi:type="dcterms:W3CDTF">2026-09-12T09:11:05Z</dcterms:modified>
</cp:coreProperties>
</file>